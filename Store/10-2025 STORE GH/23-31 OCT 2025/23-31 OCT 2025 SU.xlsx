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0-2025 STORE GH\23-31 OCT 2025\"/>
    </mc:Choice>
  </mc:AlternateContent>
  <xr:revisionPtr revIDLastSave="0" documentId="13_ncr:1_{35D994F3-A738-41BB-A85D-223E47010826}" xr6:coauthVersionLast="43" xr6:coauthVersionMax="43" xr10:uidLastSave="{00000000-0000-0000-0000-000000000000}"/>
  <bookViews>
    <workbookView xWindow="-120" yWindow="-120" windowWidth="20730" windowHeight="11160" tabRatio="906" activeTab="2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AO113" i="1"/>
  <c r="Q113" i="1"/>
  <c r="O113" i="1"/>
  <c r="M113" i="1"/>
  <c r="K113" i="1"/>
  <c r="I113" i="1"/>
  <c r="W112" i="1"/>
  <c r="U112" i="1"/>
  <c r="S112" i="1"/>
  <c r="Q112" i="1"/>
  <c r="O112" i="1"/>
  <c r="M112" i="1"/>
  <c r="K112" i="1"/>
  <c r="I112" i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F140" i="48" s="1"/>
  <c r="D141" i="48"/>
  <c r="G141" i="48" s="1"/>
  <c r="D142" i="48"/>
  <c r="D143" i="48"/>
  <c r="D144" i="48"/>
  <c r="D145" i="48"/>
  <c r="F145" i="48" s="1"/>
  <c r="D146" i="48"/>
  <c r="D147" i="48"/>
  <c r="D148" i="48"/>
  <c r="F148" i="48" s="1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F169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G78" i="45" l="1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Q224" i="15" s="1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O58" i="15" s="1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36" i="15" l="1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P235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242" i="15" s="1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Q212" i="15" s="1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Q165" i="15" s="1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Q141" i="15" s="1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Q158" i="15" s="1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18" i="15" l="1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<sst xmlns="http://schemas.openxmlformats.org/spreadsheetml/2006/main" count="2680" uniqueCount="570">
  <si>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</si>
  <si>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</si>
  <si>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</si>
  <si>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</si>
  <si>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</si>
  <si>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</si>
  <si>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</si>
  <si>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</si>
  <si>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</si>
  <si>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</si>
  <si>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</si>
  <si>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</si>
  <si>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</si>
  <si>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</si>
  <si>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</si>
  <si>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</si>
  <si>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</si>
  <si>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</si>
  <si>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</si>
  <si>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</si>
  <si>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</si>
  <si>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</si>
  <si>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</si>
  <si>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</si>
  <si>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</si>
  <si>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</si>
  <si>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</si>
  <si>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</si>
  <si>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</si>
  <si>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</si>
  <si>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</si>
  <si>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</si>
  <si>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</si>
  <si>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</si>
  <si>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</si>
  <si>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</si>
  <si>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</si>
  <si>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</si>
  <si>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</si>
  <si>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</si>
  <si>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</si>
  <si>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</si>
  <si>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</si>
  <si>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</si>
  <si>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</si>
  <si>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</si>
  <si>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</si>
  <si>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</si>
  <si>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</si>
  <si>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</si>
  <si>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</si>
  <si>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</si>
  <si>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</si>
  <si>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</si>
  <si>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</si>
  <si>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</si>
  <si>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</si>
  <si>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</si>
  <si>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</si>
  <si>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</si>
  <si>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</si>
  <si>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</si>
  <si>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</si>
  <si>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</si>
  <si>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</si>
  <si>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</si>
  <si>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</si>
  <si>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</si>
  <si>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</si>
  <si>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</si>
  <si>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</si>
  <si>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</si>
  <si>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</si>
  <si>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</si>
  <si>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</si>
  <si>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</si>
  <si>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</si>
  <si>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</si>
  <si>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</si>
  <si>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</si>
  <si>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</si>
  <si>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</si>
  <si>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</si>
  <si>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</si>
  <si>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</si>
  <si>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</si>
  <si>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</si>
  <si>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</si>
  <si>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</si>
  <si>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</si>
  <si>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</si>
  <si>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</si>
  <si>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</si>
  <si>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</si>
  <si>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</si>
  <si>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</si>
  <si>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</si>
  <si>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</si>
  <si>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</si>
  <si>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</si>
  <si>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</si>
  <si>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</si>
  <si>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</si>
  <si>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</si>
  <si>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</si>
  <si>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</si>
  <si>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</si>
  <si>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</si>
  <si>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</si>
  <si>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</si>
  <si>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</si>
  <si>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</si>
  <si>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</si>
  <si>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</si>
  <si>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</si>
  <si>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</si>
  <si>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</si>
  <si>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</si>
  <si>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</si>
  <si>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</si>
  <si>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</si>
  <si>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</si>
  <si>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</si>
  <si>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</si>
  <si>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</si>
  <si>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</si>
  <si>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</si>
  <si>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</si>
  <si>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</si>
  <si>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</si>
  <si>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</si>
  <si>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</si>
  <si>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</si>
  <si>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</si>
  <si>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</si>
  <si>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</si>
  <si>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</si>
  <si>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</si>
  <si>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</si>
  <si>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</si>
  <si>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</si>
  <si>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</si>
  <si>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</si>
  <si>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</si>
  <si>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</si>
  <si>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</si>
  <si>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</si>
  <si>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</si>
  <si>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</si>
  <si>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</si>
  <si>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</si>
  <si>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</si>
  <si>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</si>
  <si>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</si>
  <si>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</si>
  <si>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</si>
  <si>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</si>
  <si>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</si>
  <si>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</si>
  <si>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</si>
  <si>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</si>
  <si>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</si>
  <si>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</si>
  <si>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</si>
  <si>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</si>
  <si>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</si>
  <si>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</si>
  <si>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</si>
  <si>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</si>
  <si>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</si>
  <si>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</si>
  <si>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</si>
  <si>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</si>
  <si>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</si>
  <si>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</si>
  <si>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</si>
  <si>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</si>
  <si>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</si>
  <si>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</si>
  <si>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</si>
  <si>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</si>
  <si>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</si>
  <si>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</si>
  <si>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</si>
  <si>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</si>
  <si>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</si>
  <si>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</si>
  <si>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</si>
  <si>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</si>
  <si>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</si>
  <si>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</si>
  <si>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</si>
  <si>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</si>
  <si>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</si>
  <si>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</si>
  <si>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</si>
  <si>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</si>
  <si>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</si>
  <si>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</si>
  <si>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</si>
  <si>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</si>
  <si>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</si>
  <si>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</si>
  <si>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</si>
  <si>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</si>
  <si>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</si>
  <si>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</si>
  <si>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</si>
  <si>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</si>
  <si>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</si>
  <si>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</si>
  <si>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</si>
  <si>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</si>
  <si>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</si>
  <si>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</si>
  <si>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</si>
  <si>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</si>
  <si>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</si>
  <si>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</si>
  <si>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</si>
  <si>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</si>
  <si>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</si>
  <si>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</si>
  <si>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</si>
  <si>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</si>
  <si>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</si>
  <si>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</si>
  <si>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মুদিবাজার</t>
  </si>
  <si>
    <t>বাবুর্চি বিল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</si>
  <si>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</si>
  <si>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</si>
  <si>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</si>
  <si>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</si>
  <si>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</si>
  <si>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</si>
  <si>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</si>
  <si>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</si>
  <si>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</si>
  <si>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</si>
  <si>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</si>
  <si>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</si>
  <si>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</si>
  <si>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</si>
  <si>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</si>
  <si>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</si>
  <si>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</si>
  <si>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</si>
  <si>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</si>
  <si>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</si>
  <si>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</si>
  <si>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</si>
  <si>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</si>
  <si>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</si>
  <si>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</si>
  <si>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</si>
  <si>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</si>
  <si>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</si>
  <si>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</si>
  <si>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</si>
  <si>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</si>
  <si>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</si>
  <si>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</si>
  <si>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</si>
  <si>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</si>
  <si>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</si>
  <si>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</si>
  <si>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</si>
  <si>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</si>
  <si>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</si>
  <si>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</si>
  <si>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</si>
  <si>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</si>
  <si>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</si>
  <si>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</si>
  <si>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</si>
  <si>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</si>
  <si>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</si>
  <si>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</si>
  <si>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</si>
  <si>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</si>
  <si>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</si>
  <si>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</si>
  <si>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</si>
  <si>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</si>
  <si>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</si>
  <si>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</si>
  <si>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</si>
  <si>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</si>
  <si>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</si>
  <si>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</si>
  <si>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</si>
  <si>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</si>
  <si>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</si>
  <si>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</si>
  <si>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</si>
  <si>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</si>
  <si>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</si>
  <si>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</si>
  <si>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</si>
  <si>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</si>
  <si>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</si>
  <si>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</si>
  <si>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</si>
  <si>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</si>
  <si>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</si>
  <si>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</si>
  <si>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</si>
  <si>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</si>
  <si>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</si>
  <si>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</si>
  <si>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</si>
  <si>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</si>
  <si>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</si>
  <si>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</si>
  <si>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</si>
  <si>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</si>
  <si>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</si>
  <si>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</si>
  <si>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</si>
  <si>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</si>
  <si>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</si>
  <si>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</si>
  <si>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</si>
  <si>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</si>
  <si>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</si>
  <si>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</si>
  <si>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</si>
  <si>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</si>
  <si>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</si>
  <si>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</si>
  <si>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</si>
  <si>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</si>
  <si>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</si>
  <si>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</si>
  <si>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</si>
  <si>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</si>
  <si>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</si>
  <si>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</si>
  <si>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</si>
  <si>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</si>
  <si>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</si>
  <si>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</si>
  <si>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</si>
  <si>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</si>
  <si>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</si>
  <si>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</si>
  <si>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</si>
  <si>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</si>
  <si>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</si>
  <si>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</si>
  <si>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</si>
  <si>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</si>
  <si>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</si>
  <si>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</si>
  <si>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</si>
  <si>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</si>
  <si>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</si>
  <si>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</si>
  <si>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</si>
  <si>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</si>
  <si>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</si>
  <si>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</si>
  <si>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</si>
  <si>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</si>
  <si>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</si>
  <si>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</si>
  <si>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</si>
  <si>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</si>
  <si>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</si>
  <si>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</si>
  <si>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</si>
  <si>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</si>
  <si>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</si>
  <si>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</si>
  <si>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</si>
  <si>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</si>
  <si>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</si>
  <si>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</si>
  <si>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</si>
  <si>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</si>
  <si>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</si>
  <si>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</si>
  <si>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</si>
  <si>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</si>
  <si>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</si>
  <si>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</si>
  <si>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</si>
  <si>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</si>
  <si>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</si>
  <si>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</si>
  <si>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</si>
  <si>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</si>
  <si>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</si>
  <si>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</si>
  <si>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</si>
  <si>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</si>
  <si>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</si>
  <si>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</si>
  <si>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</si>
  <si>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</si>
  <si>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</si>
  <si>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</si>
  <si>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</si>
  <si>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</si>
  <si>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</si>
  <si>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</si>
  <si>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</si>
  <si>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</si>
  <si>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</si>
  <si>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</si>
  <si>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</si>
  <si>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</si>
  <si>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</si>
  <si>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</si>
  <si>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</si>
  <si>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</si>
  <si>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</si>
  <si>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</si>
  <si>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</si>
  <si>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</si>
  <si>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</si>
  <si>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</si>
  <si>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</si>
  <si>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</si>
  <si>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</si>
  <si>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</si>
  <si>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</si>
  <si>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</si>
  <si>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</si>
  <si>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</si>
  <si>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</si>
  <si>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</si>
  <si>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</si>
  <si>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</si>
  <si>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</si>
  <si>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</si>
  <si>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</si>
  <si>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</si>
  <si>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</si>
  <si>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</si>
  <si>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</si>
  <si>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</si>
  <si>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</si>
  <si>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</si>
  <si>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</si>
  <si>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</si>
  <si>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</si>
  <si>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</si>
  <si>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</si>
  <si>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</si>
  <si>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</si>
  <si>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</si>
  <si>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</si>
  <si>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</si>
  <si>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</si>
  <si>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</si>
  <si>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</si>
  <si>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</si>
  <si>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</si>
  <si>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</si>
  <si>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</si>
  <si>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</si>
  <si>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</si>
  <si>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</si>
  <si>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</si>
  <si>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</si>
  <si>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</si>
  <si>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22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</si>
  <si>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বরফ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</si>
  <si>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</si>
  <si>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</si>
  <si>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</si>
  <si>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</si>
  <si>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</si>
  <si>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</si>
  <si>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</si>
  <si>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</si>
  <si>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23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</si>
  <si>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t>
  </si>
  <si>
    <t>25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</si>
  <si>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26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</si>
  <si>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27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</si>
  <si>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28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</si>
  <si>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29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</si>
  <si>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কাঁচাবাজার</t>
  </si>
  <si>
    <t>মুরগী ক্রয়</t>
  </si>
  <si>
    <t>ফল ক্রয়</t>
  </si>
  <si>
    <t>পাইপ ক্রয়</t>
  </si>
  <si>
    <t>ছানা সন্দেশ</t>
  </si>
  <si>
    <t>রুটি</t>
  </si>
  <si>
    <t>অতিরিক্ত জনবল</t>
  </si>
  <si>
    <t>খাসির রেজালা</t>
  </si>
  <si>
    <t>ডাইজেস্টিভ বিস্কুট</t>
  </si>
  <si>
    <t>খেজুর</t>
  </si>
  <si>
    <t>কাজুবাদাম</t>
  </si>
  <si>
    <t>ঘি ও কাপদই</t>
  </si>
  <si>
    <t>ব্যাগ</t>
  </si>
  <si>
    <t>চানাচুর ও মুড়ি</t>
  </si>
  <si>
    <t>পরোটা</t>
  </si>
  <si>
    <t xml:space="preserve">খাসির মাংস </t>
  </si>
  <si>
    <t>লাল আঙ্গুর, পেয়ারা ও ডাব</t>
  </si>
  <si>
    <t>রুচি চানাচুর</t>
  </si>
  <si>
    <t>কাপদই</t>
  </si>
  <si>
    <t>গাজর, পটল, শসা ও করলা</t>
  </si>
  <si>
    <t>রেপিং পেপার</t>
  </si>
  <si>
    <t>স্যান্ডউইচ পেপার</t>
  </si>
  <si>
    <t>টকদই ও মাওয়া</t>
  </si>
  <si>
    <t>কফি</t>
  </si>
  <si>
    <t>মিহি দানা লাড্ডু</t>
  </si>
  <si>
    <t>কাজু ও পেস্তা বাদাম</t>
  </si>
  <si>
    <t>ব্রয়লার মুরগী</t>
  </si>
  <si>
    <t>চয়েস বিস্কুট, বেকারী বিস্কুট, সববি কলা</t>
  </si>
  <si>
    <t>রাশিয়ান সালাদ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</si>
  <si>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</si>
  <si>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</si>
  <si>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</si>
  <si>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</si>
  <si>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</si>
  <si>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</si>
  <si>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31/10/2025</t>
  </si>
  <si>
    <t>ওকে</t>
  </si>
  <si>
    <t>৭০ ফুট পাইপ</t>
  </si>
  <si>
    <t>জাম্বুরা</t>
  </si>
  <si>
    <t>বেকারি বিস্কুট</t>
  </si>
  <si>
    <t>জাম্বুরা বড় সাইজ</t>
  </si>
  <si>
    <t>চানাচুর , মুড়ি</t>
  </si>
  <si>
    <t>রুচি চানাচুর ও মুড়ি</t>
  </si>
  <si>
    <t>নিয়োগ পরীক্ষার সবজি (গাজর, পটল, শশা, করলা)</t>
  </si>
  <si>
    <t>স্ট্র পাইপ</t>
  </si>
  <si>
    <t>গ্র্যান্ড চয়েস বিস্কুট, বেকারী বিস্কুট , সবরি কলা</t>
  </si>
  <si>
    <t>রেভিনিউ স্ট্যাম্প</t>
  </si>
  <si>
    <t>ডেকোরেটর বিল</t>
  </si>
  <si>
    <t>মজো 250 মিলি</t>
  </si>
  <si>
    <t>চারকোন প্যাকেট (ছোট বক্স)</t>
  </si>
  <si>
    <t>গ্যাস সিলিন্ডার</t>
  </si>
  <si>
    <t>৩০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</si>
  <si>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খাসির মাংস</t>
  </si>
  <si>
    <t>ওয়ানটাইম ক্যাপ ও মাস্ক</t>
  </si>
  <si>
    <t>গুড়ের সন্দেশ</t>
  </si>
  <si>
    <t>নানরুটি</t>
  </si>
  <si>
    <t>কোকোনাট মিল্ক, চিনাবাদাম</t>
  </si>
  <si>
    <t>পাকা পেপে ও পেয়ারা</t>
  </si>
  <si>
    <t>পাস্তা</t>
  </si>
  <si>
    <t>টকদই</t>
  </si>
  <si>
    <t>31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</si>
  <si>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স্যান্ডউইচ ব্রেড</t>
  </si>
  <si>
    <t>লাল আঙ্গুর</t>
  </si>
  <si>
    <t>খেজুর মরিয়ম</t>
  </si>
  <si>
    <t>ছানা সন্দেশ ও মাওয়া লাড্ডু</t>
  </si>
  <si>
    <t>ওয়ানটাইম ক্যাপ, মাস্ক</t>
  </si>
  <si>
    <t>নান রুটি ও চিকেন গ্রীল</t>
  </si>
  <si>
    <t>কাকরোল</t>
  </si>
  <si>
    <t>মিস্টার টুইস্ট</t>
  </si>
  <si>
    <t>রুচি মুড়ি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</si>
  <si>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</si>
  <si>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</si>
  <si>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</si>
  <si>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</si>
  <si>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</si>
  <si>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</si>
  <si>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</si>
  <si>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</si>
  <si>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</si>
  <si>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>রুটি (ডিজি মহোদয়ের দপ্তরে অফিস আপ্যায়ণ)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</si>
  <si>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</si>
  <si>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</si>
  <si>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 xml:space="preserve">হোস্টেল অতিথি এবং প্রত্যাশি প্রতিষ্ঠানের (23-31 অক্টোবর-২০২5) জন্য নতুন সংগ্রহ/ক্রয়কৃত পণ্যের তালিকা </t>
  </si>
  <si>
    <t>হোস্টেল অতিথি এবং প্রত্যাশি প্রতিষ্ঠান এর  (23-31 অক্টোবর-২০২5) পর্যন্ত বাজার তালিকা</t>
  </si>
  <si>
    <t xml:space="preserve">হোস্টেল অতিথি এবং প্রত্যাশি প্রতিষ্ঠানের (23-31 অক্টোবর-২০২5) তারিখ 
পর্যন্ত ক্রয়কৃত মালামালের ব্যয় এবং বর্তমান মজুদ হিসাব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</si>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</sst>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48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181" fontId="15" fillId="0" borderId="13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22" xfId="0" applyNumberFormat="1" applyFont="1" applyBorder="1" applyAlignment="1">
      <alignment horizontal="center" vertical="center"/>
    </xf>
    <xf numFmtId="181" fontId="19" fillId="0" borderId="32" xfId="0" applyNumberFormat="1" applyFont="1" applyBorder="1" applyAlignment="1">
      <alignment horizontal="center" vertical="center"/>
    </xf>
    <xf numFmtId="181" fontId="19" fillId="0" borderId="34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17" xfId="0" applyFont="1" applyBorder="1" applyAlignment="1">
      <alignment horizontal="center" vertical="center" wrapText="1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3" t="s">
        <v>342</v>
      </c>
      <c r="B1" s="433"/>
      <c r="C1" s="214" t="s">
        <v>343</v>
      </c>
      <c r="D1" s="215">
        <f>P!D3</f>
        <v>45953</v>
      </c>
      <c r="E1" s="213"/>
      <c r="F1" s="213"/>
      <c r="G1" s="218"/>
    </row>
    <row r="2" spans="1:9">
      <c r="A2" s="208" t="s">
        <v>340</v>
      </c>
      <c r="B2" s="141" t="s">
        <v>2</v>
      </c>
      <c r="C2" s="141" t="s">
        <v>337</v>
      </c>
      <c r="D2" s="141" t="s">
        <v>338</v>
      </c>
      <c r="E2" s="141" t="s">
        <v>339</v>
      </c>
      <c r="F2" s="141" t="s">
        <v>242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86.294819492673739</v>
      </c>
      <c r="D5" s="220">
        <f>P!AK7</f>
        <v>101.33333333333333</v>
      </c>
      <c r="E5" s="219">
        <f t="shared" si="0"/>
        <v>15.03851384065959</v>
      </c>
      <c r="F5" s="226" t="str">
        <f t="shared" si="1"/>
        <v>+</v>
      </c>
      <c r="G5" s="217"/>
    </row>
    <row r="6" spans="1:9">
      <c r="A6" s="180" t="s">
        <v>18</v>
      </c>
      <c r="B6" s="205" t="s">
        <v>9</v>
      </c>
      <c r="C6" s="220">
        <f>S!D6</f>
        <v>121.97789988777421</v>
      </c>
      <c r="D6" s="220">
        <f>P!AK8</f>
        <v>122</v>
      </c>
      <c r="E6" s="219">
        <f t="shared" si="0"/>
        <v>2.2100112225786006E-2</v>
      </c>
      <c r="F6" s="226" t="str">
        <f t="shared" si="1"/>
        <v>+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149.33917460012574</v>
      </c>
      <c r="D8" s="220">
        <f>P!AK10</f>
        <v>155</v>
      </c>
      <c r="E8" s="219">
        <f t="shared" si="0"/>
        <v>5.6608253998742555</v>
      </c>
      <c r="F8" s="226" t="str">
        <f t="shared" si="1"/>
        <v>+</v>
      </c>
    </row>
    <row r="9" spans="1:9">
      <c r="A9" s="180" t="s">
        <v>21</v>
      </c>
      <c r="B9" s="205" t="s">
        <v>9</v>
      </c>
      <c r="C9" s="220">
        <f>S!D9</f>
        <v>160.66050369959086</v>
      </c>
      <c r="D9" s="220">
        <f>P!AK11</f>
        <v>160</v>
      </c>
      <c r="E9" s="219">
        <f t="shared" si="0"/>
        <v>0.66050369959086197</v>
      </c>
      <c r="F9" s="226" t="str">
        <f t="shared" si="1"/>
        <v>-</v>
      </c>
    </row>
    <row r="10" spans="1:9">
      <c r="A10" s="180" t="s">
        <v>22</v>
      </c>
      <c r="B10" s="205" t="s">
        <v>9</v>
      </c>
      <c r="C10" s="220">
        <f>S!D10</f>
        <v>130.05801514698564</v>
      </c>
      <c r="D10" s="220">
        <f>P!AK12</f>
        <v>130.05801514698564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58.666666666666664</v>
      </c>
      <c r="D12" s="220">
        <f>P!AK14</f>
        <v>58.666666666666664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181.80327868850583</v>
      </c>
      <c r="D13" s="220">
        <f>P!AK15</f>
        <v>179.39130434782609</v>
      </c>
      <c r="E13" s="219">
        <f t="shared" si="0"/>
        <v>2.411974340679734</v>
      </c>
      <c r="F13" s="226" t="str">
        <f t="shared" si="1"/>
        <v>-</v>
      </c>
    </row>
    <row r="14" spans="1:9">
      <c r="A14" s="180" t="s">
        <v>27</v>
      </c>
      <c r="B14" s="205" t="s">
        <v>26</v>
      </c>
      <c r="C14" s="220">
        <f>S!D14</f>
        <v>331.11854599795782</v>
      </c>
      <c r="D14" s="220">
        <f>P!AK16</f>
        <v>320</v>
      </c>
      <c r="E14" s="219">
        <f t="shared" si="0"/>
        <v>11.118545997957824</v>
      </c>
      <c r="F14" s="226" t="str">
        <f t="shared" si="1"/>
        <v>-</v>
      </c>
    </row>
    <row r="15" spans="1:9">
      <c r="A15" s="180" t="s">
        <v>5</v>
      </c>
      <c r="B15" s="205" t="s">
        <v>9</v>
      </c>
      <c r="C15" s="220">
        <f>S!D15</f>
        <v>39.999999828149122</v>
      </c>
      <c r="D15" s="220">
        <f>P!AK17</f>
        <v>39.999999828149122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371.56286721504114</v>
      </c>
      <c r="D17" s="220">
        <f>P!AK19</f>
        <v>600</v>
      </c>
      <c r="E17" s="219">
        <f t="shared" si="0"/>
        <v>228.43713278495886</v>
      </c>
      <c r="F17" s="226" t="str">
        <f t="shared" si="1"/>
        <v>+</v>
      </c>
    </row>
    <row r="18" spans="1:6">
      <c r="A18" s="180" t="s">
        <v>29</v>
      </c>
      <c r="B18" s="205" t="s">
        <v>9</v>
      </c>
      <c r="C18" s="220">
        <f>S!D18</f>
        <v>183.33333333333334</v>
      </c>
      <c r="D18" s="220">
        <f>P!AK20</f>
        <v>183.33333333333334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59.999999999996724</v>
      </c>
      <c r="D19" s="220">
        <f>P!AK21</f>
        <v>60</v>
      </c>
      <c r="E19" s="219">
        <f t="shared" si="0"/>
        <v>3.2756020118540619E-12</v>
      </c>
      <c r="F19" s="226" t="str">
        <f t="shared" si="1"/>
        <v>+</v>
      </c>
    </row>
    <row r="20" spans="1:6">
      <c r="A20" s="180" t="s">
        <v>32</v>
      </c>
      <c r="B20" s="205" t="s">
        <v>9</v>
      </c>
      <c r="C20" s="220">
        <f>S!D20</f>
        <v>952.64544896152813</v>
      </c>
      <c r="D20" s="220">
        <f>P!AK22</f>
        <v>920</v>
      </c>
      <c r="E20" s="219">
        <f t="shared" si="0"/>
        <v>32.645448961528132</v>
      </c>
      <c r="F20" s="226" t="str">
        <f t="shared" si="1"/>
        <v>-</v>
      </c>
    </row>
    <row r="21" spans="1:6">
      <c r="A21" s="180" t="s">
        <v>33</v>
      </c>
      <c r="B21" s="205" t="s">
        <v>9</v>
      </c>
      <c r="C21" s="220">
        <f>S!D21</f>
        <v>181.09890109890108</v>
      </c>
      <c r="D21" s="220">
        <f>P!AK23</f>
        <v>216.66666666666666</v>
      </c>
      <c r="E21" s="219">
        <f t="shared" si="0"/>
        <v>35.567765567765576</v>
      </c>
      <c r="F21" s="226" t="str">
        <f t="shared" si="1"/>
        <v>+</v>
      </c>
    </row>
    <row r="22" spans="1:6">
      <c r="A22" s="180" t="s">
        <v>34</v>
      </c>
      <c r="B22" s="205" t="s">
        <v>31</v>
      </c>
      <c r="C22" s="220">
        <f>S!D22</f>
        <v>2.5462272276633655</v>
      </c>
      <c r="D22" s="220">
        <f>P!AK24</f>
        <v>2.8</v>
      </c>
      <c r="E22" s="219">
        <f t="shared" si="0"/>
        <v>0.25377277233663431</v>
      </c>
      <c r="F22" s="226" t="str">
        <f t="shared" si="1"/>
        <v>+</v>
      </c>
    </row>
    <row r="23" spans="1:6">
      <c r="A23" s="180" t="s">
        <v>35</v>
      </c>
      <c r="B23" s="205" t="s">
        <v>31</v>
      </c>
      <c r="C23" s="220">
        <f>S!D23</f>
        <v>180</v>
      </c>
      <c r="D23" s="220">
        <f>P!AK25</f>
        <v>180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380</v>
      </c>
      <c r="D24" s="220">
        <f>P!AK26</f>
        <v>380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292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314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136.45378758212715</v>
      </c>
      <c r="D34" s="220">
        <f>P!AK36</f>
        <v>135</v>
      </c>
      <c r="E34" s="219">
        <f t="shared" si="0"/>
        <v>1.4537875821271484</v>
      </c>
      <c r="F34" s="226" t="str">
        <f t="shared" si="1"/>
        <v>-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447.40259740259739</v>
      </c>
      <c r="D36" s="220">
        <f>P!AK38</f>
        <v>475</v>
      </c>
      <c r="E36" s="219">
        <f t="shared" si="0"/>
        <v>27.597402597402606</v>
      </c>
      <c r="F36" s="226" t="str">
        <f t="shared" si="1"/>
        <v>+</v>
      </c>
    </row>
    <row r="37" spans="1:6">
      <c r="A37" s="180" t="s">
        <v>259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120</v>
      </c>
      <c r="D38" s="220">
        <f>P!AK40</f>
        <v>240</v>
      </c>
      <c r="E38" s="219">
        <f t="shared" si="0"/>
        <v>120</v>
      </c>
      <c r="F38" s="226" t="str">
        <f t="shared" si="1"/>
        <v>+</v>
      </c>
    </row>
    <row r="39" spans="1:6">
      <c r="A39" s="180" t="s">
        <v>48</v>
      </c>
      <c r="B39" s="205" t="s">
        <v>9</v>
      </c>
      <c r="C39" s="220">
        <f>S!D39</f>
        <v>76.666666666666671</v>
      </c>
      <c r="D39" s="220">
        <f>P!AK41</f>
        <v>74.166666666666671</v>
      </c>
      <c r="E39" s="219">
        <f t="shared" si="0"/>
        <v>2.5</v>
      </c>
      <c r="F39" s="226" t="str">
        <f t="shared" si="1"/>
        <v>-</v>
      </c>
    </row>
    <row r="40" spans="1:6">
      <c r="A40" s="180" t="s">
        <v>49</v>
      </c>
      <c r="B40" s="205" t="s">
        <v>31</v>
      </c>
      <c r="C40" s="220">
        <f>S!D40</f>
        <v>86.666666666666671</v>
      </c>
      <c r="D40" s="220">
        <f>P!AK42</f>
        <v>132.5</v>
      </c>
      <c r="E40" s="219">
        <f t="shared" si="0"/>
        <v>45.833333333333329</v>
      </c>
      <c r="F40" s="226" t="str">
        <f t="shared" si="1"/>
        <v>+</v>
      </c>
    </row>
    <row r="41" spans="1:6">
      <c r="A41" s="180" t="s">
        <v>300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260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313</v>
      </c>
      <c r="B45" s="205" t="s">
        <v>31</v>
      </c>
      <c r="C45" s="220">
        <f>S!D45</f>
        <v>10.187516244127446</v>
      </c>
      <c r="D45" s="220">
        <f>P!AK47</f>
        <v>10</v>
      </c>
      <c r="E45" s="219">
        <f t="shared" si="0"/>
        <v>0.18751624412744583</v>
      </c>
      <c r="F45" s="226" t="str">
        <f t="shared" si="1"/>
        <v>-</v>
      </c>
    </row>
    <row r="46" spans="1:6">
      <c r="A46" s="180" t="s">
        <v>52</v>
      </c>
      <c r="B46" s="205" t="s">
        <v>31</v>
      </c>
      <c r="C46" s="220">
        <f>S!D46</f>
        <v>4.1449856530953326</v>
      </c>
      <c r="D46" s="220">
        <f>P!AK48</f>
        <v>4.1449856530953326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1.3910490121974715</v>
      </c>
      <c r="D54" s="220">
        <f>P!AK56</f>
        <v>0.8</v>
      </c>
      <c r="E54" s="219">
        <f t="shared" si="0"/>
        <v>0.59104901219747141</v>
      </c>
      <c r="F54" s="226" t="str">
        <f t="shared" si="1"/>
        <v>-</v>
      </c>
    </row>
    <row r="55" spans="1:6">
      <c r="A55" s="180" t="s">
        <v>63</v>
      </c>
      <c r="B55" s="205" t="s">
        <v>31</v>
      </c>
      <c r="C55" s="220">
        <f>S!D55</f>
        <v>0.25015670152183977</v>
      </c>
      <c r="D55" s="220">
        <f>P!AK57</f>
        <v>0.25</v>
      </c>
      <c r="E55" s="219">
        <f t="shared" si="0"/>
        <v>1.5670152183977493E-4</v>
      </c>
      <c r="F55" s="226" t="str">
        <f t="shared" si="1"/>
        <v>-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267.55555555555554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117.69230769230769</v>
      </c>
      <c r="D60" s="220">
        <f>P!AK62</f>
        <v>110</v>
      </c>
      <c r="E60" s="219">
        <f t="shared" si="0"/>
        <v>7.6923076923076934</v>
      </c>
      <c r="F60" s="226" t="str">
        <f t="shared" si="1"/>
        <v>-</v>
      </c>
    </row>
    <row r="61" spans="1:6">
      <c r="A61" s="180" t="s">
        <v>70</v>
      </c>
      <c r="B61" s="205" t="s">
        <v>9</v>
      </c>
      <c r="C61" s="220">
        <f>S!D61</f>
        <v>628.68804664723029</v>
      </c>
      <c r="D61" s="220">
        <f>P!AK63</f>
        <v>640</v>
      </c>
      <c r="E61" s="219">
        <f t="shared" si="0"/>
        <v>11.311953352769706</v>
      </c>
      <c r="F61" s="226" t="str">
        <f t="shared" si="1"/>
        <v>+</v>
      </c>
    </row>
    <row r="62" spans="1:6">
      <c r="A62" s="180" t="s">
        <v>71</v>
      </c>
      <c r="B62" s="205" t="s">
        <v>9</v>
      </c>
      <c r="C62" s="220">
        <f>S!D62</f>
        <v>711.20707143892196</v>
      </c>
      <c r="D62" s="220">
        <f>P!AK64</f>
        <v>651.42857142857144</v>
      </c>
      <c r="E62" s="219">
        <f t="shared" si="0"/>
        <v>59.778500010350513</v>
      </c>
      <c r="F62" s="226" t="str">
        <f t="shared" si="1"/>
        <v>-</v>
      </c>
    </row>
    <row r="63" spans="1:6">
      <c r="A63" s="180" t="s">
        <v>72</v>
      </c>
      <c r="B63" s="205" t="s">
        <v>9</v>
      </c>
      <c r="C63" s="220">
        <f>S!D63</f>
        <v>353.0612244897959</v>
      </c>
      <c r="D63" s="220">
        <f>P!AK65</f>
        <v>400</v>
      </c>
      <c r="E63" s="219">
        <f t="shared" si="0"/>
        <v>46.938775510204096</v>
      </c>
      <c r="F63" s="226" t="str">
        <f t="shared" si="1"/>
        <v>+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852.33887733887741</v>
      </c>
      <c r="D65" s="220">
        <f>P!AK67</f>
        <v>872.22222222222217</v>
      </c>
      <c r="E65" s="219">
        <f t="shared" si="0"/>
        <v>19.883344883344762</v>
      </c>
      <c r="F65" s="226" t="str">
        <f t="shared" si="1"/>
        <v>+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5784.346056623458</v>
      </c>
      <c r="D68" s="220">
        <f>P!AK70</f>
        <v>5750.0000000000009</v>
      </c>
      <c r="E68" s="219">
        <f t="shared" ref="E68:E131" si="2">ABS(C68-D68)</f>
        <v>34.346056623457116</v>
      </c>
      <c r="F68" s="226" t="str">
        <f t="shared" ref="F68:F131" si="3">IF(C68-D68=0, "×", IF(C68-D68&lt;0, "+", "-"))</f>
        <v>-</v>
      </c>
    </row>
    <row r="69" spans="1:6">
      <c r="A69" s="180" t="s">
        <v>78</v>
      </c>
      <c r="B69" s="205" t="s">
        <v>9</v>
      </c>
      <c r="C69" s="220">
        <f>S!D69</f>
        <v>592.19044853947457</v>
      </c>
      <c r="D69" s="220">
        <f>P!AK71</f>
        <v>600</v>
      </c>
      <c r="E69" s="219">
        <f t="shared" si="2"/>
        <v>7.8095514605254266</v>
      </c>
      <c r="F69" s="226" t="str">
        <f t="shared" si="3"/>
        <v>+</v>
      </c>
    </row>
    <row r="70" spans="1:6">
      <c r="A70" s="180" t="s">
        <v>79</v>
      </c>
      <c r="B70" s="205" t="s">
        <v>9</v>
      </c>
      <c r="C70" s="220">
        <f>S!D70</f>
        <v>1823.8095238095236</v>
      </c>
      <c r="D70" s="220">
        <f>P!AK72</f>
        <v>1825</v>
      </c>
      <c r="E70" s="219">
        <f t="shared" si="2"/>
        <v>1.1904761904763745</v>
      </c>
      <c r="F70" s="226" t="str">
        <f t="shared" si="3"/>
        <v>+</v>
      </c>
    </row>
    <row r="71" spans="1:6">
      <c r="A71" s="180" t="s">
        <v>80</v>
      </c>
      <c r="B71" s="205" t="s">
        <v>31</v>
      </c>
      <c r="C71" s="220">
        <f>S!D71</f>
        <v>8.125</v>
      </c>
      <c r="D71" s="220">
        <f>P!AK73</f>
        <v>8</v>
      </c>
      <c r="E71" s="219">
        <f t="shared" si="2"/>
        <v>0.125</v>
      </c>
      <c r="F71" s="226" t="str">
        <f t="shared" si="3"/>
        <v>-</v>
      </c>
    </row>
    <row r="72" spans="1:6">
      <c r="A72" s="180" t="s">
        <v>81</v>
      </c>
      <c r="B72" s="205" t="s">
        <v>9</v>
      </c>
      <c r="C72" s="220">
        <f>S!D72</f>
        <v>822.16050961447365</v>
      </c>
      <c r="D72" s="220">
        <f>P!AK74</f>
        <v>845.83333333333337</v>
      </c>
      <c r="E72" s="219">
        <f t="shared" si="2"/>
        <v>23.672823718859718</v>
      </c>
      <c r="F72" s="226" t="str">
        <f t="shared" si="3"/>
        <v>+</v>
      </c>
    </row>
    <row r="73" spans="1:6">
      <c r="A73" s="180" t="s">
        <v>82</v>
      </c>
      <c r="B73" s="205" t="s">
        <v>9</v>
      </c>
      <c r="C73" s="220">
        <f>S!D73</f>
        <v>679.67560410460112</v>
      </c>
      <c r="D73" s="220">
        <f>P!AK75</f>
        <v>680</v>
      </c>
      <c r="E73" s="219">
        <f t="shared" si="2"/>
        <v>0.32439589539887947</v>
      </c>
      <c r="F73" s="226" t="str">
        <f t="shared" si="3"/>
        <v>+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280</v>
      </c>
      <c r="B75" s="205" t="s">
        <v>9</v>
      </c>
      <c r="C75" s="220">
        <f>S!D75</f>
        <v>1707.3889265897569</v>
      </c>
      <c r="D75" s="220">
        <f>P!AK77</f>
        <v>1605.4054054054054</v>
      </c>
      <c r="E75" s="219">
        <f t="shared" si="2"/>
        <v>101.9835211843515</v>
      </c>
      <c r="F75" s="226" t="str">
        <f t="shared" si="3"/>
        <v>-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3574.2124229492838</v>
      </c>
      <c r="D77" s="220">
        <f>P!AK79</f>
        <v>3599.9999999999995</v>
      </c>
      <c r="E77" s="219">
        <f t="shared" si="2"/>
        <v>25.787577050715754</v>
      </c>
      <c r="F77" s="226" t="str">
        <f t="shared" si="3"/>
        <v>+</v>
      </c>
    </row>
    <row r="78" spans="1:6">
      <c r="A78" s="180" t="s">
        <v>86</v>
      </c>
      <c r="B78" s="205" t="s">
        <v>9</v>
      </c>
      <c r="C78" s="220">
        <f>S!D78</f>
        <v>533.90756302521004</v>
      </c>
      <c r="D78" s="220">
        <f>P!AK80</f>
        <v>599.99999999999989</v>
      </c>
      <c r="E78" s="219">
        <f t="shared" si="2"/>
        <v>66.092436974789848</v>
      </c>
      <c r="F78" s="226" t="str">
        <f t="shared" si="3"/>
        <v>+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179.99994755267818</v>
      </c>
      <c r="D80" s="220">
        <f>P!AK82</f>
        <v>177.14285714285714</v>
      </c>
      <c r="E80" s="219">
        <f t="shared" si="2"/>
        <v>2.8570904098210406</v>
      </c>
      <c r="F80" s="226" t="str">
        <f t="shared" si="3"/>
        <v>-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261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230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2811.8032786885246</v>
      </c>
      <c r="D84" s="220">
        <f>P!AK86</f>
        <v>2811.8032786885246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202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266</v>
      </c>
      <c r="B86" s="205" t="s">
        <v>9</v>
      </c>
      <c r="C86" s="220">
        <f>S!D86</f>
        <v>1247.8260869565215</v>
      </c>
      <c r="D86" s="220">
        <f>P!AK88</f>
        <v>1800</v>
      </c>
      <c r="E86" s="219">
        <f t="shared" si="2"/>
        <v>552.17391304347848</v>
      </c>
      <c r="F86" s="226" t="str">
        <f t="shared" si="3"/>
        <v>+</v>
      </c>
    </row>
    <row r="87" spans="1:6">
      <c r="A87" s="180" t="s">
        <v>92</v>
      </c>
      <c r="B87" s="205" t="s">
        <v>9</v>
      </c>
      <c r="C87" s="220">
        <f>S!D87</f>
        <v>67.39999999999641</v>
      </c>
      <c r="D87" s="220">
        <f>P!AK89</f>
        <v>67</v>
      </c>
      <c r="E87" s="219">
        <f t="shared" si="2"/>
        <v>0.39999999999641034</v>
      </c>
      <c r="F87" s="226" t="str">
        <f t="shared" si="3"/>
        <v>-</v>
      </c>
    </row>
    <row r="88" spans="1:6">
      <c r="A88" s="180" t="s">
        <v>93</v>
      </c>
      <c r="B88" s="205" t="s">
        <v>9</v>
      </c>
      <c r="C88" s="220">
        <f>S!D88</f>
        <v>112.18559404677514</v>
      </c>
      <c r="D88" s="220">
        <f>P!AK90</f>
        <v>102.5</v>
      </c>
      <c r="E88" s="219">
        <f t="shared" si="2"/>
        <v>9.6855940467751367</v>
      </c>
      <c r="F88" s="226" t="str">
        <f t="shared" si="3"/>
        <v>-</v>
      </c>
    </row>
    <row r="89" spans="1:6">
      <c r="A89" s="180" t="s">
        <v>94</v>
      </c>
      <c r="B89" s="205" t="s">
        <v>31</v>
      </c>
      <c r="C89" s="220">
        <f>S!D89</f>
        <v>11.628721521222579</v>
      </c>
      <c r="D89" s="220">
        <f>P!AK91</f>
        <v>11.461024498886415</v>
      </c>
      <c r="E89" s="219">
        <f t="shared" si="2"/>
        <v>0.16769702233616357</v>
      </c>
      <c r="F89" s="226" t="str">
        <f t="shared" si="3"/>
        <v>-</v>
      </c>
    </row>
    <row r="90" spans="1:6">
      <c r="A90" s="180" t="s">
        <v>315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220.00000000000003</v>
      </c>
      <c r="D92" s="220">
        <f>P!AK94</f>
        <v>215.55555555555554</v>
      </c>
      <c r="E92" s="219">
        <f t="shared" si="2"/>
        <v>4.4444444444444855</v>
      </c>
      <c r="F92" s="226" t="str">
        <f t="shared" si="3"/>
        <v>-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85.050323693795988</v>
      </c>
      <c r="D95" s="220">
        <f>P!AK97</f>
        <v>85</v>
      </c>
      <c r="E95" s="219">
        <f t="shared" si="2"/>
        <v>5.0323693795988333E-2</v>
      </c>
      <c r="F95" s="226" t="str">
        <f t="shared" si="3"/>
        <v>-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520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324</v>
      </c>
      <c r="B98" s="205" t="s">
        <v>31</v>
      </c>
      <c r="C98" s="220">
        <f>S!D98</f>
        <v>200</v>
      </c>
      <c r="D98" s="220">
        <f>P!AK100</f>
        <v>177.5</v>
      </c>
      <c r="E98" s="219">
        <f t="shared" si="2"/>
        <v>22.5</v>
      </c>
      <c r="F98" s="226" t="str">
        <f t="shared" si="3"/>
        <v>-</v>
      </c>
    </row>
    <row r="99" spans="1:6">
      <c r="A99" s="180" t="s">
        <v>102</v>
      </c>
      <c r="B99" s="205" t="s">
        <v>9</v>
      </c>
      <c r="C99" s="220">
        <f>S!D99</f>
        <v>591.76871235090846</v>
      </c>
      <c r="D99" s="220">
        <f>P!AK101</f>
        <v>591.76871235090846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170</v>
      </c>
      <c r="D100" s="220">
        <f>P!AK102</f>
        <v>170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291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295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293</v>
      </c>
      <c r="B103" s="205" t="s">
        <v>31</v>
      </c>
      <c r="C103" s="220">
        <f>S!D103</f>
        <v>220</v>
      </c>
      <c r="D103" s="220">
        <f>P!AK105</f>
        <v>180</v>
      </c>
      <c r="E103" s="219">
        <f t="shared" si="2"/>
        <v>40</v>
      </c>
      <c r="F103" s="226" t="str">
        <f t="shared" si="3"/>
        <v>-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168.33333333333334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170</v>
      </c>
      <c r="D106" s="220">
        <f>P!AK108</f>
        <v>160</v>
      </c>
      <c r="E106" s="219">
        <f t="shared" si="2"/>
        <v>10</v>
      </c>
      <c r="F106" s="226" t="str">
        <f t="shared" si="3"/>
        <v>-</v>
      </c>
    </row>
    <row r="107" spans="1:6">
      <c r="A107" s="180" t="s">
        <v>108</v>
      </c>
      <c r="B107" s="205" t="s">
        <v>9</v>
      </c>
      <c r="C107" s="220">
        <f>S!D107</f>
        <v>302.23613053033381</v>
      </c>
      <c r="D107" s="220">
        <f>P!AK109</f>
        <v>850</v>
      </c>
      <c r="E107" s="219">
        <f t="shared" si="2"/>
        <v>547.76386946966613</v>
      </c>
      <c r="F107" s="226" t="str">
        <f t="shared" si="3"/>
        <v>+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271.42857142857144</v>
      </c>
      <c r="D109" s="220">
        <f>P!AK111</f>
        <v>270</v>
      </c>
      <c r="E109" s="219">
        <f t="shared" si="2"/>
        <v>1.4285714285714448</v>
      </c>
      <c r="F109" s="226" t="str">
        <f t="shared" si="3"/>
        <v>-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296</v>
      </c>
      <c r="B112" s="205" t="s">
        <v>9</v>
      </c>
      <c r="C112" s="220">
        <f>S!D112</f>
        <v>1675</v>
      </c>
      <c r="D112" s="220">
        <f>P!AK114</f>
        <v>2124.2424242424245</v>
      </c>
      <c r="E112" s="219">
        <f t="shared" si="2"/>
        <v>449.24242424242448</v>
      </c>
      <c r="F112" s="226" t="str">
        <f t="shared" si="3"/>
        <v>+</v>
      </c>
    </row>
    <row r="113" spans="1:6">
      <c r="A113" s="180" t="s">
        <v>112</v>
      </c>
      <c r="B113" s="205" t="s">
        <v>9</v>
      </c>
      <c r="C113" s="220">
        <f>S!D113</f>
        <v>3250</v>
      </c>
      <c r="D113" s="220">
        <f>P!AK115</f>
        <v>3880</v>
      </c>
      <c r="E113" s="219">
        <f t="shared" si="2"/>
        <v>630</v>
      </c>
      <c r="F113" s="226" t="str">
        <f t="shared" si="3"/>
        <v>+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330</v>
      </c>
      <c r="B116" s="205" t="s">
        <v>31</v>
      </c>
      <c r="C116" s="220">
        <f>S!D116</f>
        <v>9.5822015841321573</v>
      </c>
      <c r="D116" s="220">
        <f>P!AK118</f>
        <v>8.7962962962962958</v>
      </c>
      <c r="E116" s="219">
        <f t="shared" si="2"/>
        <v>0.78590528783586144</v>
      </c>
      <c r="F116" s="226" t="str">
        <f t="shared" si="3"/>
        <v>-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180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262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140</v>
      </c>
      <c r="D120" s="220">
        <f>P!AK122</f>
        <v>140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113.81194022010349</v>
      </c>
      <c r="D121" s="220">
        <f>P!AK123</f>
        <v>110</v>
      </c>
      <c r="E121" s="219">
        <f t="shared" si="2"/>
        <v>3.8119402201034944</v>
      </c>
      <c r="F121" s="226" t="str">
        <f t="shared" si="3"/>
        <v>-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6.583333333333333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982.25806451612902</v>
      </c>
      <c r="D123" s="220">
        <f>P!AK125</f>
        <v>1151.252408477842</v>
      </c>
      <c r="E123" s="219">
        <f t="shared" si="2"/>
        <v>168.99434396171296</v>
      </c>
      <c r="F123" s="226" t="str">
        <f t="shared" si="3"/>
        <v>+</v>
      </c>
    </row>
    <row r="124" spans="1:6">
      <c r="A124" s="180" t="s">
        <v>123</v>
      </c>
      <c r="B124" s="205" t="s">
        <v>31</v>
      </c>
      <c r="C124" s="220">
        <f>S!D124</f>
        <v>10.048991354466859</v>
      </c>
      <c r="D124" s="220">
        <f>P!AK126</f>
        <v>9.5956989247311828</v>
      </c>
      <c r="E124" s="219">
        <f t="shared" si="2"/>
        <v>0.45329242973567574</v>
      </c>
      <c r="F124" s="226" t="str">
        <f t="shared" si="3"/>
        <v>-</v>
      </c>
    </row>
    <row r="125" spans="1:6">
      <c r="A125" s="180" t="s">
        <v>265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312</v>
      </c>
      <c r="B126" s="205" t="s">
        <v>9</v>
      </c>
      <c r="C126" s="220">
        <f>S!D126</f>
        <v>97.890909090909076</v>
      </c>
      <c r="D126" s="220">
        <f>P!AK128</f>
        <v>90.246913580246897</v>
      </c>
      <c r="E126" s="219">
        <f t="shared" si="2"/>
        <v>7.6439955106621795</v>
      </c>
      <c r="F126" s="226" t="str">
        <f t="shared" si="3"/>
        <v>-</v>
      </c>
    </row>
    <row r="127" spans="1:6">
      <c r="A127" s="180" t="s">
        <v>263</v>
      </c>
      <c r="B127" s="205" t="s">
        <v>9</v>
      </c>
      <c r="C127" s="220">
        <f>S!D127</f>
        <v>363.28358208955223</v>
      </c>
      <c r="D127" s="220">
        <f>P!AK129</f>
        <v>363.28358208955223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267</v>
      </c>
      <c r="B128" s="205" t="s">
        <v>9</v>
      </c>
      <c r="C128" s="220">
        <f>S!D128</f>
        <v>350</v>
      </c>
      <c r="D128" s="220">
        <f>P!AK130</f>
        <v>410</v>
      </c>
      <c r="E128" s="219">
        <f t="shared" si="2"/>
        <v>60</v>
      </c>
      <c r="F128" s="226" t="str">
        <f t="shared" si="3"/>
        <v>+</v>
      </c>
    </row>
    <row r="129" spans="1:6">
      <c r="A129" s="180" t="s">
        <v>264</v>
      </c>
      <c r="B129" s="205" t="s">
        <v>9</v>
      </c>
      <c r="C129" s="220">
        <f>S!D129</f>
        <v>300</v>
      </c>
      <c r="D129" s="220">
        <f>P!AK131</f>
        <v>249.99999999999997</v>
      </c>
      <c r="E129" s="219">
        <f t="shared" si="2"/>
        <v>50.000000000000028</v>
      </c>
      <c r="F129" s="226" t="str">
        <f t="shared" si="3"/>
        <v>-</v>
      </c>
    </row>
    <row r="130" spans="1:6">
      <c r="A130" s="180" t="s">
        <v>124</v>
      </c>
      <c r="B130" s="205" t="s">
        <v>9</v>
      </c>
      <c r="C130" s="220">
        <f>S!D130</f>
        <v>105.00000000000001</v>
      </c>
      <c r="D130" s="220">
        <f>P!AK132</f>
        <v>101.36986301369863</v>
      </c>
      <c r="E130" s="219">
        <f t="shared" si="2"/>
        <v>3.6301369863013804</v>
      </c>
      <c r="F130" s="226" t="str">
        <f t="shared" si="3"/>
        <v>-</v>
      </c>
    </row>
    <row r="131" spans="1:6">
      <c r="A131" s="180" t="s">
        <v>125</v>
      </c>
      <c r="B131" s="205" t="s">
        <v>9</v>
      </c>
      <c r="C131" s="220">
        <f>S!D131</f>
        <v>150</v>
      </c>
      <c r="D131" s="220">
        <f>P!AK133</f>
        <v>130</v>
      </c>
      <c r="E131" s="219">
        <f t="shared" si="2"/>
        <v>20</v>
      </c>
      <c r="F131" s="226" t="str">
        <f t="shared" si="3"/>
        <v>-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286</v>
      </c>
      <c r="B133" s="205" t="s">
        <v>9</v>
      </c>
      <c r="C133" s="220">
        <f>S!D133</f>
        <v>200</v>
      </c>
      <c r="D133" s="220">
        <f>P!AK135</f>
        <v>202.90076335877862</v>
      </c>
      <c r="E133" s="219">
        <f t="shared" si="4"/>
        <v>2.9007633587786188</v>
      </c>
      <c r="F133" s="226" t="str">
        <f t="shared" si="5"/>
        <v>+</v>
      </c>
    </row>
    <row r="134" spans="1:6">
      <c r="A134" s="180" t="s">
        <v>288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289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287</v>
      </c>
      <c r="B136" s="205" t="s">
        <v>9</v>
      </c>
      <c r="C136" s="220">
        <f>S!D136</f>
        <v>460</v>
      </c>
      <c r="D136" s="220">
        <f>P!AK138</f>
        <v>309.70384373030879</v>
      </c>
      <c r="E136" s="219">
        <f t="shared" si="4"/>
        <v>150.29615626969121</v>
      </c>
      <c r="F136" s="226" t="str">
        <f t="shared" si="5"/>
        <v>-</v>
      </c>
    </row>
    <row r="137" spans="1:6">
      <c r="A137" s="180" t="s">
        <v>290</v>
      </c>
      <c r="B137" s="205" t="s">
        <v>9</v>
      </c>
      <c r="C137" s="220">
        <f>S!D137</f>
        <v>70</v>
      </c>
      <c r="D137" s="220">
        <f>P!AK139</f>
        <v>110</v>
      </c>
      <c r="E137" s="219">
        <f t="shared" si="4"/>
        <v>40</v>
      </c>
      <c r="F137" s="226" t="str">
        <f t="shared" si="5"/>
        <v>+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20.040788245122613</v>
      </c>
      <c r="D141" s="220">
        <f>P!AK143</f>
        <v>20</v>
      </c>
      <c r="E141" s="219">
        <f t="shared" si="4"/>
        <v>4.0788245122612921E-2</v>
      </c>
      <c r="F141" s="226" t="str">
        <f t="shared" si="5"/>
        <v>-</v>
      </c>
    </row>
    <row r="142" spans="1:6">
      <c r="A142" s="180" t="s">
        <v>130</v>
      </c>
      <c r="B142" s="205" t="s">
        <v>31</v>
      </c>
      <c r="C142" s="220">
        <f>S!D142</f>
        <v>62.8</v>
      </c>
      <c r="D142" s="220">
        <f>P!AK144</f>
        <v>62.8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268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225.93890999557178</v>
      </c>
      <c r="D150" s="220">
        <f>P!AK152</f>
        <v>227.57847533632287</v>
      </c>
      <c r="E150" s="219">
        <f t="shared" si="4"/>
        <v>1.6395653407510906</v>
      </c>
      <c r="F150" s="226" t="str">
        <f t="shared" si="5"/>
        <v>+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329</v>
      </c>
      <c r="B152" s="205" t="s">
        <v>9</v>
      </c>
      <c r="C152" s="220">
        <f>S!D152</f>
        <v>225.98668664631265</v>
      </c>
      <c r="D152" s="220">
        <f>P!AK154</f>
        <v>220.72847682119206</v>
      </c>
      <c r="E152" s="219">
        <f t="shared" si="4"/>
        <v>5.2582098251205878</v>
      </c>
      <c r="F152" s="226" t="str">
        <f t="shared" si="5"/>
        <v>-</v>
      </c>
    </row>
    <row r="153" spans="1:6">
      <c r="A153" s="180" t="s">
        <v>138</v>
      </c>
      <c r="B153" s="205" t="s">
        <v>9</v>
      </c>
      <c r="C153" s="220">
        <f>S!D153</f>
        <v>374.60342512745865</v>
      </c>
      <c r="D153" s="220">
        <f>P!AK155</f>
        <v>363.42281879194633</v>
      </c>
      <c r="E153" s="219">
        <f t="shared" si="4"/>
        <v>11.180606335512323</v>
      </c>
      <c r="F153" s="226" t="str">
        <f t="shared" si="5"/>
        <v>-</v>
      </c>
    </row>
    <row r="154" spans="1:6">
      <c r="A154" s="180" t="s">
        <v>269</v>
      </c>
      <c r="B154" s="205" t="s">
        <v>9</v>
      </c>
      <c r="C154" s="220">
        <f>S!D154</f>
        <v>370.01567398119124</v>
      </c>
      <c r="D154" s="220">
        <f>P!AK156</f>
        <v>350</v>
      </c>
      <c r="E154" s="219">
        <f t="shared" si="4"/>
        <v>20.015673981191242</v>
      </c>
      <c r="F154" s="226" t="str">
        <f t="shared" si="5"/>
        <v>-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2253.7623762376234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427.14285714285717</v>
      </c>
      <c r="D160" s="220">
        <f>P!AK162</f>
        <v>363.33333333333331</v>
      </c>
      <c r="E160" s="219">
        <f t="shared" si="4"/>
        <v>63.809523809523853</v>
      </c>
      <c r="F160" s="226" t="str">
        <f t="shared" si="5"/>
        <v>-</v>
      </c>
    </row>
    <row r="161" spans="1:6">
      <c r="A161" s="180" t="s">
        <v>145</v>
      </c>
      <c r="B161" s="205" t="s">
        <v>9</v>
      </c>
      <c r="C161" s="220">
        <f>S!D161</f>
        <v>675</v>
      </c>
      <c r="D161" s="220">
        <f>P!AK163</f>
        <v>670</v>
      </c>
      <c r="E161" s="219">
        <f t="shared" si="4"/>
        <v>5</v>
      </c>
      <c r="F161" s="226" t="str">
        <f t="shared" si="5"/>
        <v>-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190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507.01388888888891</v>
      </c>
      <c r="D168" s="220">
        <f>P!AK170</f>
        <v>700</v>
      </c>
      <c r="E168" s="219">
        <f t="shared" si="4"/>
        <v>192.98611111111109</v>
      </c>
      <c r="F168" s="226" t="str">
        <f t="shared" si="5"/>
        <v>+</v>
      </c>
    </row>
    <row r="169" spans="1:6">
      <c r="A169" s="180" t="s">
        <v>4</v>
      </c>
      <c r="B169" s="205" t="s">
        <v>9</v>
      </c>
      <c r="C169" s="220">
        <f>S!D169</f>
        <v>416.66666666666669</v>
      </c>
      <c r="D169" s="220">
        <f>P!AK171</f>
        <v>370</v>
      </c>
      <c r="E169" s="219">
        <f t="shared" si="4"/>
        <v>46.666666666666686</v>
      </c>
      <c r="F169" s="226" t="str">
        <f t="shared" si="5"/>
        <v>-</v>
      </c>
    </row>
    <row r="170" spans="1:6">
      <c r="A170" s="180" t="s">
        <v>153</v>
      </c>
      <c r="B170" s="205" t="s">
        <v>9</v>
      </c>
      <c r="C170" s="220">
        <f>S!D170</f>
        <v>512.24798530661542</v>
      </c>
      <c r="D170" s="220">
        <f>P!AK172</f>
        <v>459.85074626865668</v>
      </c>
      <c r="E170" s="219">
        <f t="shared" si="4"/>
        <v>52.397239037958741</v>
      </c>
      <c r="F170" s="226" t="str">
        <f t="shared" si="5"/>
        <v>-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336</v>
      </c>
      <c r="B173" s="205" t="s">
        <v>9</v>
      </c>
      <c r="C173" s="220">
        <f>S!D173</f>
        <v>739.60396039603961</v>
      </c>
      <c r="D173" s="220">
        <f>P!AK175</f>
        <v>630</v>
      </c>
      <c r="E173" s="219">
        <f t="shared" si="4"/>
        <v>109.60396039603961</v>
      </c>
      <c r="F173" s="226" t="str">
        <f t="shared" si="5"/>
        <v>-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298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23.666666666666668</v>
      </c>
      <c r="D177" s="220">
        <f>P!AK179</f>
        <v>23.528301886792452</v>
      </c>
      <c r="E177" s="219">
        <f t="shared" si="4"/>
        <v>0.13836477987421603</v>
      </c>
      <c r="F177" s="226" t="str">
        <f t="shared" si="5"/>
        <v>-</v>
      </c>
    </row>
    <row r="178" spans="1:6">
      <c r="A178" s="180" t="s">
        <v>310</v>
      </c>
      <c r="B178" s="205" t="s">
        <v>9</v>
      </c>
      <c r="C178" s="220">
        <f>S!D178</f>
        <v>81.008474576271183</v>
      </c>
      <c r="D178" s="220">
        <f>P!AK180</f>
        <v>80</v>
      </c>
      <c r="E178" s="219">
        <f t="shared" si="4"/>
        <v>1.0084745762711833</v>
      </c>
      <c r="F178" s="226" t="str">
        <f t="shared" si="5"/>
        <v>-</v>
      </c>
    </row>
    <row r="179" spans="1:6">
      <c r="A179" s="180" t="s">
        <v>157</v>
      </c>
      <c r="B179" s="205" t="s">
        <v>9</v>
      </c>
      <c r="C179" s="220">
        <f>S!D179</f>
        <v>184.85714285714286</v>
      </c>
      <c r="D179" s="220">
        <f>P!AK181</f>
        <v>193.88888888888889</v>
      </c>
      <c r="E179" s="219">
        <f t="shared" si="4"/>
        <v>9.0317460317460245</v>
      </c>
      <c r="F179" s="226" t="str">
        <f t="shared" si="5"/>
        <v>+</v>
      </c>
    </row>
    <row r="180" spans="1:6">
      <c r="A180" s="180" t="s">
        <v>158</v>
      </c>
      <c r="B180" s="205" t="s">
        <v>9</v>
      </c>
      <c r="C180" s="220">
        <f>S!D180</f>
        <v>165.5</v>
      </c>
      <c r="D180" s="220">
        <f>P!AK182</f>
        <v>164.61538461538461</v>
      </c>
      <c r="E180" s="219">
        <f t="shared" si="4"/>
        <v>0.8846153846153868</v>
      </c>
      <c r="F180" s="226" t="str">
        <f t="shared" si="5"/>
        <v>-</v>
      </c>
    </row>
    <row r="181" spans="1:6">
      <c r="A181" s="180" t="s">
        <v>319</v>
      </c>
      <c r="B181" s="205" t="s">
        <v>9</v>
      </c>
      <c r="C181" s="220">
        <f>S!D181</f>
        <v>156.31578947368422</v>
      </c>
      <c r="D181" s="220">
        <f>P!AK183</f>
        <v>147.71428571428572</v>
      </c>
      <c r="E181" s="219">
        <f t="shared" si="4"/>
        <v>8.6015037593984971</v>
      </c>
      <c r="F181" s="226" t="str">
        <f t="shared" si="5"/>
        <v>-</v>
      </c>
    </row>
    <row r="182" spans="1:6">
      <c r="A182" s="180" t="s">
        <v>159</v>
      </c>
      <c r="B182" s="205" t="s">
        <v>31</v>
      </c>
      <c r="C182" s="220">
        <f>S!D182</f>
        <v>8.279069767441861</v>
      </c>
      <c r="D182" s="220">
        <f>P!AK184</f>
        <v>6.6969696969696972</v>
      </c>
      <c r="E182" s="219">
        <f t="shared" si="4"/>
        <v>1.5821000704721637</v>
      </c>
      <c r="F182" s="226" t="str">
        <f t="shared" si="5"/>
        <v>-</v>
      </c>
    </row>
    <row r="183" spans="1:6">
      <c r="A183" s="180" t="s">
        <v>160</v>
      </c>
      <c r="B183" s="205" t="s">
        <v>9</v>
      </c>
      <c r="C183" s="220">
        <f>S!D183</f>
        <v>55</v>
      </c>
      <c r="D183" s="220">
        <f>P!AK185</f>
        <v>56.4</v>
      </c>
      <c r="E183" s="219">
        <f t="shared" si="4"/>
        <v>1.3999999999999986</v>
      </c>
      <c r="F183" s="226" t="str">
        <f t="shared" si="5"/>
        <v>+</v>
      </c>
    </row>
    <row r="184" spans="1:6">
      <c r="A184" s="180" t="s">
        <v>161</v>
      </c>
      <c r="B184" s="205" t="s">
        <v>9</v>
      </c>
      <c r="C184" s="220">
        <f>S!D184</f>
        <v>88.918918918918919</v>
      </c>
      <c r="D184" s="220">
        <f>P!AK186</f>
        <v>90</v>
      </c>
      <c r="E184" s="219">
        <f t="shared" si="4"/>
        <v>1.0810810810810807</v>
      </c>
      <c r="F184" s="226" t="str">
        <f t="shared" si="5"/>
        <v>+</v>
      </c>
    </row>
    <row r="185" spans="1:6">
      <c r="A185" s="180" t="s">
        <v>162</v>
      </c>
      <c r="B185" s="205" t="s">
        <v>9</v>
      </c>
      <c r="C185" s="220">
        <f>S!D185</f>
        <v>77.368421052631575</v>
      </c>
      <c r="D185" s="220">
        <f>P!AK187</f>
        <v>54.375</v>
      </c>
      <c r="E185" s="219">
        <f t="shared" si="4"/>
        <v>22.993421052631575</v>
      </c>
      <c r="F185" s="226" t="str">
        <f t="shared" si="5"/>
        <v>-</v>
      </c>
    </row>
    <row r="186" spans="1:6">
      <c r="A186" s="180" t="s">
        <v>270</v>
      </c>
      <c r="B186" s="205" t="s">
        <v>9</v>
      </c>
      <c r="C186" s="220">
        <f>S!D186</f>
        <v>100</v>
      </c>
      <c r="D186" s="220">
        <f>P!AK188</f>
        <v>57.5</v>
      </c>
      <c r="E186" s="219">
        <f t="shared" si="4"/>
        <v>42.5</v>
      </c>
      <c r="F186" s="226" t="str">
        <f t="shared" si="5"/>
        <v>-</v>
      </c>
    </row>
    <row r="187" spans="1:6">
      <c r="A187" s="180" t="s">
        <v>163</v>
      </c>
      <c r="B187" s="205" t="s">
        <v>31</v>
      </c>
      <c r="C187" s="220">
        <f>S!D187</f>
        <v>50</v>
      </c>
      <c r="D187" s="220">
        <f>P!AK189</f>
        <v>37.5</v>
      </c>
      <c r="E187" s="219">
        <f t="shared" si="4"/>
        <v>12.5</v>
      </c>
      <c r="F187" s="226" t="str">
        <f t="shared" si="5"/>
        <v>-</v>
      </c>
    </row>
    <row r="188" spans="1:6">
      <c r="A188" s="180" t="s">
        <v>318</v>
      </c>
      <c r="B188" s="205" t="s">
        <v>31</v>
      </c>
      <c r="C188" s="220">
        <f>S!D188</f>
        <v>5.7635467980295569</v>
      </c>
      <c r="D188" s="220">
        <f>P!AK190</f>
        <v>6.1310344827586203</v>
      </c>
      <c r="E188" s="219">
        <f t="shared" si="4"/>
        <v>0.36748768472906335</v>
      </c>
      <c r="F188" s="226" t="str">
        <f t="shared" si="5"/>
        <v>+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25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18</v>
      </c>
      <c r="D190" s="220">
        <f>P!AK192</f>
        <v>12</v>
      </c>
      <c r="E190" s="219">
        <f t="shared" si="4"/>
        <v>6</v>
      </c>
      <c r="F190" s="226" t="str">
        <f t="shared" si="5"/>
        <v>-</v>
      </c>
    </row>
    <row r="191" spans="1:6">
      <c r="A191" s="180" t="s">
        <v>166</v>
      </c>
      <c r="B191" s="205" t="s">
        <v>9</v>
      </c>
      <c r="C191" s="220">
        <f>S!D191</f>
        <v>40</v>
      </c>
      <c r="D191" s="220">
        <f>P!AK193</f>
        <v>23.548387096774192</v>
      </c>
      <c r="E191" s="219">
        <f t="shared" si="4"/>
        <v>16.451612903225808</v>
      </c>
      <c r="F191" s="226" t="str">
        <f t="shared" si="5"/>
        <v>-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43.4</v>
      </c>
      <c r="D193" s="220">
        <f>P!AK195</f>
        <v>40</v>
      </c>
      <c r="E193" s="219">
        <f t="shared" si="4"/>
        <v>3.3999999999999986</v>
      </c>
      <c r="F193" s="226" t="str">
        <f t="shared" si="5"/>
        <v>-</v>
      </c>
    </row>
    <row r="194" spans="1:6">
      <c r="A194" s="180" t="s">
        <v>169</v>
      </c>
      <c r="B194" s="205" t="s">
        <v>9</v>
      </c>
      <c r="C194" s="220">
        <f>S!D194</f>
        <v>34.527059579251649</v>
      </c>
      <c r="D194" s="220">
        <f>P!AK196</f>
        <v>34.984472049689437</v>
      </c>
      <c r="E194" s="219">
        <f t="shared" si="4"/>
        <v>0.45741247043778799</v>
      </c>
      <c r="F194" s="226" t="str">
        <f t="shared" si="5"/>
        <v>+</v>
      </c>
    </row>
    <row r="195" spans="1:6">
      <c r="A195" s="180" t="s">
        <v>320</v>
      </c>
      <c r="B195" s="205" t="s">
        <v>9</v>
      </c>
      <c r="C195" s="220">
        <f>S!D195</f>
        <v>25.35</v>
      </c>
      <c r="D195" s="220">
        <f>P!AK197</f>
        <v>20.603448275862068</v>
      </c>
      <c r="E195" s="219">
        <f t="shared" si="4"/>
        <v>4.7465517241379338</v>
      </c>
      <c r="F195" s="226" t="str">
        <f t="shared" si="5"/>
        <v>-</v>
      </c>
    </row>
    <row r="196" spans="1:6">
      <c r="A196" s="180" t="s">
        <v>321</v>
      </c>
      <c r="B196" s="205" t="s">
        <v>9</v>
      </c>
      <c r="C196" s="220">
        <f>S!D196</f>
        <v>110</v>
      </c>
      <c r="D196" s="220">
        <f>P!AK198</f>
        <v>110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271</v>
      </c>
      <c r="B197" s="205" t="s">
        <v>9</v>
      </c>
      <c r="C197" s="220">
        <f>S!D197</f>
        <v>114.375</v>
      </c>
      <c r="D197" s="220">
        <f>P!AK199</f>
        <v>106.92307692307692</v>
      </c>
      <c r="E197" s="219">
        <f t="shared" si="6"/>
        <v>7.4519230769230802</v>
      </c>
      <c r="F197" s="226" t="str">
        <f t="shared" si="7"/>
        <v>-</v>
      </c>
    </row>
    <row r="198" spans="1:6">
      <c r="A198" s="180" t="s">
        <v>272</v>
      </c>
      <c r="B198" s="205" t="s">
        <v>9</v>
      </c>
      <c r="C198" s="220">
        <f>S!D198</f>
        <v>135.23809523809524</v>
      </c>
      <c r="D198" s="220">
        <f>P!AK200</f>
        <v>114.61538461538461</v>
      </c>
      <c r="E198" s="219">
        <f t="shared" si="6"/>
        <v>20.622710622710628</v>
      </c>
      <c r="F198" s="226" t="str">
        <f t="shared" si="7"/>
        <v>-</v>
      </c>
    </row>
    <row r="199" spans="1:6">
      <c r="A199" s="180" t="s">
        <v>273</v>
      </c>
      <c r="B199" s="205" t="s">
        <v>9</v>
      </c>
      <c r="C199" s="220">
        <f>S!D199</f>
        <v>145</v>
      </c>
      <c r="D199" s="220">
        <f>P!AK201</f>
        <v>120</v>
      </c>
      <c r="E199" s="219">
        <f t="shared" si="6"/>
        <v>25</v>
      </c>
      <c r="F199" s="226" t="str">
        <f t="shared" si="7"/>
        <v>-</v>
      </c>
    </row>
    <row r="200" spans="1:6">
      <c r="A200" s="180" t="s">
        <v>317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316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60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75.454545454545453</v>
      </c>
      <c r="D203" s="220">
        <f>P!AK205</f>
        <v>44.090909090909093</v>
      </c>
      <c r="E203" s="219">
        <f t="shared" si="6"/>
        <v>31.36363636363636</v>
      </c>
      <c r="F203" s="226" t="str">
        <f t="shared" si="7"/>
        <v>-</v>
      </c>
    </row>
    <row r="204" spans="1:6">
      <c r="A204" s="180" t="s">
        <v>172</v>
      </c>
      <c r="B204" s="205" t="s">
        <v>9</v>
      </c>
      <c r="C204" s="220">
        <f>S!D204</f>
        <v>43.75</v>
      </c>
      <c r="D204" s="220">
        <f>P!AK206</f>
        <v>42.5</v>
      </c>
      <c r="E204" s="219">
        <f t="shared" si="6"/>
        <v>1.25</v>
      </c>
      <c r="F204" s="226" t="str">
        <f t="shared" si="7"/>
        <v>-</v>
      </c>
    </row>
    <row r="205" spans="1:6">
      <c r="A205" s="180" t="s">
        <v>173</v>
      </c>
      <c r="B205" s="205" t="s">
        <v>9</v>
      </c>
      <c r="C205" s="220">
        <f>S!D205</f>
        <v>56</v>
      </c>
      <c r="D205" s="220">
        <f>P!AK207</f>
        <v>50</v>
      </c>
      <c r="E205" s="219">
        <f t="shared" si="6"/>
        <v>6</v>
      </c>
      <c r="F205" s="226" t="str">
        <f t="shared" si="7"/>
        <v>-</v>
      </c>
    </row>
    <row r="206" spans="1:6">
      <c r="A206" s="180" t="s">
        <v>174</v>
      </c>
      <c r="B206" s="205" t="s">
        <v>9</v>
      </c>
      <c r="C206" s="220">
        <f>S!D206</f>
        <v>46.25</v>
      </c>
      <c r="D206" s="220">
        <f>P!AK208</f>
        <v>42.346938775510203</v>
      </c>
      <c r="E206" s="219">
        <f t="shared" si="6"/>
        <v>3.9030612244897966</v>
      </c>
      <c r="F206" s="226" t="str">
        <f t="shared" si="7"/>
        <v>-</v>
      </c>
    </row>
    <row r="207" spans="1:6">
      <c r="A207" s="180" t="s">
        <v>175</v>
      </c>
      <c r="B207" s="205" t="s">
        <v>9</v>
      </c>
      <c r="C207" s="220">
        <f>S!D207</f>
        <v>67.18518518518519</v>
      </c>
      <c r="D207" s="220">
        <f>P!AK209</f>
        <v>35</v>
      </c>
      <c r="E207" s="219">
        <f t="shared" si="6"/>
        <v>32.18518518518519</v>
      </c>
      <c r="F207" s="226" t="str">
        <f t="shared" si="7"/>
        <v>-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40</v>
      </c>
      <c r="D209" s="220">
        <f>P!AK211</f>
        <v>36.875</v>
      </c>
      <c r="E209" s="219">
        <f t="shared" si="6"/>
        <v>3.125</v>
      </c>
      <c r="F209" s="226" t="str">
        <f t="shared" si="7"/>
        <v>-</v>
      </c>
    </row>
    <row r="210" spans="1:6">
      <c r="A210" s="180" t="s">
        <v>323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282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274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311</v>
      </c>
      <c r="B214" s="205" t="s">
        <v>9</v>
      </c>
      <c r="C214" s="220">
        <f>S!D214</f>
        <v>83.75</v>
      </c>
      <c r="D214" s="220">
        <f>P!AK216</f>
        <v>83.478260869565219</v>
      </c>
      <c r="E214" s="219">
        <f t="shared" si="6"/>
        <v>0.27173913043478137</v>
      </c>
      <c r="F214" s="226" t="str">
        <f t="shared" si="7"/>
        <v>-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275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500</v>
      </c>
      <c r="D228" s="220">
        <f>P!AK230</f>
        <v>495</v>
      </c>
      <c r="E228" s="219">
        <f t="shared" si="6"/>
        <v>5</v>
      </c>
      <c r="F228" s="226" t="str">
        <f t="shared" si="7"/>
        <v>-</v>
      </c>
    </row>
    <row r="229" spans="1:6">
      <c r="A229" s="180" t="s">
        <v>281</v>
      </c>
      <c r="B229" s="205" t="s">
        <v>9</v>
      </c>
      <c r="C229" s="220">
        <f>S!D229</f>
        <v>685.20461699895066</v>
      </c>
      <c r="D229" s="220">
        <f>P!AK231</f>
        <v>687.79220779220782</v>
      </c>
      <c r="E229" s="219">
        <f t="shared" si="6"/>
        <v>2.5875907932571636</v>
      </c>
      <c r="F229" s="226" t="str">
        <f t="shared" si="7"/>
        <v>+</v>
      </c>
    </row>
    <row r="230" spans="1:6">
      <c r="A230" s="180" t="s">
        <v>294</v>
      </c>
      <c r="B230" s="205" t="s">
        <v>9</v>
      </c>
      <c r="C230" s="220">
        <f>S!D230</f>
        <v>860.10352720086416</v>
      </c>
      <c r="D230" s="220">
        <f>P!AK232</f>
        <v>950</v>
      </c>
      <c r="E230" s="219">
        <f t="shared" si="6"/>
        <v>89.896472799135836</v>
      </c>
      <c r="F230" s="226" t="str">
        <f t="shared" si="7"/>
        <v>+</v>
      </c>
    </row>
    <row r="231" spans="1:6">
      <c r="A231" s="180" t="s">
        <v>56</v>
      </c>
      <c r="B231" s="205" t="s">
        <v>31</v>
      </c>
      <c r="C231" s="220">
        <f>S!D231</f>
        <v>1.4000000618479078</v>
      </c>
      <c r="D231" s="220">
        <f>P!AK233</f>
        <v>1.4</v>
      </c>
      <c r="E231" s="219">
        <f t="shared" si="6"/>
        <v>6.1847907906198429E-8</v>
      </c>
      <c r="F231" s="226" t="str">
        <f t="shared" si="7"/>
        <v>-</v>
      </c>
    </row>
    <row r="232" spans="1:6">
      <c r="A232" s="180" t="s">
        <v>194</v>
      </c>
      <c r="B232" s="205" t="s">
        <v>31</v>
      </c>
      <c r="C232" s="220">
        <f>S!D232</f>
        <v>66.477780388401257</v>
      </c>
      <c r="D232" s="220">
        <f>P!AK234</f>
        <v>25</v>
      </c>
      <c r="E232" s="219">
        <f t="shared" si="6"/>
        <v>41.477780388401257</v>
      </c>
      <c r="F232" s="226" t="str">
        <f t="shared" si="7"/>
        <v>-</v>
      </c>
    </row>
    <row r="233" spans="1:6">
      <c r="A233" s="180" t="s">
        <v>276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283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285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284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277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278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279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280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9.4663043478260871</v>
      </c>
      <c r="D243" s="220">
        <f>P!AK245</f>
        <v>8.6926829268292689</v>
      </c>
      <c r="E243" s="219">
        <f t="shared" si="6"/>
        <v>0.77362142099681819</v>
      </c>
      <c r="F243" s="226" t="str">
        <f t="shared" si="7"/>
        <v>-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349.99999465430227</v>
      </c>
      <c r="D245" s="220">
        <f>P!AK247</f>
        <v>350</v>
      </c>
      <c r="E245" s="219">
        <f t="shared" si="6"/>
        <v>5.3456977298083075E-6</v>
      </c>
      <c r="F245" s="226" t="str">
        <f t="shared" si="7"/>
        <v>+</v>
      </c>
    </row>
    <row r="246" spans="1:6">
      <c r="A246" s="180" t="s">
        <v>191</v>
      </c>
      <c r="B246" s="205" t="s">
        <v>192</v>
      </c>
      <c r="C246" s="220">
        <f>S!D246</f>
        <v>25</v>
      </c>
      <c r="D246" s="220">
        <f>P!AK248</f>
        <v>2.358490566037736</v>
      </c>
      <c r="E246" s="219">
        <f t="shared" si="6"/>
        <v>22.641509433962263</v>
      </c>
      <c r="F246" s="226" t="str">
        <f t="shared" si="7"/>
        <v>-</v>
      </c>
    </row>
    <row r="247" spans="1:6">
      <c r="A247" s="180" t="s">
        <v>341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322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C14" sqref="C14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45970.480071527774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257</v>
      </c>
      <c r="C6" s="57" t="s">
        <v>256</v>
      </c>
    </row>
    <row r="7" spans="2:10" ht="22.5">
      <c r="B7" s="425" t="s">
        <v>258</v>
      </c>
      <c r="C7" s="426">
        <v>45953</v>
      </c>
      <c r="I7" s="223" t="s">
        <v>344</v>
      </c>
      <c r="J7" s="223" t="s">
        <v>349</v>
      </c>
    </row>
    <row r="8" spans="2:10" ht="22.5">
      <c r="B8" s="62" t="s">
        <v>518</v>
      </c>
      <c r="C8" s="427" t="s">
        <v>519</v>
      </c>
      <c r="I8" s="222" t="s">
        <v>352</v>
      </c>
      <c r="J8" s="224" t="s">
        <v>520</v>
      </c>
    </row>
    <row r="9" spans="2:10" ht="21">
      <c r="B9"/>
      <c r="C9"/>
      <c r="D9"/>
      <c r="E9"/>
      <c r="F9"/>
      <c r="I9" s="222" t="s">
        <v>347</v>
      </c>
      <c r="J9" s="224" t="s">
        <v>520</v>
      </c>
    </row>
    <row r="10" spans="2:10" ht="21.75" customHeight="1">
      <c r="B10" s="428" t="s">
        <v>513</v>
      </c>
      <c r="C10" s="430"/>
      <c r="D10"/>
      <c r="E10"/>
      <c r="F10"/>
      <c r="I10" s="222" t="s">
        <v>345</v>
      </c>
      <c r="J10" s="224"/>
    </row>
    <row r="11" spans="2:10" ht="21.75" customHeight="1">
      <c r="B11" s="429" t="s">
        <v>514</v>
      </c>
      <c r="C11" s="431"/>
      <c r="D11"/>
      <c r="E11"/>
      <c r="F11"/>
      <c r="G11" s="28"/>
      <c r="I11" s="222" t="s">
        <v>346</v>
      </c>
      <c r="J11" s="224"/>
    </row>
    <row r="12" spans="2:10" ht="22.5">
      <c r="B12" s="429" t="s">
        <v>515</v>
      </c>
      <c r="C12" s="431"/>
      <c r="D12"/>
      <c r="E12"/>
      <c r="F12"/>
      <c r="I12" s="222" t="s">
        <v>350</v>
      </c>
      <c r="J12" s="224"/>
    </row>
    <row r="13" spans="2:10" ht="23.25" customHeight="1">
      <c r="B13" s="429" t="s">
        <v>516</v>
      </c>
      <c r="C13" s="431"/>
      <c r="D13"/>
      <c r="E13"/>
      <c r="F13"/>
      <c r="I13" s="222" t="s">
        <v>348</v>
      </c>
      <c r="J13" s="224"/>
    </row>
    <row r="14" spans="2:10" ht="22.5">
      <c r="B14" s="429" t="s">
        <v>517</v>
      </c>
      <c r="C14" s="431"/>
      <c r="D14"/>
      <c r="E14"/>
      <c r="F14"/>
      <c r="I14" s="222" t="s">
        <v>351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tabSelected="1" zoomScale="85" zoomScaleNormal="85" workbookViewId="0">
      <pane xSplit="15" ySplit="2" topLeftCell="P249" activePane="bottomRight" state="frozen"/>
      <selection pane="topRight" activeCell="P1" sqref="P1"/>
      <selection pane="bottomLeft" activeCell="A3" sqref="A3"/>
      <selection pane="bottomRight" activeCell="H257" sqref="H257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5" t="s">
        <v>568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6"/>
      <c r="M1" s="190">
        <f>COUNTIF(E4:L253, "&lt;0")</f>
        <v>0</v>
      </c>
      <c r="N1" s="187">
        <f>F254+L254</f>
        <v>646994.94683501706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335</v>
      </c>
      <c r="G2" s="194" t="s">
        <v>460</v>
      </c>
      <c r="H2" s="194" t="s">
        <v>461</v>
      </c>
      <c r="I2" s="194" t="s">
        <v>216</v>
      </c>
      <c r="J2" s="194" t="s">
        <v>218</v>
      </c>
      <c r="K2" s="194" t="s">
        <v>217</v>
      </c>
      <c r="L2" s="194" t="s">
        <v>334</v>
      </c>
      <c r="M2" s="39" t="s">
        <v>212</v>
      </c>
      <c r="N2" s="188">
        <f>H254+J254</f>
        <v>646994.94683501718</v>
      </c>
      <c r="O2" s="24"/>
      <c r="P2" s="24"/>
      <c r="Q2" s="185" t="s">
        <v>308</v>
      </c>
    </row>
    <row r="3" spans="1:37" ht="20.25" customHeight="1">
      <c r="A3" s="37" t="s">
        <v>232</v>
      </c>
      <c r="B3" s="37" t="s">
        <v>205</v>
      </c>
      <c r="C3" s="37" t="s">
        <v>206</v>
      </c>
      <c r="D3" s="37" t="s">
        <v>207</v>
      </c>
      <c r="E3" s="35" t="s">
        <v>333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331</v>
      </c>
      <c r="S3" s="2" t="s">
        <v>433</v>
      </c>
      <c r="T3" s="2" t="s">
        <v>434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198</v>
      </c>
      <c r="F6" s="42">
        <f t="shared" si="0"/>
        <v>19202.066841935786</v>
      </c>
      <c r="G6" s="42">
        <f>P!AJ7</f>
        <v>150</v>
      </c>
      <c r="H6" s="42">
        <f>G6*P!AK7</f>
        <v>15200</v>
      </c>
      <c r="I6" s="42">
        <f>S!E5</f>
        <v>61.110000000000042</v>
      </c>
      <c r="J6" s="42">
        <f>I6*S!D5</f>
        <v>5273.4764191972954</v>
      </c>
      <c r="K6" s="42">
        <f t="shared" si="1"/>
        <v>13.110000000000042</v>
      </c>
      <c r="L6" s="42">
        <f t="shared" si="2"/>
        <v>1271.4095772615099</v>
      </c>
      <c r="M6" s="43">
        <f>IF(ISERR((J6+H6)/(G6+I6)),P!AK7,(J6+H6)/(G6+I6))</f>
        <v>96.980135565332247</v>
      </c>
      <c r="N6" s="44">
        <f t="shared" si="3"/>
        <v>20473.476419197294</v>
      </c>
      <c r="O6" s="44">
        <f t="shared" si="4"/>
        <v>20473.476419197297</v>
      </c>
      <c r="P6" s="45" t="b">
        <f t="shared" si="5"/>
        <v>1</v>
      </c>
      <c r="Q6" s="183" t="str">
        <f t="shared" si="6"/>
        <v>OK</v>
      </c>
      <c r="S6" s="410">
        <f t="shared" si="7"/>
        <v>96.980135565332247</v>
      </c>
      <c r="T6" s="410">
        <f t="shared" si="8"/>
        <v>13.110000000000042</v>
      </c>
      <c r="AJ6" s="58">
        <f t="shared" si="9"/>
        <v>96.980135565332247</v>
      </c>
      <c r="AK6" s="58">
        <f t="shared" si="10"/>
        <v>13.110000000000042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65.7</v>
      </c>
      <c r="F7" s="42">
        <f t="shared" si="0"/>
        <v>8014.6780263337714</v>
      </c>
      <c r="G7" s="42">
        <f>P!AJ8</f>
        <v>50</v>
      </c>
      <c r="H7" s="42">
        <f>G7*P!AK8</f>
        <v>6100</v>
      </c>
      <c r="I7" s="42">
        <f>S!E6</f>
        <v>49.450000000000045</v>
      </c>
      <c r="J7" s="42">
        <f>I7*S!D6</f>
        <v>6031.8071494504402</v>
      </c>
      <c r="K7" s="42">
        <f t="shared" si="1"/>
        <v>33.750000000000043</v>
      </c>
      <c r="L7" s="42">
        <f t="shared" si="2"/>
        <v>4117.1291231166688</v>
      </c>
      <c r="M7" s="43">
        <f>IF(ISERR((J7+H7)/(G7+I7)),P!AK8,(J7+H7)/(G7+I7))</f>
        <v>121.98901105530854</v>
      </c>
      <c r="N7" s="44">
        <f t="shared" si="3"/>
        <v>12131.80714945044</v>
      </c>
      <c r="O7" s="44">
        <f t="shared" si="4"/>
        <v>12131.80714945044</v>
      </c>
      <c r="P7" s="45" t="b">
        <f t="shared" si="5"/>
        <v>1</v>
      </c>
      <c r="Q7" s="183" t="str">
        <f t="shared" si="6"/>
        <v>OK</v>
      </c>
      <c r="S7" s="410">
        <f t="shared" si="7"/>
        <v>121.98901105530854</v>
      </c>
      <c r="T7" s="410">
        <f t="shared" si="8"/>
        <v>33.750000000000043</v>
      </c>
      <c r="AJ7" s="58">
        <f t="shared" si="9"/>
        <v>121.98901105530854</v>
      </c>
      <c r="AK7" s="58">
        <f t="shared" si="10"/>
        <v>33.750000000000043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29.5</v>
      </c>
      <c r="F9" s="42">
        <f t="shared" si="0"/>
        <v>4492.0491567652198</v>
      </c>
      <c r="G9" s="42">
        <f>P!AJ10</f>
        <v>25</v>
      </c>
      <c r="H9" s="42">
        <f>G9*P!AK10</f>
        <v>3875</v>
      </c>
      <c r="I9" s="42">
        <f>S!E8</f>
        <v>23.240000000000006</v>
      </c>
      <c r="J9" s="42">
        <f>I9*S!D8</f>
        <v>3470.642417706923</v>
      </c>
      <c r="K9" s="42">
        <f t="shared" si="1"/>
        <v>18.740000000000009</v>
      </c>
      <c r="L9" s="42">
        <f>K9*M9</f>
        <v>2853.5932609417036</v>
      </c>
      <c r="M9" s="43">
        <f>IF(ISERR((J9+H9)/(G9+I9)),P!AK10,(J9+H9)/(G9+I9))</f>
        <v>152.27285277170236</v>
      </c>
      <c r="N9" s="44">
        <f t="shared" si="3"/>
        <v>7345.642417706923</v>
      </c>
      <c r="O9" s="44">
        <f t="shared" si="4"/>
        <v>7345.6424177069239</v>
      </c>
      <c r="P9" s="45" t="b">
        <f t="shared" si="5"/>
        <v>1</v>
      </c>
      <c r="Q9" s="183" t="str">
        <f t="shared" si="6"/>
        <v>OK</v>
      </c>
      <c r="S9" s="410">
        <f t="shared" si="7"/>
        <v>152.27285277170236</v>
      </c>
      <c r="T9" s="410">
        <f t="shared" si="8"/>
        <v>18.740000000000009</v>
      </c>
      <c r="AJ9" s="58">
        <f t="shared" si="9"/>
        <v>152.27285277170236</v>
      </c>
      <c r="AK9" s="58">
        <f t="shared" si="10"/>
        <v>18.740000000000009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20</v>
      </c>
      <c r="F10" s="42">
        <f t="shared" si="0"/>
        <v>3208.6053354280216</v>
      </c>
      <c r="G10" s="42">
        <f>P!AJ11</f>
        <v>25</v>
      </c>
      <c r="H10" s="42">
        <f>G10*P!AK11</f>
        <v>4000</v>
      </c>
      <c r="I10" s="42">
        <f>S!E9</f>
        <v>46.72</v>
      </c>
      <c r="J10" s="42">
        <f>I10*S!D9</f>
        <v>7506.0587328448846</v>
      </c>
      <c r="K10" s="42">
        <f t="shared" si="1"/>
        <v>51.72</v>
      </c>
      <c r="L10" s="42">
        <f t="shared" si="2"/>
        <v>8297.4533974168644</v>
      </c>
      <c r="M10" s="43">
        <f>IF(ISERR((J10+H10)/(G10+I10)),P!AK11,(J10+H10)/(G10+I10))</f>
        <v>160.43026677140108</v>
      </c>
      <c r="N10" s="44">
        <f t="shared" si="3"/>
        <v>11506.058732844886</v>
      </c>
      <c r="O10" s="44">
        <f t="shared" si="4"/>
        <v>11506.058732844886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160.43026677140108</v>
      </c>
      <c r="T10" s="410">
        <f t="shared" si="8"/>
        <v>51.72</v>
      </c>
      <c r="AJ10" s="58">
        <f t="shared" si="9"/>
        <v>160.43026677140108</v>
      </c>
      <c r="AK10" s="58">
        <f t="shared" si="10"/>
        <v>51.72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11.7</v>
      </c>
      <c r="F11" s="42">
        <f t="shared" si="0"/>
        <v>1521.678777219732</v>
      </c>
      <c r="G11" s="42">
        <f>P!AJ12</f>
        <v>0</v>
      </c>
      <c r="H11" s="42">
        <f>G11*P!AK12</f>
        <v>0</v>
      </c>
      <c r="I11" s="42">
        <f>S!E10</f>
        <v>21.950000000000003</v>
      </c>
      <c r="J11" s="42">
        <f>I11*S!D10</f>
        <v>2854.7734324763351</v>
      </c>
      <c r="K11" s="42">
        <f t="shared" si="1"/>
        <v>10.250000000000004</v>
      </c>
      <c r="L11" s="42">
        <f t="shared" si="2"/>
        <v>1333.0946552566033</v>
      </c>
      <c r="M11" s="43">
        <f>IF(ISERR((J11+H11)/(G11+I11)),P!AK12,(J11+H11)/(G11+I11))</f>
        <v>130.05801514698564</v>
      </c>
      <c r="N11" s="44">
        <f t="shared" si="3"/>
        <v>2854.7734324763351</v>
      </c>
      <c r="O11" s="44">
        <f t="shared" si="4"/>
        <v>2854.7734324763351</v>
      </c>
      <c r="P11" s="45" t="b">
        <f t="shared" si="5"/>
        <v>1</v>
      </c>
      <c r="Q11" s="183" t="str">
        <f t="shared" si="6"/>
        <v>OK</v>
      </c>
      <c r="S11" s="410">
        <f t="shared" si="7"/>
        <v>130.05801514698564</v>
      </c>
      <c r="T11" s="410">
        <f t="shared" si="8"/>
        <v>10.250000000000004</v>
      </c>
      <c r="AJ11" s="58">
        <f t="shared" si="9"/>
        <v>130.05801514698564</v>
      </c>
      <c r="AK11" s="58">
        <f t="shared" si="10"/>
        <v>10.250000000000004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58.666666666666664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58.666666666666664</v>
      </c>
      <c r="T13" s="410">
        <f t="shared" si="8"/>
        <v>0</v>
      </c>
      <c r="AJ13" s="58">
        <f t="shared" si="9"/>
        <v>58.666666666666664</v>
      </c>
      <c r="AK13" s="58">
        <f t="shared" si="10"/>
        <v>0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116.5</v>
      </c>
      <c r="F14" s="42">
        <f t="shared" si="0"/>
        <v>20908.532166965073</v>
      </c>
      <c r="G14" s="42">
        <f>P!AJ15</f>
        <v>115</v>
      </c>
      <c r="H14" s="42">
        <f>G14*P!AK15</f>
        <v>20630</v>
      </c>
      <c r="I14" s="42">
        <f>S!E13</f>
        <v>4</v>
      </c>
      <c r="J14" s="42">
        <f>I14*S!D13</f>
        <v>727.21311475402331</v>
      </c>
      <c r="K14" s="42">
        <f t="shared" si="1"/>
        <v>2.5</v>
      </c>
      <c r="L14" s="42">
        <f t="shared" si="2"/>
        <v>448.68094778895005</v>
      </c>
      <c r="M14" s="43">
        <f>IF(ISERR((J14+H14)/(G14+I14)),P!AK15,(J14+H14)/(G14+I14))</f>
        <v>179.47237911558003</v>
      </c>
      <c r="N14" s="44">
        <f t="shared" si="3"/>
        <v>21357.213114754024</v>
      </c>
      <c r="O14" s="44">
        <f t="shared" si="4"/>
        <v>21357.213114754024</v>
      </c>
      <c r="P14" s="45" t="b">
        <f t="shared" si="5"/>
        <v>1</v>
      </c>
      <c r="Q14" s="183" t="str">
        <f t="shared" si="6"/>
        <v>OK</v>
      </c>
      <c r="S14" s="410">
        <f t="shared" si="7"/>
        <v>179.47237911558003</v>
      </c>
      <c r="T14" s="410">
        <f t="shared" si="8"/>
        <v>2.5</v>
      </c>
      <c r="AJ14" s="58">
        <f t="shared" si="9"/>
        <v>179.47237911558003</v>
      </c>
      <c r="AK14" s="58">
        <f t="shared" si="10"/>
        <v>2.5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5.3</v>
      </c>
      <c r="F15" s="42">
        <f t="shared" si="0"/>
        <v>1711.033847763719</v>
      </c>
      <c r="G15" s="42">
        <f>P!AJ16</f>
        <v>4</v>
      </c>
      <c r="H15" s="42">
        <f>G15*P!AK16</f>
        <v>1280</v>
      </c>
      <c r="I15" s="42">
        <f>S!E14</f>
        <v>1.3699999999999992</v>
      </c>
      <c r="J15" s="42">
        <f>I15*S!D14</f>
        <v>453.63240801720195</v>
      </c>
      <c r="K15" s="42">
        <f t="shared" si="1"/>
        <v>6.9999999999999396E-2</v>
      </c>
      <c r="L15" s="42">
        <f t="shared" si="2"/>
        <v>22.598560253482887</v>
      </c>
      <c r="M15" s="43">
        <f>IF(ISERR((J15+H15)/(G15+I15)),P!AK16,(J15+H15)/(G15+I15))</f>
        <v>322.83657504975832</v>
      </c>
      <c r="N15" s="44">
        <f t="shared" si="3"/>
        <v>1733.6324080172019</v>
      </c>
      <c r="O15" s="44">
        <f t="shared" si="4"/>
        <v>1733.6324080172019</v>
      </c>
      <c r="P15" s="45" t="b">
        <f t="shared" si="5"/>
        <v>1</v>
      </c>
      <c r="Q15" s="183" t="str">
        <f t="shared" si="6"/>
        <v>OK</v>
      </c>
      <c r="S15" s="410">
        <f t="shared" si="7"/>
        <v>322.83657504975832</v>
      </c>
      <c r="T15" s="410">
        <f t="shared" si="8"/>
        <v>6.9999999999999396E-2</v>
      </c>
      <c r="AJ15" s="58">
        <f t="shared" si="9"/>
        <v>322.83657504975832</v>
      </c>
      <c r="AK15" s="58">
        <f t="shared" si="10"/>
        <v>6.9999999999999396E-2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15.5</v>
      </c>
      <c r="F16" s="42">
        <f t="shared" si="0"/>
        <v>619.99999733631137</v>
      </c>
      <c r="G16" s="42">
        <f>P!AJ17</f>
        <v>0</v>
      </c>
      <c r="H16" s="42">
        <f>G16*P!AK17</f>
        <v>0</v>
      </c>
      <c r="I16" s="42">
        <f>S!E15</f>
        <v>31.799999999999997</v>
      </c>
      <c r="J16" s="42">
        <f>I16*S!D15</f>
        <v>1271.9999945351419</v>
      </c>
      <c r="K16" s="42">
        <f t="shared" si="1"/>
        <v>16.299999999999997</v>
      </c>
      <c r="L16" s="42">
        <f t="shared" si="2"/>
        <v>651.99999719883056</v>
      </c>
      <c r="M16" s="43">
        <f>IF(ISERR((J16+H16)/(G16+I16)),P!AK17,(J16+H16)/(G16+I16))</f>
        <v>39.999999828149122</v>
      </c>
      <c r="N16" s="44">
        <f t="shared" si="3"/>
        <v>1271.9999945351419</v>
      </c>
      <c r="O16" s="44">
        <f t="shared" si="4"/>
        <v>1271.9999945351419</v>
      </c>
      <c r="P16" s="45" t="b">
        <f t="shared" si="5"/>
        <v>1</v>
      </c>
      <c r="Q16" s="183" t="str">
        <f t="shared" si="6"/>
        <v>OK</v>
      </c>
      <c r="S16" s="410">
        <f t="shared" si="7"/>
        <v>39.999999828149122</v>
      </c>
      <c r="T16" s="410">
        <f t="shared" si="8"/>
        <v>16.299999999999997</v>
      </c>
      <c r="AJ16" s="58">
        <f t="shared" si="9"/>
        <v>39.999999828149122</v>
      </c>
      <c r="AK16" s="58">
        <f t="shared" si="10"/>
        <v>16.299999999999997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0.4</v>
      </c>
      <c r="F18" s="42">
        <f t="shared" si="0"/>
        <v>194.3125734430082</v>
      </c>
      <c r="G18" s="42">
        <f>P!AJ19</f>
        <v>0.2</v>
      </c>
      <c r="H18" s="42">
        <f>G18*P!AK19</f>
        <v>120</v>
      </c>
      <c r="I18" s="42">
        <f>S!E17</f>
        <v>0.20000000000000018</v>
      </c>
      <c r="J18" s="42">
        <f>I18*S!D17</f>
        <v>74.31257344300829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485.78143360752051</v>
      </c>
      <c r="N18" s="44">
        <f t="shared" si="3"/>
        <v>194.31257344300829</v>
      </c>
      <c r="O18" s="44">
        <f t="shared" si="4"/>
        <v>194.3125734430082</v>
      </c>
      <c r="P18" s="45" t="b">
        <f t="shared" si="5"/>
        <v>1</v>
      </c>
      <c r="Q18" s="183" t="str">
        <f t="shared" si="6"/>
        <v>OK</v>
      </c>
      <c r="S18" s="410">
        <f t="shared" si="7"/>
        <v>485.78143360752051</v>
      </c>
      <c r="T18" s="410">
        <f t="shared" si="8"/>
        <v>0</v>
      </c>
      <c r="AJ18" s="58">
        <f t="shared" si="9"/>
        <v>485.78143360752051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127</v>
      </c>
      <c r="F20" s="42">
        <f t="shared" si="0"/>
        <v>7619.9999999997908</v>
      </c>
      <c r="G20" s="42">
        <f>P!AJ21</f>
        <v>63</v>
      </c>
      <c r="H20" s="42">
        <f>G20*P!AK21</f>
        <v>3780</v>
      </c>
      <c r="I20" s="42">
        <f>S!E19</f>
        <v>64</v>
      </c>
      <c r="J20" s="42">
        <f>I20*S!D19</f>
        <v>3839.9999999997904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59.999999999998352</v>
      </c>
      <c r="N20" s="44">
        <f t="shared" si="3"/>
        <v>7619.9999999997908</v>
      </c>
      <c r="O20" s="44">
        <f t="shared" si="4"/>
        <v>7619.9999999997908</v>
      </c>
      <c r="P20" s="45" t="b">
        <f t="shared" si="5"/>
        <v>1</v>
      </c>
      <c r="Q20" s="183" t="str">
        <f t="shared" si="6"/>
        <v>OK</v>
      </c>
      <c r="S20" s="410">
        <f t="shared" si="7"/>
        <v>59.999999999998352</v>
      </c>
      <c r="T20" s="410">
        <f t="shared" si="8"/>
        <v>0</v>
      </c>
      <c r="AJ20" s="58">
        <f t="shared" si="9"/>
        <v>59.999999999998352</v>
      </c>
      <c r="AK20" s="58">
        <f t="shared" si="10"/>
        <v>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4.2</v>
      </c>
      <c r="F21" s="42">
        <f t="shared" si="0"/>
        <v>3865.0367552789294</v>
      </c>
      <c r="G21" s="42">
        <f>P!AJ22</f>
        <v>10.5</v>
      </c>
      <c r="H21" s="42">
        <f>G21*P!AK22</f>
        <v>9660</v>
      </c>
      <c r="I21" s="42">
        <f>S!E20</f>
        <v>8.0000000000001847E-2</v>
      </c>
      <c r="J21" s="42">
        <f>I21*S!D20</f>
        <v>76.21163591692401</v>
      </c>
      <c r="K21" s="42">
        <f t="shared" si="1"/>
        <v>6.3800000000000017</v>
      </c>
      <c r="L21" s="42">
        <f t="shared" si="2"/>
        <v>5871.1748806379937</v>
      </c>
      <c r="M21" s="43">
        <f>IF(ISERR((J21+H21)/(G21+I21)),P!AK22,(J21+H21)/(G21+I21))</f>
        <v>920.24684649498317</v>
      </c>
      <c r="N21" s="44">
        <f t="shared" si="3"/>
        <v>9736.2116359169231</v>
      </c>
      <c r="O21" s="44">
        <f t="shared" si="4"/>
        <v>9736.2116359169231</v>
      </c>
      <c r="P21" s="45" t="b">
        <f t="shared" si="5"/>
        <v>1</v>
      </c>
      <c r="Q21" s="183" t="str">
        <f t="shared" si="6"/>
        <v>OK</v>
      </c>
      <c r="S21" s="410">
        <f t="shared" si="7"/>
        <v>920.24684649498317</v>
      </c>
      <c r="T21" s="410">
        <f t="shared" si="8"/>
        <v>6.3800000000000017</v>
      </c>
      <c r="AJ21" s="58">
        <f t="shared" si="9"/>
        <v>920.24684649498317</v>
      </c>
      <c r="AK21" s="58">
        <f t="shared" si="10"/>
        <v>6.3800000000000017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1</v>
      </c>
      <c r="F22" s="42">
        <f t="shared" si="0"/>
        <v>216.66666666666666</v>
      </c>
      <c r="G22" s="42">
        <f>P!AJ23</f>
        <v>3</v>
      </c>
      <c r="H22" s="42">
        <f>G22*P!AK23</f>
        <v>650</v>
      </c>
      <c r="I22" s="42">
        <f>S!E21</f>
        <v>0</v>
      </c>
      <c r="J22" s="42">
        <f>I22*S!D21</f>
        <v>0</v>
      </c>
      <c r="K22" s="42">
        <f t="shared" si="1"/>
        <v>2</v>
      </c>
      <c r="L22" s="42">
        <f t="shared" si="2"/>
        <v>433.33333333333331</v>
      </c>
      <c r="M22" s="43">
        <f>IF(ISERR((J22+H22)/(G22+I22)),P!AK23,(J22+H22)/(G22+I22))</f>
        <v>216.66666666666666</v>
      </c>
      <c r="N22" s="44">
        <f t="shared" si="3"/>
        <v>650</v>
      </c>
      <c r="O22" s="44">
        <f t="shared" si="4"/>
        <v>650</v>
      </c>
      <c r="P22" s="45" t="b">
        <f t="shared" si="5"/>
        <v>1</v>
      </c>
      <c r="Q22" s="183" t="str">
        <f t="shared" si="6"/>
        <v>OK</v>
      </c>
      <c r="S22" s="410">
        <f t="shared" si="7"/>
        <v>216.66666666666666</v>
      </c>
      <c r="T22" s="410">
        <f t="shared" si="8"/>
        <v>2</v>
      </c>
      <c r="AJ22" s="58">
        <f t="shared" si="9"/>
        <v>216.66666666666666</v>
      </c>
      <c r="AK22" s="58">
        <f t="shared" si="10"/>
        <v>2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1660</v>
      </c>
      <c r="F23" s="42">
        <f t="shared" si="0"/>
        <v>4592.4352056255084</v>
      </c>
      <c r="G23" s="42">
        <f>P!AJ24</f>
        <v>2060</v>
      </c>
      <c r="H23" s="42">
        <f>G23*P!AK24</f>
        <v>5768</v>
      </c>
      <c r="I23" s="42">
        <f>S!E22</f>
        <v>313</v>
      </c>
      <c r="J23" s="42">
        <f>I23*S!D22</f>
        <v>796.96912225863343</v>
      </c>
      <c r="K23" s="42">
        <f t="shared" si="1"/>
        <v>713</v>
      </c>
      <c r="L23" s="42">
        <f t="shared" si="2"/>
        <v>1972.533916633125</v>
      </c>
      <c r="M23" s="43">
        <f>IF(ISERR((J23+H23)/(G23+I23)),P!AK24,(J23+H23)/(G23+I23))</f>
        <v>2.7665272323045231</v>
      </c>
      <c r="N23" s="44">
        <f t="shared" si="3"/>
        <v>6564.9691222586334</v>
      </c>
      <c r="O23" s="44">
        <f t="shared" si="4"/>
        <v>6564.9691222586334</v>
      </c>
      <c r="P23" s="45" t="b">
        <f t="shared" si="5"/>
        <v>1</v>
      </c>
      <c r="Q23" s="183" t="str">
        <f t="shared" si="6"/>
        <v>OK</v>
      </c>
      <c r="S23" s="410">
        <f t="shared" si="7"/>
        <v>2.7665272323045231</v>
      </c>
      <c r="T23" s="410">
        <f t="shared" si="8"/>
        <v>713</v>
      </c>
      <c r="AJ23" s="58">
        <f t="shared" si="9"/>
        <v>2.7665272323045231</v>
      </c>
      <c r="AK23" s="58">
        <f t="shared" si="10"/>
        <v>713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180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180</v>
      </c>
      <c r="T24" s="410">
        <f t="shared" si="8"/>
        <v>0</v>
      </c>
      <c r="AJ24" s="58">
        <f t="shared" si="9"/>
        <v>180</v>
      </c>
      <c r="AK24" s="58">
        <f t="shared" si="10"/>
        <v>0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380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380</v>
      </c>
      <c r="T25" s="410">
        <f t="shared" si="8"/>
        <v>0</v>
      </c>
      <c r="AJ25" s="58">
        <f t="shared" si="9"/>
        <v>380</v>
      </c>
      <c r="AK25" s="58">
        <f t="shared" si="10"/>
        <v>0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1</v>
      </c>
      <c r="F28" s="42">
        <f t="shared" si="0"/>
        <v>225.98214285714286</v>
      </c>
      <c r="G28" s="42">
        <f>P!AJ29</f>
        <v>0</v>
      </c>
      <c r="H28" s="42">
        <f>G28*P!AK29</f>
        <v>0</v>
      </c>
      <c r="I28" s="42">
        <f>S!E27</f>
        <v>1.4</v>
      </c>
      <c r="J28" s="42">
        <f>I28*S!D27</f>
        <v>316.375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316.375</v>
      </c>
      <c r="O28" s="44">
        <f t="shared" si="4"/>
        <v>316.375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100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100</v>
      </c>
      <c r="T29" s="410">
        <f t="shared" si="8"/>
        <v>0</v>
      </c>
      <c r="AJ29" s="58">
        <f t="shared" si="9"/>
        <v>100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2E-3</v>
      </c>
      <c r="F30" s="42">
        <f t="shared" si="0"/>
        <v>600</v>
      </c>
      <c r="G30" s="42">
        <f>P!AJ31</f>
        <v>2E-3</v>
      </c>
      <c r="H30" s="42">
        <f>G30*P!AK31</f>
        <v>600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300000</v>
      </c>
      <c r="N30" s="44">
        <f t="shared" si="3"/>
        <v>600</v>
      </c>
      <c r="O30" s="44">
        <f t="shared" si="4"/>
        <v>600</v>
      </c>
      <c r="P30" s="45" t="b">
        <f t="shared" si="5"/>
        <v>1</v>
      </c>
      <c r="Q30" s="183" t="str">
        <f t="shared" si="6"/>
        <v>OK</v>
      </c>
      <c r="S30" s="410">
        <f t="shared" si="7"/>
        <v>300000</v>
      </c>
      <c r="T30" s="410">
        <f t="shared" si="8"/>
        <v>0</v>
      </c>
      <c r="AJ30" s="58">
        <f t="shared" si="9"/>
        <v>300000</v>
      </c>
      <c r="AK30" s="58">
        <f t="shared" si="10"/>
        <v>0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35</v>
      </c>
      <c r="F35" s="42">
        <f t="shared" si="0"/>
        <v>4743.3177235348021</v>
      </c>
      <c r="G35" s="42">
        <f>P!AJ36</f>
        <v>32</v>
      </c>
      <c r="H35" s="42">
        <f>G35*P!AK36</f>
        <v>4320</v>
      </c>
      <c r="I35" s="42">
        <f>S!E34</f>
        <v>18</v>
      </c>
      <c r="J35" s="42">
        <f>I35*S!D34</f>
        <v>2456.1681764782888</v>
      </c>
      <c r="K35" s="42">
        <f t="shared" si="1"/>
        <v>15</v>
      </c>
      <c r="L35" s="42">
        <f t="shared" si="2"/>
        <v>2032.8504529434867</v>
      </c>
      <c r="M35" s="43">
        <f>IF(ISERR((J35+H35)/(G35+I35)),P!AK36,(J35+H35)/(G35+I35))</f>
        <v>135.52336352956578</v>
      </c>
      <c r="N35" s="44">
        <f t="shared" si="3"/>
        <v>6776.1681764782888</v>
      </c>
      <c r="O35" s="44">
        <f t="shared" si="4"/>
        <v>6776.1681764782888</v>
      </c>
      <c r="P35" s="45" t="b">
        <f t="shared" si="5"/>
        <v>1</v>
      </c>
      <c r="Q35" s="183" t="str">
        <f t="shared" si="6"/>
        <v>OK</v>
      </c>
      <c r="S35" s="410">
        <f t="shared" si="7"/>
        <v>135.52336352956578</v>
      </c>
      <c r="T35" s="410">
        <f t="shared" si="8"/>
        <v>15</v>
      </c>
      <c r="AJ35" s="58">
        <f t="shared" si="9"/>
        <v>135.52336352956578</v>
      </c>
      <c r="AK35" s="58">
        <f t="shared" si="10"/>
        <v>15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1.5</v>
      </c>
      <c r="F36" s="42">
        <f t="shared" si="0"/>
        <v>255</v>
      </c>
      <c r="G36" s="42">
        <f>P!AJ37</f>
        <v>2</v>
      </c>
      <c r="H36" s="42">
        <f>G36*P!AK37</f>
        <v>340</v>
      </c>
      <c r="I36" s="42">
        <f>S!E35</f>
        <v>0.5</v>
      </c>
      <c r="J36" s="42">
        <f>I36*S!D35</f>
        <v>85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425</v>
      </c>
      <c r="O36" s="44">
        <f t="shared" si="4"/>
        <v>425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0.9</v>
      </c>
      <c r="F37" s="42">
        <f t="shared" si="0"/>
        <v>427.5</v>
      </c>
      <c r="G37" s="42">
        <f>P!AJ38</f>
        <v>1</v>
      </c>
      <c r="H37" s="42">
        <f>G37*P!AK38</f>
        <v>475</v>
      </c>
      <c r="I37" s="42">
        <f>S!E36</f>
        <v>0</v>
      </c>
      <c r="J37" s="42">
        <f>I37*S!D36</f>
        <v>0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</v>
      </c>
      <c r="N37" s="44">
        <f t="shared" si="3"/>
        <v>475</v>
      </c>
      <c r="O37" s="44">
        <f t="shared" si="4"/>
        <v>475</v>
      </c>
      <c r="P37" s="45" t="b">
        <f t="shared" si="5"/>
        <v>1</v>
      </c>
      <c r="Q37" s="183" t="str">
        <f t="shared" si="6"/>
        <v>OK</v>
      </c>
      <c r="S37" s="410">
        <f t="shared" si="7"/>
        <v>475</v>
      </c>
      <c r="T37" s="410">
        <f t="shared" si="8"/>
        <v>9.9999999999999978E-2</v>
      </c>
      <c r="AJ37" s="58">
        <f t="shared" si="9"/>
        <v>475</v>
      </c>
      <c r="AK37" s="58">
        <f t="shared" si="10"/>
        <v>9.9999999999999978E-2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0.5</v>
      </c>
      <c r="F39" s="42">
        <f t="shared" si="0"/>
        <v>120</v>
      </c>
      <c r="G39" s="42">
        <f>P!AJ40</f>
        <v>0.5</v>
      </c>
      <c r="H39" s="42">
        <f>G39*P!AK40</f>
        <v>120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240</v>
      </c>
      <c r="N39" s="44">
        <f t="shared" si="3"/>
        <v>120</v>
      </c>
      <c r="O39" s="44">
        <f t="shared" si="4"/>
        <v>120</v>
      </c>
      <c r="P39" s="45" t="b">
        <f t="shared" si="5"/>
        <v>1</v>
      </c>
      <c r="Q39" s="183" t="str">
        <f t="shared" si="6"/>
        <v>OK</v>
      </c>
      <c r="S39" s="410">
        <f t="shared" si="7"/>
        <v>240</v>
      </c>
      <c r="T39" s="410">
        <f t="shared" si="8"/>
        <v>0</v>
      </c>
      <c r="AJ39" s="58">
        <f t="shared" si="9"/>
        <v>240</v>
      </c>
      <c r="AK39" s="58">
        <f t="shared" si="10"/>
        <v>0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18</v>
      </c>
      <c r="F40" s="42">
        <f t="shared" si="0"/>
        <v>1335</v>
      </c>
      <c r="G40" s="42">
        <f>P!AJ41</f>
        <v>18</v>
      </c>
      <c r="H40" s="42">
        <f>G40*P!AK41</f>
        <v>1335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1335</v>
      </c>
      <c r="O40" s="44">
        <f t="shared" si="4"/>
        <v>1335</v>
      </c>
      <c r="P40" s="45" t="b">
        <f t="shared" si="5"/>
        <v>1</v>
      </c>
      <c r="Q40" s="183" t="str">
        <f t="shared" si="6"/>
        <v>OK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8</v>
      </c>
      <c r="F41" s="42">
        <f t="shared" si="0"/>
        <v>1060</v>
      </c>
      <c r="G41" s="42">
        <f>P!AJ42</f>
        <v>8</v>
      </c>
      <c r="H41" s="42">
        <f>G41*P!AK42</f>
        <v>1060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132.5</v>
      </c>
      <c r="N41" s="44">
        <f t="shared" si="3"/>
        <v>1060</v>
      </c>
      <c r="O41" s="44">
        <f t="shared" si="4"/>
        <v>1060</v>
      </c>
      <c r="P41" s="45" t="b">
        <f t="shared" si="5"/>
        <v>1</v>
      </c>
      <c r="Q41" s="183" t="str">
        <f t="shared" si="6"/>
        <v>OK</v>
      </c>
      <c r="S41" s="410">
        <f t="shared" si="7"/>
        <v>132.5</v>
      </c>
      <c r="T41" s="410">
        <f t="shared" si="8"/>
        <v>0</v>
      </c>
      <c r="AJ41" s="58">
        <f t="shared" si="9"/>
        <v>132.5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654</v>
      </c>
      <c r="F42" s="42">
        <f t="shared" si="0"/>
        <v>5232</v>
      </c>
      <c r="G42" s="42">
        <f>P!AJ43</f>
        <v>1000</v>
      </c>
      <c r="H42" s="42">
        <f>G42*P!AK43</f>
        <v>8000</v>
      </c>
      <c r="I42" s="42">
        <f>S!E41</f>
        <v>607</v>
      </c>
      <c r="J42" s="42">
        <f>I42*S!D41</f>
        <v>4856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12856</v>
      </c>
      <c r="O42" s="44">
        <f t="shared" si="4"/>
        <v>12856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1671</v>
      </c>
      <c r="F46" s="42">
        <f t="shared" si="0"/>
        <v>16839.022206326987</v>
      </c>
      <c r="G46" s="42">
        <f>P!AJ47</f>
        <v>1500</v>
      </c>
      <c r="H46" s="42">
        <f>G46*P!AK47</f>
        <v>15000</v>
      </c>
      <c r="I46" s="42">
        <f>S!E45</f>
        <v>1050</v>
      </c>
      <c r="J46" s="42">
        <f>I46*S!D45</f>
        <v>10696.892056333818</v>
      </c>
      <c r="K46" s="42">
        <f t="shared" si="1"/>
        <v>879</v>
      </c>
      <c r="L46" s="42">
        <f t="shared" si="2"/>
        <v>8857.8698500068349</v>
      </c>
      <c r="M46" s="43">
        <f>IF(ISERR((J46+H46)/(G46+I46)),P!AK47,(J46+H46)/(G46+I46))</f>
        <v>10.077212571111302</v>
      </c>
      <c r="N46" s="44">
        <f t="shared" si="3"/>
        <v>25696.892056333818</v>
      </c>
      <c r="O46" s="44">
        <f t="shared" si="4"/>
        <v>25696.892056333822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879</v>
      </c>
      <c r="AJ46" s="58">
        <f t="shared" si="9"/>
        <v>10.077212571111302</v>
      </c>
      <c r="AK46" s="58">
        <f t="shared" si="10"/>
        <v>879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17</v>
      </c>
      <c r="J47" s="42">
        <f>I47*S!D46</f>
        <v>70.464756102620655</v>
      </c>
      <c r="K47" s="42">
        <f t="shared" si="1"/>
        <v>17</v>
      </c>
      <c r="L47" s="42">
        <f t="shared" si="2"/>
        <v>70.464756102620655</v>
      </c>
      <c r="M47" s="43">
        <f>IF(ISERR((J47+H47)/(G47+I47)),P!AK48,(J47+H47)/(G47+I47))</f>
        <v>4.1449856530953326</v>
      </c>
      <c r="N47" s="44">
        <f t="shared" si="3"/>
        <v>70.464756102620655</v>
      </c>
      <c r="O47" s="44">
        <f t="shared" si="4"/>
        <v>70.464756102620655</v>
      </c>
      <c r="P47" s="45" t="b">
        <f t="shared" si="5"/>
        <v>1</v>
      </c>
      <c r="Q47" s="183" t="str">
        <f t="shared" si="6"/>
        <v>OK</v>
      </c>
      <c r="S47" s="410">
        <f t="shared" si="7"/>
        <v>4.1449856530953326</v>
      </c>
      <c r="T47" s="410">
        <f t="shared" si="8"/>
        <v>17</v>
      </c>
      <c r="AJ47" s="58">
        <f t="shared" si="9"/>
        <v>4.1449856530953326</v>
      </c>
      <c r="AK47" s="58">
        <f t="shared" si="10"/>
        <v>17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2</v>
      </c>
      <c r="F51" s="42">
        <f t="shared" si="0"/>
        <v>120</v>
      </c>
      <c r="G51" s="42">
        <f>P!AJ52</f>
        <v>4</v>
      </c>
      <c r="H51" s="42">
        <f>G51*P!AK52</f>
        <v>240</v>
      </c>
      <c r="I51" s="42">
        <f>S!E50</f>
        <v>0</v>
      </c>
      <c r="J51" s="42">
        <f>I51*S!D50</f>
        <v>0</v>
      </c>
      <c r="K51" s="42">
        <f t="shared" si="1"/>
        <v>2</v>
      </c>
      <c r="L51" s="42">
        <f t="shared" si="2"/>
        <v>120</v>
      </c>
      <c r="M51" s="43">
        <f>IF(ISERR((J51+H51)/(G51+I51)),P!AK52,(J51+H51)/(G51+I51))</f>
        <v>60</v>
      </c>
      <c r="N51" s="44">
        <f t="shared" si="3"/>
        <v>240</v>
      </c>
      <c r="O51" s="44">
        <f t="shared" si="4"/>
        <v>240</v>
      </c>
      <c r="P51" s="45" t="b">
        <f t="shared" si="5"/>
        <v>1</v>
      </c>
      <c r="Q51" s="183" t="str">
        <f t="shared" si="6"/>
        <v>OK</v>
      </c>
      <c r="S51" s="410">
        <f t="shared" si="7"/>
        <v>60</v>
      </c>
      <c r="T51" s="410">
        <f t="shared" si="8"/>
        <v>2</v>
      </c>
      <c r="AJ51" s="58">
        <f t="shared" si="9"/>
        <v>60</v>
      </c>
      <c r="AK51" s="58">
        <f t="shared" si="10"/>
        <v>2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100</v>
      </c>
      <c r="F55" s="42">
        <f t="shared" si="0"/>
        <v>99.701633739915721</v>
      </c>
      <c r="G55" s="42">
        <f>P!AJ56</f>
        <v>100</v>
      </c>
      <c r="H55" s="42">
        <f>G55*P!AK56</f>
        <v>80</v>
      </c>
      <c r="I55" s="42">
        <f>S!E54</f>
        <v>50</v>
      </c>
      <c r="J55" s="42">
        <f>I55*S!D54</f>
        <v>69.552450609873574</v>
      </c>
      <c r="K55" s="42">
        <f t="shared" si="1"/>
        <v>50</v>
      </c>
      <c r="L55" s="42">
        <f t="shared" si="2"/>
        <v>49.85081686995786</v>
      </c>
      <c r="M55" s="43">
        <f>IF(ISERR((J55+H55)/(G55+I55)),P!AK56,(J55+H55)/(G55+I55))</f>
        <v>0.99701633739915718</v>
      </c>
      <c r="N55" s="44">
        <f t="shared" si="3"/>
        <v>149.55245060987357</v>
      </c>
      <c r="O55" s="44">
        <f t="shared" si="4"/>
        <v>149.55245060987357</v>
      </c>
      <c r="P55" s="45" t="b">
        <f t="shared" si="5"/>
        <v>1</v>
      </c>
      <c r="Q55" s="183" t="str">
        <f t="shared" si="6"/>
        <v>OK</v>
      </c>
      <c r="S55" s="410">
        <f t="shared" si="7"/>
        <v>0.99701633739915718</v>
      </c>
      <c r="T55" s="410">
        <f t="shared" si="8"/>
        <v>50</v>
      </c>
      <c r="AJ55" s="58">
        <f t="shared" si="9"/>
        <v>0.99701633739915718</v>
      </c>
      <c r="AK55" s="58">
        <f t="shared" si="10"/>
        <v>50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100</v>
      </c>
      <c r="F56" s="42">
        <f t="shared" si="0"/>
        <v>25.007592754151002</v>
      </c>
      <c r="G56" s="42">
        <f>P!AJ57</f>
        <v>100</v>
      </c>
      <c r="H56" s="42">
        <f>G56*P!AK57</f>
        <v>25</v>
      </c>
      <c r="I56" s="42">
        <f>S!E55</f>
        <v>94</v>
      </c>
      <c r="J56" s="42">
        <f>I56*S!D55</f>
        <v>23.514729943052938</v>
      </c>
      <c r="K56" s="42">
        <f t="shared" si="1"/>
        <v>94</v>
      </c>
      <c r="L56" s="42">
        <f t="shared" si="2"/>
        <v>23.507137188901943</v>
      </c>
      <c r="M56" s="43">
        <f>IF(ISERR((J56+H56)/(G56+I56)),P!AK57,(J56+H56)/(G56+I56))</f>
        <v>0.25007592754151003</v>
      </c>
      <c r="N56" s="44">
        <f t="shared" si="3"/>
        <v>48.514729943052942</v>
      </c>
      <c r="O56" s="44">
        <f t="shared" si="4"/>
        <v>48.514729943052942</v>
      </c>
      <c r="P56" s="45" t="b">
        <f t="shared" si="5"/>
        <v>1</v>
      </c>
      <c r="Q56" s="183" t="str">
        <f t="shared" si="6"/>
        <v>OK</v>
      </c>
      <c r="S56" s="410">
        <f t="shared" si="7"/>
        <v>0.25007592754151003</v>
      </c>
      <c r="T56" s="410">
        <f t="shared" si="8"/>
        <v>94</v>
      </c>
      <c r="AJ56" s="58">
        <f t="shared" si="9"/>
        <v>0.25007592754151003</v>
      </c>
      <c r="AK56" s="58">
        <f t="shared" si="10"/>
        <v>94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52</v>
      </c>
      <c r="F57" s="42">
        <f t="shared" si="0"/>
        <v>1040</v>
      </c>
      <c r="G57" s="42">
        <f>P!AJ58</f>
        <v>54</v>
      </c>
      <c r="H57" s="42">
        <f>G57*P!AK58</f>
        <v>1080</v>
      </c>
      <c r="I57" s="42">
        <f>S!E56</f>
        <v>4</v>
      </c>
      <c r="J57" s="42">
        <f>I57*S!D56</f>
        <v>80</v>
      </c>
      <c r="K57" s="42">
        <f t="shared" si="1"/>
        <v>6</v>
      </c>
      <c r="L57" s="42">
        <f t="shared" si="2"/>
        <v>120</v>
      </c>
      <c r="M57" s="43">
        <f>IF(ISERR((J57+H57)/(G57+I57)),P!AK58,(J57+H57)/(G57+I57))</f>
        <v>20</v>
      </c>
      <c r="N57" s="44">
        <f t="shared" si="3"/>
        <v>1160</v>
      </c>
      <c r="O57" s="44">
        <f t="shared" si="4"/>
        <v>1160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6</v>
      </c>
      <c r="AJ57" s="58">
        <f t="shared" si="9"/>
        <v>20</v>
      </c>
      <c r="AK57" s="58">
        <f t="shared" si="10"/>
        <v>6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0.5</v>
      </c>
      <c r="J58" s="42">
        <f>I58*S!D57</f>
        <v>540</v>
      </c>
      <c r="K58" s="42">
        <f t="shared" si="1"/>
        <v>0.5</v>
      </c>
      <c r="L58" s="42">
        <f t="shared" si="2"/>
        <v>540</v>
      </c>
      <c r="M58" s="43">
        <f>IF(ISERR((J58+H58)/(G58+I58)),P!AK59,(J58+H58)/(G58+I58))</f>
        <v>1080</v>
      </c>
      <c r="N58" s="44">
        <f t="shared" si="3"/>
        <v>540</v>
      </c>
      <c r="O58" s="44">
        <f t="shared" si="4"/>
        <v>540</v>
      </c>
      <c r="P58" s="45" t="b">
        <f t="shared" si="5"/>
        <v>1</v>
      </c>
      <c r="Q58" s="183" t="str">
        <f t="shared" si="6"/>
        <v>OK</v>
      </c>
      <c r="S58" s="410">
        <f t="shared" si="7"/>
        <v>1080</v>
      </c>
      <c r="T58" s="410">
        <f t="shared" si="8"/>
        <v>0.5</v>
      </c>
      <c r="AJ58" s="58">
        <f t="shared" si="9"/>
        <v>1080</v>
      </c>
      <c r="AK58" s="58">
        <f t="shared" si="10"/>
        <v>0.5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267.55555555555554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267.55555555555554</v>
      </c>
      <c r="T59" s="410">
        <f t="shared" si="8"/>
        <v>0</v>
      </c>
      <c r="AJ59" s="58">
        <f t="shared" si="9"/>
        <v>267.55555555555554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17</v>
      </c>
      <c r="F61" s="42">
        <f t="shared" si="0"/>
        <v>1897.5303643724699</v>
      </c>
      <c r="G61" s="42">
        <f>P!AJ62</f>
        <v>15</v>
      </c>
      <c r="H61" s="42">
        <f>G61*P!AK62</f>
        <v>1650</v>
      </c>
      <c r="I61" s="42">
        <f>S!E60</f>
        <v>4</v>
      </c>
      <c r="J61" s="42">
        <f>I61*S!D60</f>
        <v>470.76923076923077</v>
      </c>
      <c r="K61" s="42">
        <f t="shared" si="1"/>
        <v>2</v>
      </c>
      <c r="L61" s="42">
        <f t="shared" si="2"/>
        <v>223.23886639676115</v>
      </c>
      <c r="M61" s="43">
        <f>IF(ISERR((J61+H61)/(G61+I61)),P!AK62,(J61+H61)/(G61+I61))</f>
        <v>111.61943319838058</v>
      </c>
      <c r="N61" s="44">
        <f t="shared" si="3"/>
        <v>2120.7692307692309</v>
      </c>
      <c r="O61" s="44">
        <f t="shared" si="4"/>
        <v>2120.7692307692309</v>
      </c>
      <c r="P61" s="45" t="b">
        <f t="shared" si="5"/>
        <v>1</v>
      </c>
      <c r="Q61" s="183" t="str">
        <f t="shared" si="6"/>
        <v>OK</v>
      </c>
      <c r="S61" s="410">
        <f t="shared" si="7"/>
        <v>111.61943319838058</v>
      </c>
      <c r="T61" s="410">
        <f t="shared" si="8"/>
        <v>2</v>
      </c>
      <c r="AJ61" s="58">
        <f t="shared" si="9"/>
        <v>111.61943319838058</v>
      </c>
      <c r="AK61" s="58">
        <f t="shared" si="10"/>
        <v>2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3.1</v>
      </c>
      <c r="F62" s="42">
        <f t="shared" si="0"/>
        <v>1980.8120858733103</v>
      </c>
      <c r="G62" s="42">
        <f>P!AJ63</f>
        <v>3</v>
      </c>
      <c r="H62" s="42">
        <f>G62*P!AK63</f>
        <v>1920</v>
      </c>
      <c r="I62" s="42">
        <f>S!E61</f>
        <v>0.30000000000000027</v>
      </c>
      <c r="J62" s="42">
        <f>I62*S!D61</f>
        <v>188.60641399416926</v>
      </c>
      <c r="K62" s="42">
        <f t="shared" si="1"/>
        <v>0.20000000000000018</v>
      </c>
      <c r="L62" s="42">
        <f t="shared" si="2"/>
        <v>127.79432812085884</v>
      </c>
      <c r="M62" s="43">
        <f>IF(ISERR((J62+H62)/(G62+I62)),P!AK63,(J62+H62)/(G62+I62))</f>
        <v>638.97164060429361</v>
      </c>
      <c r="N62" s="44">
        <f t="shared" si="3"/>
        <v>2108.6064139941691</v>
      </c>
      <c r="O62" s="44">
        <f t="shared" si="4"/>
        <v>2108.6064139941691</v>
      </c>
      <c r="P62" s="45" t="b">
        <f t="shared" si="5"/>
        <v>1</v>
      </c>
      <c r="Q62" s="183" t="str">
        <f t="shared" si="6"/>
        <v>OK</v>
      </c>
      <c r="S62" s="410">
        <f t="shared" si="7"/>
        <v>638.97164060429361</v>
      </c>
      <c r="T62" s="410">
        <f t="shared" si="8"/>
        <v>0.20000000000000018</v>
      </c>
      <c r="AJ62" s="58">
        <f t="shared" si="9"/>
        <v>638.97164060429361</v>
      </c>
      <c r="AK62" s="58">
        <f t="shared" si="10"/>
        <v>0.20000000000000018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2.9</v>
      </c>
      <c r="F63" s="42">
        <f t="shared" si="0"/>
        <v>1900.7000338115249</v>
      </c>
      <c r="G63" s="42">
        <f>P!AJ64</f>
        <v>3.5</v>
      </c>
      <c r="H63" s="42">
        <f>G63*P!AK64</f>
        <v>2280</v>
      </c>
      <c r="I63" s="42">
        <f>S!E62</f>
        <v>0.25000000000000089</v>
      </c>
      <c r="J63" s="42">
        <f>I63*S!D62</f>
        <v>177.80176785973111</v>
      </c>
      <c r="K63" s="42">
        <f t="shared" si="1"/>
        <v>0.85000000000000098</v>
      </c>
      <c r="L63" s="42">
        <f t="shared" si="2"/>
        <v>557.10173404820625</v>
      </c>
      <c r="M63" s="43">
        <f>IF(ISERR((J63+H63)/(G63+I63)),P!AK64,(J63+H63)/(G63+I63))</f>
        <v>655.41380476259485</v>
      </c>
      <c r="N63" s="44">
        <f t="shared" si="3"/>
        <v>2457.8017678597312</v>
      </c>
      <c r="O63" s="44">
        <f t="shared" si="4"/>
        <v>2457.8017678597312</v>
      </c>
      <c r="P63" s="45" t="b">
        <f t="shared" si="5"/>
        <v>1</v>
      </c>
      <c r="Q63" s="183" t="str">
        <f t="shared" si="6"/>
        <v>OK</v>
      </c>
      <c r="S63" s="410">
        <f t="shared" si="7"/>
        <v>655.41380476259485</v>
      </c>
      <c r="T63" s="410">
        <f t="shared" si="8"/>
        <v>0.85000000000000098</v>
      </c>
      <c r="AJ63" s="58">
        <f t="shared" si="9"/>
        <v>655.41380476259485</v>
      </c>
      <c r="AK63" s="58">
        <f t="shared" si="10"/>
        <v>0.85000000000000098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0.60000000000000009</v>
      </c>
      <c r="F64" s="42">
        <f t="shared" si="0"/>
        <v>216.53061224489798</v>
      </c>
      <c r="G64" s="42">
        <f>P!AJ65</f>
        <v>0.1</v>
      </c>
      <c r="H64" s="42">
        <f>G64*P!AK65</f>
        <v>40</v>
      </c>
      <c r="I64" s="42">
        <f>S!E63</f>
        <v>0.49999999999999994</v>
      </c>
      <c r="J64" s="42">
        <f>I64*S!D63</f>
        <v>176.53061224489792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360.88435374149657</v>
      </c>
      <c r="N64" s="44">
        <f t="shared" si="3"/>
        <v>216.53061224489792</v>
      </c>
      <c r="O64" s="44">
        <f t="shared" si="4"/>
        <v>216.53061224489798</v>
      </c>
      <c r="P64" s="45" t="b">
        <f t="shared" si="5"/>
        <v>1</v>
      </c>
      <c r="Q64" s="183" t="str">
        <f t="shared" si="6"/>
        <v>OK</v>
      </c>
      <c r="S64" s="410">
        <f t="shared" si="7"/>
        <v>360.88435374149657</v>
      </c>
      <c r="T64" s="410">
        <f t="shared" si="8"/>
        <v>0</v>
      </c>
      <c r="AJ64" s="58">
        <f t="shared" si="9"/>
        <v>360.88435374149657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0.8</v>
      </c>
      <c r="F66" s="42">
        <f t="shared" si="0"/>
        <v>697.77777777777783</v>
      </c>
      <c r="G66" s="42">
        <f>P!AJ67</f>
        <v>0.9</v>
      </c>
      <c r="H66" s="42">
        <f>G66*P!AK67</f>
        <v>785</v>
      </c>
      <c r="I66" s="42">
        <f>S!E65</f>
        <v>0</v>
      </c>
      <c r="J66" s="42">
        <f>I66*S!D65</f>
        <v>0</v>
      </c>
      <c r="K66" s="42">
        <f t="shared" si="1"/>
        <v>9.9999999999999978E-2</v>
      </c>
      <c r="L66" s="42">
        <f t="shared" si="2"/>
        <v>87.2222222222222</v>
      </c>
      <c r="M66" s="43">
        <f>IF(ISERR((J66+H66)/(G66+I66)),P!AK67,(J66+H66)/(G66+I66))</f>
        <v>872.22222222222217</v>
      </c>
      <c r="N66" s="44">
        <f t="shared" si="3"/>
        <v>785</v>
      </c>
      <c r="O66" s="44">
        <f t="shared" si="4"/>
        <v>785</v>
      </c>
      <c r="P66" s="45" t="b">
        <f t="shared" si="5"/>
        <v>1</v>
      </c>
      <c r="Q66" s="183" t="str">
        <f t="shared" si="6"/>
        <v>OK</v>
      </c>
      <c r="S66" s="410">
        <f t="shared" si="7"/>
        <v>872.22222222222217</v>
      </c>
      <c r="T66" s="410">
        <f t="shared" si="8"/>
        <v>9.9999999999999978E-2</v>
      </c>
      <c r="AJ66" s="58">
        <f t="shared" si="9"/>
        <v>872.22222222222217</v>
      </c>
      <c r="AK66" s="58">
        <f t="shared" si="10"/>
        <v>9.9999999999999978E-2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5</v>
      </c>
      <c r="F67" s="42">
        <f t="shared" si="0"/>
        <v>90</v>
      </c>
      <c r="G67" s="42">
        <f>P!AJ68</f>
        <v>4</v>
      </c>
      <c r="H67" s="42">
        <f>G67*P!AK68</f>
        <v>72</v>
      </c>
      <c r="I67" s="42">
        <f>S!E66</f>
        <v>1</v>
      </c>
      <c r="J67" s="42">
        <f>I67*S!D66</f>
        <v>18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18</v>
      </c>
      <c r="N67" s="44">
        <f t="shared" si="3"/>
        <v>90</v>
      </c>
      <c r="O67" s="44">
        <f t="shared" si="4"/>
        <v>90</v>
      </c>
      <c r="P67" s="45" t="b">
        <f t="shared" si="5"/>
        <v>1</v>
      </c>
      <c r="Q67" s="183" t="str">
        <f t="shared" si="6"/>
        <v>OK</v>
      </c>
      <c r="S67" s="410">
        <f t="shared" si="7"/>
        <v>18</v>
      </c>
      <c r="T67" s="410">
        <f t="shared" si="8"/>
        <v>0</v>
      </c>
      <c r="AJ67" s="58">
        <f t="shared" si="9"/>
        <v>18</v>
      </c>
      <c r="AK67" s="58">
        <f t="shared" si="10"/>
        <v>0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5</v>
      </c>
      <c r="F68" s="42">
        <f t="shared" si="0"/>
        <v>90</v>
      </c>
      <c r="G68" s="42">
        <f>P!AJ69</f>
        <v>4</v>
      </c>
      <c r="H68" s="42">
        <f>G68*P!AK69</f>
        <v>72</v>
      </c>
      <c r="I68" s="42">
        <f>S!E67</f>
        <v>1</v>
      </c>
      <c r="J68" s="42">
        <f>I68*S!D67</f>
        <v>18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18</v>
      </c>
      <c r="N68" s="44">
        <f t="shared" si="3"/>
        <v>90</v>
      </c>
      <c r="O68" s="44">
        <f t="shared" si="4"/>
        <v>90</v>
      </c>
      <c r="P68" s="45" t="b">
        <f t="shared" si="5"/>
        <v>1</v>
      </c>
      <c r="Q68" s="183" t="str">
        <f t="shared" si="6"/>
        <v>OK</v>
      </c>
      <c r="S68" s="410">
        <f t="shared" si="7"/>
        <v>18</v>
      </c>
      <c r="T68" s="410">
        <f t="shared" si="8"/>
        <v>0</v>
      </c>
      <c r="AJ68" s="58">
        <f t="shared" si="9"/>
        <v>18</v>
      </c>
      <c r="AK68" s="58">
        <f t="shared" si="10"/>
        <v>0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0.46</v>
      </c>
      <c r="F69" s="42">
        <f t="shared" ref="F69:F132" si="11">E69*M69</f>
        <v>2647.5978369177519</v>
      </c>
      <c r="G69" s="42">
        <f>P!AJ70</f>
        <v>0.39999999999999997</v>
      </c>
      <c r="H69" s="42">
        <f>G69*P!AK70</f>
        <v>2300</v>
      </c>
      <c r="I69" s="42">
        <f>S!E68</f>
        <v>7.8714285709999721E-2</v>
      </c>
      <c r="J69" s="42">
        <f>I69*S!D68</f>
        <v>455.31066814656907</v>
      </c>
      <c r="K69" s="42">
        <f t="shared" ref="K69:K132" si="12">(G69+I69)-E69</f>
        <v>1.8714285709999667E-2</v>
      </c>
      <c r="L69" s="42">
        <f t="shared" ref="L69:L132" si="13">K69*M69</f>
        <v>107.71283122881719</v>
      </c>
      <c r="M69" s="43">
        <f>IF(ISERR((J69+H69)/(G69+I69)),P!AK70,(J69+H69)/(G69+I69))</f>
        <v>5755.6474715603299</v>
      </c>
      <c r="N69" s="44">
        <f t="shared" ref="N69:N132" si="14">J69+H69</f>
        <v>2755.3106681465692</v>
      </c>
      <c r="O69" s="44">
        <f t="shared" ref="O69:O132" si="15">L69+F69</f>
        <v>2755.3106681465692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5755.6474715603299</v>
      </c>
      <c r="T69" s="410">
        <f t="shared" ref="T69:T132" si="19">K69</f>
        <v>1.8714285709999667E-2</v>
      </c>
      <c r="AJ69" s="58">
        <f t="shared" ref="AJ69:AJ132" si="20">M69</f>
        <v>5755.6474715603299</v>
      </c>
      <c r="AK69" s="58">
        <f t="shared" ref="AK69:AK132" si="21">K69</f>
        <v>1.8714285709999667E-2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0.94000000000000006</v>
      </c>
      <c r="F70" s="42">
        <f t="shared" si="11"/>
        <v>561.67849401882847</v>
      </c>
      <c r="G70" s="42">
        <f>P!AJ71</f>
        <v>0.8</v>
      </c>
      <c r="H70" s="42">
        <f>G70*P!AK71</f>
        <v>480</v>
      </c>
      <c r="I70" s="42">
        <f>S!E69</f>
        <v>0.369999999999999</v>
      </c>
      <c r="J70" s="42">
        <f>I70*S!D69</f>
        <v>219.11046595960499</v>
      </c>
      <c r="K70" s="42">
        <f t="shared" si="12"/>
        <v>0.22999999999999898</v>
      </c>
      <c r="L70" s="42">
        <f t="shared" si="13"/>
        <v>137.43197194077655</v>
      </c>
      <c r="M70" s="43">
        <f>IF(ISERR((J70+H70)/(G70+I70)),P!AK71,(J70+H70)/(G70+I70))</f>
        <v>597.53031278598769</v>
      </c>
      <c r="N70" s="44">
        <f t="shared" si="14"/>
        <v>699.11046595960499</v>
      </c>
      <c r="O70" s="44">
        <f t="shared" si="15"/>
        <v>699.11046595960499</v>
      </c>
      <c r="P70" s="45" t="b">
        <f t="shared" si="16"/>
        <v>1</v>
      </c>
      <c r="Q70" s="183" t="str">
        <f t="shared" si="17"/>
        <v>OK</v>
      </c>
      <c r="S70" s="410">
        <f t="shared" si="18"/>
        <v>597.53031278598769</v>
      </c>
      <c r="T70" s="410">
        <f t="shared" si="19"/>
        <v>0.22999999999999898</v>
      </c>
      <c r="AJ70" s="58">
        <f t="shared" si="20"/>
        <v>597.53031278598769</v>
      </c>
      <c r="AK70" s="58">
        <f t="shared" si="21"/>
        <v>0.22999999999999898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0.24</v>
      </c>
      <c r="F71" s="42">
        <f t="shared" si="11"/>
        <v>437.95238095238091</v>
      </c>
      <c r="G71" s="42">
        <f>P!AJ72</f>
        <v>0.2</v>
      </c>
      <c r="H71" s="42">
        <f>G71*P!AK72</f>
        <v>365</v>
      </c>
      <c r="I71" s="42">
        <f>S!E70</f>
        <v>3.999999999999998E-2</v>
      </c>
      <c r="J71" s="42">
        <f>I71*S!D70</f>
        <v>72.952380952380906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1824.8015873015872</v>
      </c>
      <c r="N71" s="44">
        <f t="shared" si="14"/>
        <v>437.95238095238091</v>
      </c>
      <c r="O71" s="44">
        <f t="shared" si="15"/>
        <v>437.95238095238091</v>
      </c>
      <c r="P71" s="45" t="b">
        <f t="shared" si="16"/>
        <v>1</v>
      </c>
      <c r="Q71" s="183" t="str">
        <f t="shared" si="17"/>
        <v>OK</v>
      </c>
      <c r="S71" s="410">
        <f t="shared" si="18"/>
        <v>1824.8015873015872</v>
      </c>
      <c r="T71" s="410">
        <f t="shared" si="19"/>
        <v>0</v>
      </c>
      <c r="AJ71" s="58">
        <f t="shared" si="20"/>
        <v>1824.8015873015872</v>
      </c>
      <c r="AK71" s="58">
        <f t="shared" si="21"/>
        <v>0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16</v>
      </c>
      <c r="F72" s="42">
        <f t="shared" si="11"/>
        <v>128</v>
      </c>
      <c r="G72" s="42">
        <f>P!AJ73</f>
        <v>17</v>
      </c>
      <c r="H72" s="42">
        <f>G72*P!AK73</f>
        <v>136</v>
      </c>
      <c r="I72" s="42">
        <f>S!E71</f>
        <v>0</v>
      </c>
      <c r="J72" s="42">
        <f>I72*S!D71</f>
        <v>0</v>
      </c>
      <c r="K72" s="42">
        <f t="shared" si="12"/>
        <v>1</v>
      </c>
      <c r="L72" s="42">
        <f t="shared" si="13"/>
        <v>8</v>
      </c>
      <c r="M72" s="43">
        <f>IF(ISERR((J72+H72)/(G72+I72)),P!AK73,(J72+H72)/(G72+I72))</f>
        <v>8</v>
      </c>
      <c r="N72" s="44">
        <f t="shared" si="14"/>
        <v>136</v>
      </c>
      <c r="O72" s="44">
        <f t="shared" si="15"/>
        <v>136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1</v>
      </c>
      <c r="AJ72" s="58">
        <f t="shared" si="20"/>
        <v>8</v>
      </c>
      <c r="AK72" s="58">
        <f t="shared" si="21"/>
        <v>1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1.2</v>
      </c>
      <c r="F73" s="42">
        <f t="shared" si="11"/>
        <v>1012.8148162721051</v>
      </c>
      <c r="G73" s="42">
        <f>P!AJ74</f>
        <v>1.2</v>
      </c>
      <c r="H73" s="42">
        <f>G73*P!AK74</f>
        <v>1015</v>
      </c>
      <c r="I73" s="42">
        <f>S!E72</f>
        <v>0.10000000000000142</v>
      </c>
      <c r="J73" s="42">
        <f>I73*S!D72</f>
        <v>82.216050961448531</v>
      </c>
      <c r="K73" s="42">
        <f t="shared" si="12"/>
        <v>0.10000000000000142</v>
      </c>
      <c r="L73" s="42">
        <f t="shared" si="13"/>
        <v>84.401234689343298</v>
      </c>
      <c r="M73" s="43">
        <f>IF(ISERR((J73+H73)/(G73+I73)),P!AK74,(J73+H73)/(G73+I73))</f>
        <v>844.01234689342095</v>
      </c>
      <c r="N73" s="44">
        <f t="shared" si="14"/>
        <v>1097.2160509614484</v>
      </c>
      <c r="O73" s="44">
        <f t="shared" si="15"/>
        <v>1097.2160509614484</v>
      </c>
      <c r="P73" s="45" t="b">
        <f t="shared" si="16"/>
        <v>1</v>
      </c>
      <c r="Q73" s="183" t="str">
        <f t="shared" si="17"/>
        <v>OK</v>
      </c>
      <c r="S73" s="410">
        <f t="shared" si="18"/>
        <v>844.01234689342095</v>
      </c>
      <c r="T73" s="410">
        <f t="shared" si="19"/>
        <v>0.10000000000000142</v>
      </c>
      <c r="AJ73" s="58">
        <f t="shared" si="20"/>
        <v>844.01234689342095</v>
      </c>
      <c r="AK73" s="58">
        <f t="shared" si="21"/>
        <v>0.10000000000000142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1.2</v>
      </c>
      <c r="F74" s="42">
        <f t="shared" si="11"/>
        <v>815.9700557635017</v>
      </c>
      <c r="G74" s="42">
        <f>P!AJ75</f>
        <v>1.2</v>
      </c>
      <c r="H74" s="42">
        <f>G74*P!AK75</f>
        <v>816</v>
      </c>
      <c r="I74" s="42">
        <f>S!E73</f>
        <v>0.10000000000000053</v>
      </c>
      <c r="J74" s="42">
        <f>I74*S!D73</f>
        <v>67.967560410460479</v>
      </c>
      <c r="K74" s="42">
        <f t="shared" si="12"/>
        <v>0.10000000000000053</v>
      </c>
      <c r="L74" s="42">
        <f t="shared" si="13"/>
        <v>67.997504646958831</v>
      </c>
      <c r="M74" s="43">
        <f>IF(ISERR((J74+H74)/(G74+I74)),P!AK75,(J74+H74)/(G74+I74))</f>
        <v>679.97504646958475</v>
      </c>
      <c r="N74" s="44">
        <f t="shared" si="14"/>
        <v>883.96756041046046</v>
      </c>
      <c r="O74" s="44">
        <f t="shared" si="15"/>
        <v>883.96756041046058</v>
      </c>
      <c r="P74" s="45" t="b">
        <f t="shared" si="16"/>
        <v>1</v>
      </c>
      <c r="Q74" s="183" t="str">
        <f t="shared" si="17"/>
        <v>OK</v>
      </c>
      <c r="S74" s="410">
        <f t="shared" si="18"/>
        <v>679.97504646958475</v>
      </c>
      <c r="T74" s="410">
        <f t="shared" si="19"/>
        <v>0.10000000000000053</v>
      </c>
      <c r="AJ74" s="58">
        <f t="shared" si="20"/>
        <v>679.97504646958475</v>
      </c>
      <c r="AK74" s="58">
        <f t="shared" si="21"/>
        <v>0.10000000000000053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6.65</v>
      </c>
      <c r="F76" s="42">
        <f t="shared" si="11"/>
        <v>10706.573900211311</v>
      </c>
      <c r="G76" s="42">
        <f>P!AJ77</f>
        <v>7.4</v>
      </c>
      <c r="H76" s="42">
        <f>G76*P!AK77</f>
        <v>11880</v>
      </c>
      <c r="I76" s="42">
        <f>S!E75</f>
        <v>0.35000000000000053</v>
      </c>
      <c r="J76" s="42">
        <f>I76*S!D75</f>
        <v>597.58612430641585</v>
      </c>
      <c r="K76" s="42">
        <f t="shared" si="12"/>
        <v>1.1000000000000005</v>
      </c>
      <c r="L76" s="42">
        <f t="shared" si="13"/>
        <v>1771.012224095105</v>
      </c>
      <c r="M76" s="43">
        <f>IF(ISERR((J76+H76)/(G76+I76)),P!AK77,(J76+H76)/(G76+I76))</f>
        <v>1610.011112813731</v>
      </c>
      <c r="N76" s="44">
        <f t="shared" si="14"/>
        <v>12477.586124306416</v>
      </c>
      <c r="O76" s="44">
        <f t="shared" si="15"/>
        <v>12477.586124306417</v>
      </c>
      <c r="P76" s="45" t="b">
        <f t="shared" si="16"/>
        <v>1</v>
      </c>
      <c r="Q76" s="183" t="str">
        <f t="shared" si="17"/>
        <v>OK</v>
      </c>
      <c r="S76" s="410">
        <f t="shared" si="18"/>
        <v>1610.011112813731</v>
      </c>
      <c r="T76" s="410">
        <f t="shared" si="19"/>
        <v>1.1000000000000005</v>
      </c>
      <c r="AJ76" s="58">
        <f t="shared" si="20"/>
        <v>1610.011112813731</v>
      </c>
      <c r="AK76" s="58">
        <f t="shared" si="21"/>
        <v>1.1000000000000005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7.0000000000000007E-2</v>
      </c>
      <c r="F78" s="42">
        <f t="shared" si="11"/>
        <v>252</v>
      </c>
      <c r="G78" s="42">
        <f>P!AJ79</f>
        <v>7.5000000000000011E-2</v>
      </c>
      <c r="H78" s="42">
        <f>G78*P!AK79</f>
        <v>270</v>
      </c>
      <c r="I78" s="42">
        <f>S!E77</f>
        <v>0</v>
      </c>
      <c r="J78" s="42">
        <f>I78*S!D77</f>
        <v>0</v>
      </c>
      <c r="K78" s="42">
        <f t="shared" si="12"/>
        <v>5.0000000000000044E-3</v>
      </c>
      <c r="L78" s="42">
        <f t="shared" si="13"/>
        <v>18.000000000000014</v>
      </c>
      <c r="M78" s="43">
        <f>IF(ISERR((J78+H78)/(G78+I78)),P!AK79,(J78+H78)/(G78+I78))</f>
        <v>3599.9999999999995</v>
      </c>
      <c r="N78" s="44">
        <f t="shared" si="14"/>
        <v>270</v>
      </c>
      <c r="O78" s="44">
        <f t="shared" si="15"/>
        <v>270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5.0000000000000044E-3</v>
      </c>
      <c r="AJ78" s="58">
        <f t="shared" si="20"/>
        <v>3599.9999999999995</v>
      </c>
      <c r="AK78" s="58">
        <f t="shared" si="21"/>
        <v>5.0000000000000044E-3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0.27</v>
      </c>
      <c r="F79" s="42">
        <f t="shared" si="11"/>
        <v>159.90059317844782</v>
      </c>
      <c r="G79" s="42">
        <f>P!AJ80</f>
        <v>0.30000000000000004</v>
      </c>
      <c r="H79" s="42">
        <f>G79*P!AK80</f>
        <v>180</v>
      </c>
      <c r="I79" s="42">
        <f>S!E78</f>
        <v>3.999999999999998E-2</v>
      </c>
      <c r="J79" s="42">
        <f>I79*S!D78</f>
        <v>21.356302521008391</v>
      </c>
      <c r="K79" s="42">
        <f t="shared" si="12"/>
        <v>7.0000000000000007E-2</v>
      </c>
      <c r="L79" s="42">
        <f t="shared" si="13"/>
        <v>41.455709342560553</v>
      </c>
      <c r="M79" s="43">
        <f>IF(ISERR((J79+H79)/(G79+I79)),P!AK80,(J79+H79)/(G79+I79))</f>
        <v>592.22441917943638</v>
      </c>
      <c r="N79" s="44">
        <f t="shared" si="14"/>
        <v>201.35630252100839</v>
      </c>
      <c r="O79" s="44">
        <f t="shared" si="15"/>
        <v>201.35630252100839</v>
      </c>
      <c r="P79" s="45" t="b">
        <f t="shared" si="16"/>
        <v>1</v>
      </c>
      <c r="Q79" s="183" t="str">
        <f t="shared" si="17"/>
        <v>OK</v>
      </c>
      <c r="S79" s="410">
        <f t="shared" si="18"/>
        <v>592.22441917943638</v>
      </c>
      <c r="T79" s="410">
        <f t="shared" si="19"/>
        <v>7.0000000000000007E-2</v>
      </c>
      <c r="AJ79" s="58">
        <f t="shared" si="20"/>
        <v>592.22441917943638</v>
      </c>
      <c r="AK79" s="58">
        <f t="shared" si="21"/>
        <v>7.0000000000000007E-2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5.0000000000000044E-3</v>
      </c>
      <c r="L80" s="42">
        <f t="shared" si="13"/>
        <v>2.0000000000000018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5.0000000000000044E-3</v>
      </c>
      <c r="AJ80" s="58">
        <f t="shared" si="20"/>
        <v>400</v>
      </c>
      <c r="AK80" s="58">
        <f t="shared" si="21"/>
        <v>5.0000000000000044E-3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7.0499999999999989</v>
      </c>
      <c r="F81" s="42">
        <f t="shared" si="11"/>
        <v>1248.9999973776337</v>
      </c>
      <c r="G81" s="42">
        <f>P!AJ82</f>
        <v>7</v>
      </c>
      <c r="H81" s="42">
        <f>G81*P!AK82</f>
        <v>1240</v>
      </c>
      <c r="I81" s="42">
        <f>S!E80</f>
        <v>4.9999999999998934E-2</v>
      </c>
      <c r="J81" s="42">
        <f>I81*S!D80</f>
        <v>8.9999973776337168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177.16312019540905</v>
      </c>
      <c r="N81" s="44">
        <f t="shared" si="14"/>
        <v>1248.9999973776337</v>
      </c>
      <c r="O81" s="44">
        <f t="shared" si="15"/>
        <v>1248.9999973776337</v>
      </c>
      <c r="P81" s="45" t="b">
        <f t="shared" si="16"/>
        <v>1</v>
      </c>
      <c r="Q81" s="183" t="str">
        <f t="shared" si="17"/>
        <v>OK</v>
      </c>
      <c r="S81" s="410">
        <f t="shared" si="18"/>
        <v>177.16312019540905</v>
      </c>
      <c r="T81" s="410">
        <f t="shared" si="19"/>
        <v>0</v>
      </c>
      <c r="AJ81" s="58">
        <f t="shared" si="20"/>
        <v>177.16312019540905</v>
      </c>
      <c r="AK81" s="58">
        <f t="shared" si="21"/>
        <v>0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1.9999999999999934E-2</v>
      </c>
      <c r="J85" s="42">
        <f>I85*S!D84</f>
        <v>56.236065573770311</v>
      </c>
      <c r="K85" s="42">
        <f t="shared" si="12"/>
        <v>1.9999999999999934E-2</v>
      </c>
      <c r="L85" s="42">
        <f t="shared" si="13"/>
        <v>56.236065573770311</v>
      </c>
      <c r="M85" s="43">
        <f>IF(ISERR((J85+H85)/(G85+I85)),P!AK86,(J85+H85)/(G85+I85))</f>
        <v>2811.8032786885246</v>
      </c>
      <c r="N85" s="44">
        <f t="shared" si="14"/>
        <v>56.236065573770311</v>
      </c>
      <c r="O85" s="44">
        <f t="shared" si="15"/>
        <v>56.236065573770311</v>
      </c>
      <c r="P85" s="45" t="b">
        <f t="shared" si="16"/>
        <v>1</v>
      </c>
      <c r="Q85" s="183" t="str">
        <f t="shared" si="17"/>
        <v>OK</v>
      </c>
      <c r="S85" s="410">
        <f t="shared" si="18"/>
        <v>2811.8032786885246</v>
      </c>
      <c r="T85" s="410">
        <f t="shared" si="19"/>
        <v>1.9999999999999934E-2</v>
      </c>
      <c r="AJ85" s="58">
        <f t="shared" si="20"/>
        <v>2811.8032786885246</v>
      </c>
      <c r="AK85" s="58">
        <f t="shared" si="21"/>
        <v>1.9999999999999934E-2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4.9999999999999989E-2</v>
      </c>
      <c r="J86" s="42">
        <f>I86*S!D85</f>
        <v>10.099999999999998</v>
      </c>
      <c r="K86" s="42">
        <f t="shared" si="12"/>
        <v>4.9999999999999989E-2</v>
      </c>
      <c r="L86" s="42">
        <f t="shared" si="13"/>
        <v>10.099999999999998</v>
      </c>
      <c r="M86" s="43">
        <f>IF(ISERR((J86+H86)/(G86+I86)),P!AK87,(J86+H86)/(G86+I86))</f>
        <v>202</v>
      </c>
      <c r="N86" s="44">
        <f t="shared" si="14"/>
        <v>10.099999999999998</v>
      </c>
      <c r="O86" s="44">
        <f t="shared" si="15"/>
        <v>10.099999999999998</v>
      </c>
      <c r="P86" s="45" t="b">
        <f t="shared" si="16"/>
        <v>1</v>
      </c>
      <c r="Q86" s="183" t="str">
        <f t="shared" si="17"/>
        <v>OK</v>
      </c>
      <c r="S86" s="410">
        <f t="shared" si="18"/>
        <v>202</v>
      </c>
      <c r="T86" s="410">
        <f t="shared" si="19"/>
        <v>4.9999999999999989E-2</v>
      </c>
      <c r="AJ86" s="58">
        <f t="shared" si="20"/>
        <v>202</v>
      </c>
      <c r="AK86" s="58">
        <f t="shared" si="21"/>
        <v>4.9999999999999989E-2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0.25</v>
      </c>
      <c r="F87" s="42">
        <f t="shared" si="11"/>
        <v>373.30917874396135</v>
      </c>
      <c r="G87" s="42">
        <f>P!AJ88</f>
        <v>0.2</v>
      </c>
      <c r="H87" s="42">
        <f>G87*P!AK88</f>
        <v>360</v>
      </c>
      <c r="I87" s="42">
        <f>S!E86</f>
        <v>0.24999999999999989</v>
      </c>
      <c r="J87" s="42">
        <f>I87*S!D86</f>
        <v>311.95652173913027</v>
      </c>
      <c r="K87" s="42">
        <f t="shared" si="12"/>
        <v>0.1999999999999999</v>
      </c>
      <c r="L87" s="42">
        <f t="shared" si="13"/>
        <v>298.64734299516891</v>
      </c>
      <c r="M87" s="43">
        <f>IF(ISERR((J87+H87)/(G87+I87)),P!AK88,(J87+H87)/(G87+I87))</f>
        <v>1493.2367149758454</v>
      </c>
      <c r="N87" s="44">
        <f t="shared" si="14"/>
        <v>671.95652173913027</v>
      </c>
      <c r="O87" s="44">
        <f t="shared" si="15"/>
        <v>671.95652173913027</v>
      </c>
      <c r="P87" s="45" t="b">
        <f t="shared" si="16"/>
        <v>1</v>
      </c>
      <c r="Q87" s="183" t="str">
        <f t="shared" si="17"/>
        <v>OK</v>
      </c>
      <c r="S87" s="410">
        <f t="shared" si="18"/>
        <v>1493.2367149758454</v>
      </c>
      <c r="T87" s="410">
        <f t="shared" si="19"/>
        <v>0.1999999999999999</v>
      </c>
      <c r="AJ87" s="58">
        <f t="shared" si="20"/>
        <v>1493.2367149758454</v>
      </c>
      <c r="AK87" s="58">
        <f t="shared" si="21"/>
        <v>0.1999999999999999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92</v>
      </c>
      <c r="F88" s="42">
        <f t="shared" si="11"/>
        <v>6166.1647058823337</v>
      </c>
      <c r="G88" s="42">
        <f>P!AJ89</f>
        <v>96</v>
      </c>
      <c r="H88" s="42">
        <f>G88*P!AK89</f>
        <v>6432</v>
      </c>
      <c r="I88" s="42">
        <f>S!E87</f>
        <v>6</v>
      </c>
      <c r="J88" s="42">
        <f>I88*S!D87</f>
        <v>404.39999999997849</v>
      </c>
      <c r="K88" s="42">
        <f t="shared" si="12"/>
        <v>10</v>
      </c>
      <c r="L88" s="42">
        <f t="shared" si="13"/>
        <v>670.23529411764503</v>
      </c>
      <c r="M88" s="43">
        <f>IF(ISERR((J88+H88)/(G88+I88)),P!AK89,(J88+H88)/(G88+I88))</f>
        <v>67.0235294117645</v>
      </c>
      <c r="N88" s="44">
        <f t="shared" si="14"/>
        <v>6836.3999999999787</v>
      </c>
      <c r="O88" s="44">
        <f t="shared" si="15"/>
        <v>6836.3999999999787</v>
      </c>
      <c r="P88" s="45" t="b">
        <f t="shared" si="16"/>
        <v>1</v>
      </c>
      <c r="Q88" s="183" t="str">
        <f t="shared" si="17"/>
        <v>OK</v>
      </c>
      <c r="S88" s="410">
        <f t="shared" si="18"/>
        <v>67.0235294117645</v>
      </c>
      <c r="T88" s="410">
        <f t="shared" si="19"/>
        <v>10</v>
      </c>
      <c r="AJ88" s="58">
        <f t="shared" si="20"/>
        <v>67.0235294117645</v>
      </c>
      <c r="AK88" s="58">
        <f t="shared" si="21"/>
        <v>10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39.6</v>
      </c>
      <c r="F89" s="42">
        <f t="shared" si="11"/>
        <v>4087.821640550751</v>
      </c>
      <c r="G89" s="42">
        <f>P!AJ90</f>
        <v>40</v>
      </c>
      <c r="H89" s="42">
        <f>G89*P!AK90</f>
        <v>4100</v>
      </c>
      <c r="I89" s="42">
        <f>S!E88</f>
        <v>3.25</v>
      </c>
      <c r="J89" s="42">
        <f>I89*S!D88</f>
        <v>364.6031806520192</v>
      </c>
      <c r="K89" s="42">
        <f t="shared" si="12"/>
        <v>3.6499999999999986</v>
      </c>
      <c r="L89" s="42">
        <f t="shared" si="13"/>
        <v>376.78154010126855</v>
      </c>
      <c r="M89" s="43">
        <f>IF(ISERR((J89+H89)/(G89+I89)),P!AK90,(J89+H89)/(G89+I89))</f>
        <v>103.22781920582705</v>
      </c>
      <c r="N89" s="44">
        <f t="shared" si="14"/>
        <v>4464.6031806520195</v>
      </c>
      <c r="O89" s="44">
        <f t="shared" si="15"/>
        <v>4464.6031806520195</v>
      </c>
      <c r="P89" s="45" t="b">
        <f t="shared" si="16"/>
        <v>1</v>
      </c>
      <c r="Q89" s="183" t="str">
        <f t="shared" si="17"/>
        <v>OK</v>
      </c>
      <c r="S89" s="410">
        <f t="shared" si="18"/>
        <v>103.22781920582705</v>
      </c>
      <c r="T89" s="410">
        <f t="shared" si="19"/>
        <v>3.6499999999999986</v>
      </c>
      <c r="AJ89" s="58">
        <f t="shared" si="20"/>
        <v>103.22781920582705</v>
      </c>
      <c r="AK89" s="58">
        <f t="shared" si="21"/>
        <v>3.6499999999999986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1435</v>
      </c>
      <c r="F90" s="42">
        <f t="shared" si="11"/>
        <v>16461.32749386759</v>
      </c>
      <c r="G90" s="42">
        <f>P!AJ91</f>
        <v>1347</v>
      </c>
      <c r="H90" s="42">
        <f>G90*P!AK91</f>
        <v>15438.000000000002</v>
      </c>
      <c r="I90" s="42">
        <f>S!E89</f>
        <v>88</v>
      </c>
      <c r="J90" s="42">
        <f>I90*S!D89</f>
        <v>1023.3274938675869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11.471308358095881</v>
      </c>
      <c r="N90" s="44">
        <f t="shared" si="14"/>
        <v>16461.32749386759</v>
      </c>
      <c r="O90" s="44">
        <f t="shared" si="15"/>
        <v>16461.32749386759</v>
      </c>
      <c r="P90" s="45" t="b">
        <f t="shared" si="16"/>
        <v>1</v>
      </c>
      <c r="Q90" s="183" t="str">
        <f t="shared" si="17"/>
        <v>OK</v>
      </c>
      <c r="S90" s="410">
        <f t="shared" si="18"/>
        <v>11.471308358095881</v>
      </c>
      <c r="T90" s="410">
        <f t="shared" si="19"/>
        <v>0</v>
      </c>
      <c r="AJ90" s="58">
        <f t="shared" si="20"/>
        <v>11.471308358095881</v>
      </c>
      <c r="AK90" s="58">
        <f t="shared" si="21"/>
        <v>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18.899999999999999</v>
      </c>
      <c r="F93" s="42">
        <f t="shared" si="11"/>
        <v>4078</v>
      </c>
      <c r="G93" s="42">
        <f>P!AJ94</f>
        <v>18</v>
      </c>
      <c r="H93" s="42">
        <f>G93*P!AK94</f>
        <v>3880</v>
      </c>
      <c r="I93" s="42">
        <f>S!E92</f>
        <v>0.90000000000000036</v>
      </c>
      <c r="J93" s="42">
        <f>I93*S!D92</f>
        <v>198.00000000000011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4078</v>
      </c>
      <c r="O93" s="44">
        <f t="shared" si="15"/>
        <v>4078</v>
      </c>
      <c r="P93" s="45" t="b">
        <f t="shared" si="16"/>
        <v>1</v>
      </c>
      <c r="Q93" s="183" t="str">
        <f t="shared" si="17"/>
        <v>OK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21.5</v>
      </c>
      <c r="F96" s="42">
        <f t="shared" si="11"/>
        <v>1827.6202177129569</v>
      </c>
      <c r="G96" s="42">
        <f>P!AJ97</f>
        <v>20</v>
      </c>
      <c r="H96" s="42">
        <f>G96*P!AK97</f>
        <v>1700</v>
      </c>
      <c r="I96" s="42">
        <f>S!E95</f>
        <v>2.5</v>
      </c>
      <c r="J96" s="42">
        <f>I96*S!D95</f>
        <v>212.62580923448996</v>
      </c>
      <c r="K96" s="42">
        <f t="shared" si="12"/>
        <v>1</v>
      </c>
      <c r="L96" s="42">
        <f t="shared" si="13"/>
        <v>85.005591521532878</v>
      </c>
      <c r="M96" s="43">
        <f>IF(ISERR((J96+H96)/(G96+I96)),P!AK97,(J96+H96)/(G96+I96))</f>
        <v>85.005591521532878</v>
      </c>
      <c r="N96" s="44">
        <f t="shared" si="14"/>
        <v>1912.6258092344899</v>
      </c>
      <c r="O96" s="44">
        <f t="shared" si="15"/>
        <v>1912.6258092344897</v>
      </c>
      <c r="P96" s="45" t="b">
        <f t="shared" si="16"/>
        <v>1</v>
      </c>
      <c r="Q96" s="183" t="str">
        <f t="shared" si="17"/>
        <v>OK</v>
      </c>
      <c r="S96" s="410">
        <f t="shared" si="18"/>
        <v>85.005591521532878</v>
      </c>
      <c r="T96" s="410">
        <f t="shared" si="19"/>
        <v>1</v>
      </c>
      <c r="AJ96" s="58">
        <f t="shared" si="20"/>
        <v>85.005591521532878</v>
      </c>
      <c r="AK96" s="58">
        <f t="shared" si="21"/>
        <v>1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520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520</v>
      </c>
      <c r="T98" s="410">
        <f t="shared" si="19"/>
        <v>0</v>
      </c>
      <c r="AJ98" s="58">
        <f t="shared" si="20"/>
        <v>520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2</v>
      </c>
      <c r="F99" s="42">
        <f t="shared" si="11"/>
        <v>355</v>
      </c>
      <c r="G99" s="42">
        <f>P!AJ100</f>
        <v>4</v>
      </c>
      <c r="H99" s="42">
        <f>G99*P!AK100</f>
        <v>710</v>
      </c>
      <c r="I99" s="42">
        <f>S!E98</f>
        <v>0</v>
      </c>
      <c r="J99" s="42">
        <f>I99*S!D98</f>
        <v>0</v>
      </c>
      <c r="K99" s="42">
        <f t="shared" si="12"/>
        <v>2</v>
      </c>
      <c r="L99" s="42">
        <f t="shared" si="13"/>
        <v>355</v>
      </c>
      <c r="M99" s="43">
        <f>IF(ISERR((J99+H99)/(G99+I99)),P!AK100,(J99+H99)/(G99+I99))</f>
        <v>177.5</v>
      </c>
      <c r="N99" s="44">
        <f t="shared" si="14"/>
        <v>710</v>
      </c>
      <c r="O99" s="44">
        <f t="shared" si="15"/>
        <v>710</v>
      </c>
      <c r="P99" s="45" t="b">
        <f t="shared" si="16"/>
        <v>1</v>
      </c>
      <c r="Q99" s="183" t="str">
        <f t="shared" si="17"/>
        <v>OK</v>
      </c>
      <c r="S99" s="410">
        <f t="shared" si="18"/>
        <v>177.5</v>
      </c>
      <c r="T99" s="410">
        <f t="shared" si="19"/>
        <v>2</v>
      </c>
      <c r="AJ99" s="58">
        <f t="shared" si="20"/>
        <v>177.5</v>
      </c>
      <c r="AK99" s="58">
        <f t="shared" si="21"/>
        <v>2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0.29999999999999982</v>
      </c>
      <c r="J100" s="42">
        <f>I100*S!D99</f>
        <v>177.53061370527243</v>
      </c>
      <c r="K100" s="42">
        <f t="shared" si="12"/>
        <v>0.29999999999999982</v>
      </c>
      <c r="L100" s="42">
        <f t="shared" si="13"/>
        <v>177.53061370527243</v>
      </c>
      <c r="M100" s="43">
        <f>IF(ISERR((J100+H100)/(G100+I100)),P!AK101,(J100+H100)/(G100+I100))</f>
        <v>591.76871235090846</v>
      </c>
      <c r="N100" s="44">
        <f t="shared" si="14"/>
        <v>177.53061370527243</v>
      </c>
      <c r="O100" s="44">
        <f t="shared" si="15"/>
        <v>177.53061370527243</v>
      </c>
      <c r="P100" s="45" t="b">
        <f t="shared" si="16"/>
        <v>1</v>
      </c>
      <c r="Q100" s="183" t="str">
        <f t="shared" si="17"/>
        <v>OK</v>
      </c>
      <c r="S100" s="410">
        <f t="shared" si="18"/>
        <v>591.76871235090846</v>
      </c>
      <c r="T100" s="410">
        <f t="shared" si="19"/>
        <v>0.29999999999999982</v>
      </c>
      <c r="AJ100" s="58">
        <f t="shared" si="20"/>
        <v>591.76871235090846</v>
      </c>
      <c r="AK100" s="58">
        <f t="shared" si="21"/>
        <v>0.29999999999999982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1</v>
      </c>
      <c r="F101" s="42">
        <f t="shared" si="11"/>
        <v>170</v>
      </c>
      <c r="G101" s="42">
        <f>P!AJ102</f>
        <v>1</v>
      </c>
      <c r="H101" s="42">
        <f>G101*P!AK102</f>
        <v>170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170</v>
      </c>
      <c r="N101" s="44">
        <f t="shared" si="14"/>
        <v>170</v>
      </c>
      <c r="O101" s="44">
        <f t="shared" si="15"/>
        <v>170</v>
      </c>
      <c r="P101" s="45" t="b">
        <f t="shared" si="16"/>
        <v>1</v>
      </c>
      <c r="Q101" s="183" t="str">
        <f t="shared" si="17"/>
        <v>OK</v>
      </c>
      <c r="S101" s="410">
        <f t="shared" si="18"/>
        <v>170</v>
      </c>
      <c r="T101" s="410">
        <f t="shared" si="19"/>
        <v>0</v>
      </c>
      <c r="AJ101" s="58">
        <f t="shared" si="20"/>
        <v>170</v>
      </c>
      <c r="AK101" s="58">
        <f t="shared" si="21"/>
        <v>0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2</v>
      </c>
      <c r="F104" s="42">
        <f t="shared" si="11"/>
        <v>360</v>
      </c>
      <c r="G104" s="42">
        <f>P!AJ105</f>
        <v>2</v>
      </c>
      <c r="H104" s="42">
        <f>G104*P!AK105</f>
        <v>360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360</v>
      </c>
      <c r="O104" s="44">
        <f t="shared" si="15"/>
        <v>360</v>
      </c>
      <c r="P104" s="45" t="b">
        <f t="shared" si="16"/>
        <v>1</v>
      </c>
      <c r="Q104" s="183" t="str">
        <f t="shared" si="17"/>
        <v>OK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14</v>
      </c>
      <c r="F105" s="42">
        <f t="shared" si="11"/>
        <v>2240</v>
      </c>
      <c r="G105" s="42">
        <f>P!AJ106</f>
        <v>14</v>
      </c>
      <c r="H105" s="42">
        <f>G105*P!AK106</f>
        <v>2240</v>
      </c>
      <c r="I105" s="42">
        <f>S!E104</f>
        <v>1</v>
      </c>
      <c r="J105" s="42">
        <f>I105*S!D104</f>
        <v>160</v>
      </c>
      <c r="K105" s="42">
        <f t="shared" si="12"/>
        <v>1</v>
      </c>
      <c r="L105" s="42">
        <f t="shared" si="13"/>
        <v>160</v>
      </c>
      <c r="M105" s="43">
        <f>IF(ISERR((J105+H105)/(G105+I105)),P!AK106,(J105+H105)/(G105+I105))</f>
        <v>160</v>
      </c>
      <c r="N105" s="44">
        <f t="shared" si="14"/>
        <v>2400</v>
      </c>
      <c r="O105" s="44">
        <f t="shared" si="15"/>
        <v>2400</v>
      </c>
      <c r="P105" s="45" t="b">
        <f t="shared" si="16"/>
        <v>1</v>
      </c>
      <c r="Q105" s="183" t="str">
        <f t="shared" si="17"/>
        <v>OK</v>
      </c>
      <c r="S105" s="410">
        <f t="shared" si="18"/>
        <v>160</v>
      </c>
      <c r="T105" s="410">
        <f t="shared" si="19"/>
        <v>1</v>
      </c>
      <c r="AJ105" s="58">
        <f t="shared" si="20"/>
        <v>160</v>
      </c>
      <c r="AK105" s="58">
        <f t="shared" si="21"/>
        <v>1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168.33333333333334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168.33333333333334</v>
      </c>
      <c r="T106" s="410">
        <f t="shared" si="19"/>
        <v>0</v>
      </c>
      <c r="AJ106" s="58">
        <f t="shared" si="20"/>
        <v>168.33333333333334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3.5</v>
      </c>
      <c r="F107" s="42">
        <f t="shared" si="11"/>
        <v>563.88888888888891</v>
      </c>
      <c r="G107" s="42">
        <f>P!AJ108</f>
        <v>4</v>
      </c>
      <c r="H107" s="42">
        <f>G107*P!AK108</f>
        <v>640</v>
      </c>
      <c r="I107" s="42">
        <f>S!E106</f>
        <v>0.5</v>
      </c>
      <c r="J107" s="42">
        <f>I107*S!D106</f>
        <v>85</v>
      </c>
      <c r="K107" s="42">
        <f t="shared" si="12"/>
        <v>1</v>
      </c>
      <c r="L107" s="42">
        <f t="shared" si="13"/>
        <v>161.11111111111111</v>
      </c>
      <c r="M107" s="43">
        <f>IF(ISERR((J107+H107)/(G107+I107)),P!AK108,(J107+H107)/(G107+I107))</f>
        <v>161.11111111111111</v>
      </c>
      <c r="N107" s="44">
        <f t="shared" si="14"/>
        <v>725</v>
      </c>
      <c r="O107" s="44">
        <f t="shared" si="15"/>
        <v>725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1</v>
      </c>
      <c r="AJ107" s="58">
        <f t="shared" si="20"/>
        <v>161.11111111111111</v>
      </c>
      <c r="AK107" s="58">
        <f t="shared" si="21"/>
        <v>1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1</v>
      </c>
      <c r="F108" s="42">
        <f t="shared" si="11"/>
        <v>850</v>
      </c>
      <c r="G108" s="42">
        <f>P!AJ109</f>
        <v>1.6</v>
      </c>
      <c r="H108" s="42">
        <f>G108*P!AK109</f>
        <v>1360</v>
      </c>
      <c r="I108" s="42">
        <f>S!E107</f>
        <v>0</v>
      </c>
      <c r="J108" s="42">
        <f>I108*S!D107</f>
        <v>0</v>
      </c>
      <c r="K108" s="42">
        <f t="shared" si="12"/>
        <v>0.60000000000000009</v>
      </c>
      <c r="L108" s="42">
        <f t="shared" si="13"/>
        <v>510.00000000000006</v>
      </c>
      <c r="M108" s="43">
        <f>IF(ISERR((J108+H108)/(G108+I108)),P!AK109,(J108+H108)/(G108+I108))</f>
        <v>850</v>
      </c>
      <c r="N108" s="44">
        <f t="shared" si="14"/>
        <v>1360</v>
      </c>
      <c r="O108" s="44">
        <f t="shared" si="15"/>
        <v>1360</v>
      </c>
      <c r="P108" s="45" t="b">
        <f t="shared" si="16"/>
        <v>1</v>
      </c>
      <c r="Q108" s="183" t="str">
        <f t="shared" si="17"/>
        <v>OK</v>
      </c>
      <c r="S108" s="410">
        <f t="shared" si="18"/>
        <v>850</v>
      </c>
      <c r="T108" s="410">
        <f t="shared" si="19"/>
        <v>0.60000000000000009</v>
      </c>
      <c r="AJ108" s="58">
        <f t="shared" si="20"/>
        <v>850</v>
      </c>
      <c r="AK108" s="58">
        <f t="shared" si="21"/>
        <v>0.60000000000000009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1</v>
      </c>
      <c r="H110" s="42">
        <f>G110*P!AK111</f>
        <v>270</v>
      </c>
      <c r="I110" s="42">
        <f>S!E109</f>
        <v>1</v>
      </c>
      <c r="J110" s="42">
        <f>I110*S!D109</f>
        <v>271.42857142857144</v>
      </c>
      <c r="K110" s="42">
        <f t="shared" si="12"/>
        <v>2</v>
      </c>
      <c r="L110" s="42">
        <f t="shared" si="13"/>
        <v>541.42857142857144</v>
      </c>
      <c r="M110" s="43">
        <f>IF(ISERR((J110+H110)/(G110+I110)),P!AK111,(J110+H110)/(G110+I110))</f>
        <v>270.71428571428572</v>
      </c>
      <c r="N110" s="44">
        <f t="shared" si="14"/>
        <v>541.42857142857144</v>
      </c>
      <c r="O110" s="44">
        <f t="shared" si="15"/>
        <v>541.42857142857144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270.71428571428572</v>
      </c>
      <c r="T110" s="410">
        <f t="shared" si="19"/>
        <v>2</v>
      </c>
      <c r="AJ110" s="58">
        <f t="shared" si="20"/>
        <v>270.71428571428572</v>
      </c>
      <c r="AK110" s="58">
        <f t="shared" si="21"/>
        <v>2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3.5999999999999996</v>
      </c>
      <c r="F113" s="42">
        <f t="shared" si="11"/>
        <v>7512.5</v>
      </c>
      <c r="G113" s="42">
        <f>P!AJ114</f>
        <v>3.3</v>
      </c>
      <c r="H113" s="42">
        <f>G113*P!AK114</f>
        <v>7010</v>
      </c>
      <c r="I113" s="42">
        <f>S!E112</f>
        <v>0.30000000000000004</v>
      </c>
      <c r="J113" s="42">
        <f>I113*S!D112</f>
        <v>502.50000000000006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2086.8055555555557</v>
      </c>
      <c r="N113" s="44">
        <f t="shared" si="14"/>
        <v>7512.5</v>
      </c>
      <c r="O113" s="44">
        <f t="shared" si="15"/>
        <v>7512.5</v>
      </c>
      <c r="P113" s="45" t="b">
        <f t="shared" si="16"/>
        <v>1</v>
      </c>
      <c r="Q113" s="183" t="str">
        <f t="shared" si="17"/>
        <v>OK</v>
      </c>
      <c r="S113" s="410">
        <f t="shared" si="18"/>
        <v>2086.8055555555557</v>
      </c>
      <c r="T113" s="410">
        <f t="shared" si="19"/>
        <v>0</v>
      </c>
      <c r="AJ113" s="58">
        <f t="shared" si="20"/>
        <v>2086.8055555555557</v>
      </c>
      <c r="AK113" s="58">
        <f t="shared" si="21"/>
        <v>0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0.25</v>
      </c>
      <c r="F114" s="42">
        <f t="shared" si="11"/>
        <v>970</v>
      </c>
      <c r="G114" s="42">
        <f>P!AJ115</f>
        <v>0.25</v>
      </c>
      <c r="H114" s="42">
        <f>G114*P!AK115</f>
        <v>970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970</v>
      </c>
      <c r="O114" s="44">
        <f t="shared" si="15"/>
        <v>970</v>
      </c>
      <c r="P114" s="45" t="b">
        <f t="shared" si="16"/>
        <v>1</v>
      </c>
      <c r="Q114" s="183" t="str">
        <f t="shared" si="17"/>
        <v>OK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332</v>
      </c>
      <c r="F117" s="42">
        <f t="shared" si="11"/>
        <v>2940.4411823366404</v>
      </c>
      <c r="G117" s="42">
        <f>P!AJ118</f>
        <v>432</v>
      </c>
      <c r="H117" s="42">
        <f>G117*P!AK118</f>
        <v>3800</v>
      </c>
      <c r="I117" s="42">
        <f>S!E116</f>
        <v>36</v>
      </c>
      <c r="J117" s="42">
        <f>I117*S!D116</f>
        <v>344.95925702875763</v>
      </c>
      <c r="K117" s="42">
        <f t="shared" si="12"/>
        <v>136</v>
      </c>
      <c r="L117" s="42">
        <f t="shared" si="13"/>
        <v>1204.5180746921176</v>
      </c>
      <c r="M117" s="43">
        <f>IF(ISERR((J117+H117)/(G117+I117)),P!AK118,(J117+H117)/(G117+I117))</f>
        <v>8.8567505492067475</v>
      </c>
      <c r="N117" s="44">
        <f t="shared" si="14"/>
        <v>4144.9592570287577</v>
      </c>
      <c r="O117" s="44">
        <f t="shared" si="15"/>
        <v>4144.9592570287577</v>
      </c>
      <c r="P117" s="45" t="b">
        <f t="shared" si="16"/>
        <v>1</v>
      </c>
      <c r="Q117" s="183" t="str">
        <f t="shared" si="17"/>
        <v>OK</v>
      </c>
      <c r="S117" s="410">
        <f t="shared" si="18"/>
        <v>8.8567505492067475</v>
      </c>
      <c r="T117" s="410">
        <f t="shared" si="19"/>
        <v>136</v>
      </c>
      <c r="AJ117" s="58">
        <f t="shared" si="20"/>
        <v>8.8567505492067475</v>
      </c>
      <c r="AK117" s="58">
        <f t="shared" si="21"/>
        <v>136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180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180</v>
      </c>
      <c r="T119" s="410">
        <f t="shared" si="19"/>
        <v>0</v>
      </c>
      <c r="AJ119" s="58">
        <f t="shared" si="20"/>
        <v>180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140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140</v>
      </c>
      <c r="T121" s="410">
        <f t="shared" si="19"/>
        <v>0</v>
      </c>
      <c r="AJ121" s="58">
        <f t="shared" si="20"/>
        <v>140</v>
      </c>
      <c r="AK121" s="58">
        <f t="shared" si="21"/>
        <v>0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2.5</v>
      </c>
      <c r="F122" s="42">
        <f t="shared" si="11"/>
        <v>275</v>
      </c>
      <c r="G122" s="42">
        <f>P!AJ123</f>
        <v>2.5</v>
      </c>
      <c r="H122" s="42">
        <f>G122*P!AK123</f>
        <v>275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275</v>
      </c>
      <c r="O122" s="44">
        <f t="shared" si="15"/>
        <v>275</v>
      </c>
      <c r="P122" s="45" t="b">
        <f t="shared" si="16"/>
        <v>1</v>
      </c>
      <c r="Q122" s="183" t="str">
        <f t="shared" si="17"/>
        <v>OK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6.583333333333333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6.583333333333333</v>
      </c>
      <c r="T123" s="410">
        <f t="shared" si="19"/>
        <v>0</v>
      </c>
      <c r="AJ123" s="58">
        <f t="shared" si="20"/>
        <v>6.583333333333333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1.038</v>
      </c>
      <c r="H124" s="42">
        <f>G124*P!AK125</f>
        <v>1195</v>
      </c>
      <c r="I124" s="42">
        <f>S!E123</f>
        <v>0</v>
      </c>
      <c r="J124" s="42">
        <f>I124*S!D123</f>
        <v>0</v>
      </c>
      <c r="K124" s="42">
        <f t="shared" si="12"/>
        <v>1.038</v>
      </c>
      <c r="L124" s="42">
        <f t="shared" si="13"/>
        <v>1195</v>
      </c>
      <c r="M124" s="43">
        <f>IF(ISERR((J124+H124)/(G124+I124)),P!AK125,(J124+H124)/(G124+I124))</f>
        <v>1151.252408477842</v>
      </c>
      <c r="N124" s="44">
        <f t="shared" si="14"/>
        <v>1195</v>
      </c>
      <c r="O124" s="44">
        <f t="shared" si="15"/>
        <v>1195</v>
      </c>
      <c r="P124" s="45" t="b">
        <f t="shared" si="16"/>
        <v>1</v>
      </c>
      <c r="Q124" s="183" t="str">
        <f t="shared" si="17"/>
        <v>OK</v>
      </c>
      <c r="S124" s="410">
        <f t="shared" si="18"/>
        <v>1151.252408477842</v>
      </c>
      <c r="T124" s="410">
        <f t="shared" si="19"/>
        <v>1.038</v>
      </c>
      <c r="AJ124" s="58">
        <f t="shared" si="20"/>
        <v>1151.252408477842</v>
      </c>
      <c r="AK124" s="58">
        <f t="shared" si="21"/>
        <v>1.038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465</v>
      </c>
      <c r="F125" s="42">
        <f t="shared" si="11"/>
        <v>4462</v>
      </c>
      <c r="G125" s="42">
        <f>P!AJ126</f>
        <v>465</v>
      </c>
      <c r="H125" s="42">
        <f>G125*P!AK126</f>
        <v>4462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9.5956989247311828</v>
      </c>
      <c r="N125" s="44">
        <f t="shared" si="14"/>
        <v>4462</v>
      </c>
      <c r="O125" s="44">
        <f t="shared" si="15"/>
        <v>4462</v>
      </c>
      <c r="P125" s="45" t="b">
        <f t="shared" si="16"/>
        <v>1</v>
      </c>
      <c r="Q125" s="183" t="str">
        <f t="shared" si="17"/>
        <v>OK</v>
      </c>
      <c r="S125" s="410">
        <f t="shared" si="18"/>
        <v>9.5956989247311828</v>
      </c>
      <c r="T125" s="410">
        <f t="shared" si="19"/>
        <v>0</v>
      </c>
      <c r="AJ125" s="58">
        <f t="shared" si="20"/>
        <v>9.5956989247311828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32.4</v>
      </c>
      <c r="F127" s="42">
        <f t="shared" si="11"/>
        <v>2923.9999999999995</v>
      </c>
      <c r="G127" s="42">
        <f>P!AJ128</f>
        <v>32.400000000000006</v>
      </c>
      <c r="H127" s="42">
        <f>G127*P!AK128</f>
        <v>2924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90.246913580246897</v>
      </c>
      <c r="N127" s="44">
        <f t="shared" si="14"/>
        <v>2924</v>
      </c>
      <c r="O127" s="44">
        <f t="shared" si="15"/>
        <v>2923.9999999999995</v>
      </c>
      <c r="P127" s="45" t="b">
        <f t="shared" si="16"/>
        <v>1</v>
      </c>
      <c r="Q127" s="183" t="str">
        <f t="shared" si="17"/>
        <v>OK</v>
      </c>
      <c r="S127" s="410">
        <f t="shared" si="18"/>
        <v>90.246913580246897</v>
      </c>
      <c r="T127" s="410">
        <f t="shared" si="19"/>
        <v>0</v>
      </c>
      <c r="AJ127" s="58">
        <f t="shared" si="20"/>
        <v>90.246913580246897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363.28358208955223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363.28358208955223</v>
      </c>
      <c r="T128" s="410">
        <f t="shared" si="19"/>
        <v>0</v>
      </c>
      <c r="AJ128" s="58">
        <f t="shared" si="20"/>
        <v>363.28358208955223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6.4</v>
      </c>
      <c r="F129" s="42">
        <f t="shared" si="11"/>
        <v>2624</v>
      </c>
      <c r="G129" s="42">
        <f>P!AJ130</f>
        <v>6.4</v>
      </c>
      <c r="H129" s="42">
        <f>G129*P!AK130</f>
        <v>2624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410</v>
      </c>
      <c r="N129" s="44">
        <f t="shared" si="14"/>
        <v>2624</v>
      </c>
      <c r="O129" s="44">
        <f t="shared" si="15"/>
        <v>2624</v>
      </c>
      <c r="P129" s="45" t="b">
        <f t="shared" si="16"/>
        <v>1</v>
      </c>
      <c r="Q129" s="183" t="str">
        <f t="shared" si="17"/>
        <v>OK</v>
      </c>
      <c r="S129" s="410">
        <f t="shared" si="18"/>
        <v>410</v>
      </c>
      <c r="T129" s="410">
        <f t="shared" si="19"/>
        <v>0</v>
      </c>
      <c r="AJ129" s="58">
        <f t="shared" si="20"/>
        <v>410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4.4000000000000004</v>
      </c>
      <c r="F130" s="42">
        <f t="shared" si="11"/>
        <v>1100</v>
      </c>
      <c r="G130" s="42">
        <f>P!AJ131</f>
        <v>4.4000000000000004</v>
      </c>
      <c r="H130" s="42">
        <f>G130*P!AK131</f>
        <v>1100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249.99999999999997</v>
      </c>
      <c r="N130" s="44">
        <f t="shared" si="14"/>
        <v>1100</v>
      </c>
      <c r="O130" s="44">
        <f t="shared" si="15"/>
        <v>1100</v>
      </c>
      <c r="P130" s="45" t="b">
        <f t="shared" si="16"/>
        <v>1</v>
      </c>
      <c r="Q130" s="183" t="str">
        <f t="shared" si="17"/>
        <v>OK</v>
      </c>
      <c r="S130" s="410">
        <f t="shared" si="18"/>
        <v>249.99999999999997</v>
      </c>
      <c r="T130" s="410">
        <f t="shared" si="19"/>
        <v>0</v>
      </c>
      <c r="AJ130" s="58">
        <f t="shared" si="20"/>
        <v>249.99999999999997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29.2</v>
      </c>
      <c r="F131" s="42">
        <f t="shared" si="11"/>
        <v>2960</v>
      </c>
      <c r="G131" s="42">
        <f>P!AJ132</f>
        <v>29.2</v>
      </c>
      <c r="H131" s="42">
        <f>G131*P!AK132</f>
        <v>2960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101.36986301369863</v>
      </c>
      <c r="N131" s="44">
        <f t="shared" si="14"/>
        <v>2960</v>
      </c>
      <c r="O131" s="44">
        <f t="shared" si="15"/>
        <v>2960</v>
      </c>
      <c r="P131" s="45" t="b">
        <f t="shared" si="16"/>
        <v>1</v>
      </c>
      <c r="Q131" s="183" t="str">
        <f t="shared" si="17"/>
        <v>OK</v>
      </c>
      <c r="S131" s="410">
        <f t="shared" si="18"/>
        <v>101.36986301369863</v>
      </c>
      <c r="T131" s="410">
        <f t="shared" si="19"/>
        <v>0</v>
      </c>
      <c r="AJ131" s="58">
        <f t="shared" si="20"/>
        <v>101.36986301369863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12</v>
      </c>
      <c r="F132" s="42">
        <f t="shared" si="11"/>
        <v>1560</v>
      </c>
      <c r="G132" s="42">
        <f>P!AJ133</f>
        <v>12</v>
      </c>
      <c r="H132" s="42">
        <f>G132*P!AK133</f>
        <v>1560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1560</v>
      </c>
      <c r="O132" s="44">
        <f t="shared" si="15"/>
        <v>1560</v>
      </c>
      <c r="P132" s="45" t="b">
        <f t="shared" si="16"/>
        <v>1</v>
      </c>
      <c r="Q132" s="183" t="str">
        <f t="shared" si="17"/>
        <v>OK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13.1</v>
      </c>
      <c r="F134" s="42">
        <f t="shared" si="22"/>
        <v>2658</v>
      </c>
      <c r="G134" s="42">
        <f>P!AJ135</f>
        <v>13.1</v>
      </c>
      <c r="H134" s="42">
        <f>G134*P!AK135</f>
        <v>2658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202.90076335877862</v>
      </c>
      <c r="N134" s="44">
        <f t="shared" si="25"/>
        <v>2658</v>
      </c>
      <c r="O134" s="44">
        <f t="shared" si="26"/>
        <v>2658</v>
      </c>
      <c r="P134" s="45" t="b">
        <f t="shared" si="27"/>
        <v>1</v>
      </c>
      <c r="Q134" s="183" t="str">
        <f t="shared" si="28"/>
        <v>OK</v>
      </c>
      <c r="S134" s="410">
        <f t="shared" si="29"/>
        <v>202.90076335877862</v>
      </c>
      <c r="T134" s="410">
        <f t="shared" si="30"/>
        <v>0</v>
      </c>
      <c r="AJ134" s="58">
        <f t="shared" si="31"/>
        <v>202.90076335877862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3.1739999999999999</v>
      </c>
      <c r="F137" s="42">
        <f t="shared" si="22"/>
        <v>983.00000000000011</v>
      </c>
      <c r="G137" s="42">
        <f>P!AJ138</f>
        <v>3.1739999999999999</v>
      </c>
      <c r="H137" s="42">
        <f>G137*P!AK138</f>
        <v>983.00000000000011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983.00000000000011</v>
      </c>
      <c r="O137" s="44">
        <f t="shared" si="26"/>
        <v>983.00000000000011</v>
      </c>
      <c r="P137" s="45" t="b">
        <f t="shared" si="27"/>
        <v>1</v>
      </c>
      <c r="Q137" s="183" t="str">
        <f t="shared" si="28"/>
        <v>OK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5.3</v>
      </c>
      <c r="F138" s="42">
        <f t="shared" si="22"/>
        <v>583</v>
      </c>
      <c r="G138" s="42">
        <f>P!AJ139</f>
        <v>5.3</v>
      </c>
      <c r="H138" s="42">
        <f>G138*P!AK139</f>
        <v>583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583</v>
      </c>
      <c r="O138" s="44">
        <f t="shared" si="26"/>
        <v>583</v>
      </c>
      <c r="P138" s="45" t="b">
        <f t="shared" si="27"/>
        <v>1</v>
      </c>
      <c r="Q138" s="183" t="str">
        <f t="shared" si="28"/>
        <v>OK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44</v>
      </c>
      <c r="F142" s="42">
        <f t="shared" si="22"/>
        <v>880</v>
      </c>
      <c r="G142" s="42">
        <f>P!AJ143</f>
        <v>44</v>
      </c>
      <c r="H142" s="42">
        <f>G142*P!AK143</f>
        <v>880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20</v>
      </c>
      <c r="N142" s="44">
        <f t="shared" si="25"/>
        <v>880</v>
      </c>
      <c r="O142" s="44">
        <f t="shared" si="26"/>
        <v>880</v>
      </c>
      <c r="P142" s="45" t="b">
        <f t="shared" si="27"/>
        <v>1</v>
      </c>
      <c r="Q142" s="183" t="str">
        <f t="shared" si="28"/>
        <v>OK</v>
      </c>
      <c r="S142" s="410">
        <f t="shared" si="29"/>
        <v>20</v>
      </c>
      <c r="T142" s="410">
        <f t="shared" si="30"/>
        <v>0</v>
      </c>
      <c r="AJ142" s="58">
        <f t="shared" si="31"/>
        <v>20</v>
      </c>
      <c r="AK142" s="58">
        <f t="shared" si="32"/>
        <v>0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62.8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62.8</v>
      </c>
      <c r="T143" s="410">
        <f t="shared" si="30"/>
        <v>0</v>
      </c>
      <c r="AJ143" s="58">
        <f t="shared" si="31"/>
        <v>62.8</v>
      </c>
      <c r="AK143" s="58">
        <f t="shared" si="32"/>
        <v>0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29</v>
      </c>
      <c r="F144" s="42">
        <f t="shared" si="22"/>
        <v>31900</v>
      </c>
      <c r="G144" s="42">
        <f>P!AJ145</f>
        <v>29</v>
      </c>
      <c r="H144" s="42">
        <f>G144*P!AK145</f>
        <v>31900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1100</v>
      </c>
      <c r="N144" s="44">
        <f t="shared" si="25"/>
        <v>31900</v>
      </c>
      <c r="O144" s="44">
        <f t="shared" si="26"/>
        <v>31900</v>
      </c>
      <c r="P144" s="45" t="b">
        <f t="shared" si="27"/>
        <v>1</v>
      </c>
      <c r="Q144" s="183" t="str">
        <f t="shared" si="28"/>
        <v>OK</v>
      </c>
      <c r="S144" s="410">
        <f t="shared" si="29"/>
        <v>1100</v>
      </c>
      <c r="T144" s="410">
        <f t="shared" si="30"/>
        <v>0</v>
      </c>
      <c r="AJ144" s="58">
        <f t="shared" si="31"/>
        <v>1100</v>
      </c>
      <c r="AK144" s="58">
        <f t="shared" si="32"/>
        <v>0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700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700</v>
      </c>
      <c r="T146" s="410">
        <f t="shared" si="30"/>
        <v>0</v>
      </c>
      <c r="AJ146" s="58">
        <f t="shared" si="31"/>
        <v>700</v>
      </c>
      <c r="AK146" s="58">
        <f t="shared" si="32"/>
        <v>0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3</v>
      </c>
      <c r="F147" s="42">
        <f t="shared" si="22"/>
        <v>3300</v>
      </c>
      <c r="G147" s="42">
        <f>P!AJ148</f>
        <v>3</v>
      </c>
      <c r="H147" s="42">
        <f>G147*P!AK148</f>
        <v>3300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3300</v>
      </c>
      <c r="O147" s="44">
        <f t="shared" si="26"/>
        <v>3300</v>
      </c>
      <c r="P147" s="45" t="b">
        <f t="shared" si="27"/>
        <v>1</v>
      </c>
      <c r="Q147" s="183" t="str">
        <f t="shared" si="28"/>
        <v>OK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7</v>
      </c>
      <c r="F148" s="42">
        <f t="shared" si="22"/>
        <v>5250</v>
      </c>
      <c r="G148" s="42">
        <f>P!AJ149</f>
        <v>7</v>
      </c>
      <c r="H148" s="42">
        <f>G148*P!AK149</f>
        <v>5250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5250</v>
      </c>
      <c r="O148" s="44">
        <f t="shared" si="26"/>
        <v>5250</v>
      </c>
      <c r="P148" s="45" t="b">
        <f t="shared" si="27"/>
        <v>1</v>
      </c>
      <c r="Q148" s="183" t="str">
        <f t="shared" si="28"/>
        <v>OK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242</v>
      </c>
      <c r="F151" s="42">
        <f t="shared" si="22"/>
        <v>55020.977760476118</v>
      </c>
      <c r="G151" s="42">
        <f>P!AJ152</f>
        <v>223</v>
      </c>
      <c r="H151" s="42">
        <f>G151*P!AK152</f>
        <v>50750</v>
      </c>
      <c r="I151" s="42">
        <f>S!E150</f>
        <v>34.390000000000214</v>
      </c>
      <c r="J151" s="42">
        <f>I151*S!D150</f>
        <v>7770.0391147477621</v>
      </c>
      <c r="K151" s="42">
        <f t="shared" si="23"/>
        <v>15.390000000000214</v>
      </c>
      <c r="L151" s="42">
        <f t="shared" si="24"/>
        <v>3499.0613542716496</v>
      </c>
      <c r="M151" s="43">
        <f>IF(ISERR((J151+H151)/(G151+I151)),P!AK152,(J151+H151)/(G151+I151))</f>
        <v>227.35941223337238</v>
      </c>
      <c r="N151" s="44">
        <f t="shared" si="25"/>
        <v>58520.039114747764</v>
      </c>
      <c r="O151" s="44">
        <f t="shared" si="26"/>
        <v>58520.039114747771</v>
      </c>
      <c r="P151" s="45" t="b">
        <f t="shared" si="27"/>
        <v>1</v>
      </c>
      <c r="Q151" s="183" t="str">
        <f t="shared" si="28"/>
        <v>OK</v>
      </c>
      <c r="S151" s="410">
        <f t="shared" si="29"/>
        <v>227.35941223337238</v>
      </c>
      <c r="T151" s="410">
        <f t="shared" si="30"/>
        <v>15.390000000000214</v>
      </c>
      <c r="AJ151" s="58">
        <f t="shared" si="31"/>
        <v>227.35941223337238</v>
      </c>
      <c r="AK151" s="58">
        <f t="shared" si="32"/>
        <v>15.390000000000214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47.3</v>
      </c>
      <c r="F153" s="42">
        <f t="shared" si="22"/>
        <v>10450.973373292625</v>
      </c>
      <c r="G153" s="42">
        <f>P!AJ154</f>
        <v>45.3</v>
      </c>
      <c r="H153" s="42">
        <f>G153*P!AK154</f>
        <v>9999</v>
      </c>
      <c r="I153" s="42">
        <f>S!E152</f>
        <v>2.0000000000000107</v>
      </c>
      <c r="J153" s="42">
        <f>I153*S!D152</f>
        <v>451.97337329262768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220.95081127468552</v>
      </c>
      <c r="N153" s="44">
        <f t="shared" si="25"/>
        <v>10450.973373292627</v>
      </c>
      <c r="O153" s="44">
        <f t="shared" si="26"/>
        <v>10450.973373292625</v>
      </c>
      <c r="P153" s="45" t="b">
        <f t="shared" si="27"/>
        <v>1</v>
      </c>
      <c r="Q153" s="183" t="str">
        <f t="shared" si="28"/>
        <v>OK</v>
      </c>
      <c r="S153" s="410">
        <f t="shared" si="29"/>
        <v>220.95081127468552</v>
      </c>
      <c r="T153" s="410">
        <f t="shared" si="30"/>
        <v>0</v>
      </c>
      <c r="AJ153" s="58">
        <f t="shared" si="31"/>
        <v>220.95081127468552</v>
      </c>
      <c r="AK153" s="58">
        <f t="shared" si="32"/>
        <v>0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16.7</v>
      </c>
      <c r="F154" s="42">
        <f t="shared" si="22"/>
        <v>6137.3399062981143</v>
      </c>
      <c r="G154" s="42">
        <f>P!AJ155</f>
        <v>14.9</v>
      </c>
      <c r="H154" s="42">
        <f>G154*P!AK155</f>
        <v>5415</v>
      </c>
      <c r="I154" s="42">
        <f>S!E153</f>
        <v>8.5700000000000074</v>
      </c>
      <c r="J154" s="42">
        <f>I154*S!D153</f>
        <v>3210.3513533423234</v>
      </c>
      <c r="K154" s="42">
        <f t="shared" si="23"/>
        <v>6.7700000000000067</v>
      </c>
      <c r="L154" s="42">
        <f t="shared" si="24"/>
        <v>2488.0114470442081</v>
      </c>
      <c r="M154" s="43">
        <f>IF(ISERR((J154+H154)/(G154+I154)),P!AK155,(J154+H154)/(G154+I154))</f>
        <v>367.50538361066555</v>
      </c>
      <c r="N154" s="44">
        <f t="shared" si="25"/>
        <v>8625.3513533423229</v>
      </c>
      <c r="O154" s="44">
        <f t="shared" si="26"/>
        <v>8625.3513533423229</v>
      </c>
      <c r="P154" s="45" t="b">
        <f t="shared" si="27"/>
        <v>1</v>
      </c>
      <c r="Q154" s="183" t="str">
        <f t="shared" si="28"/>
        <v>OK</v>
      </c>
      <c r="S154" s="410">
        <f t="shared" si="29"/>
        <v>367.50538361066555</v>
      </c>
      <c r="T154" s="410">
        <f t="shared" si="30"/>
        <v>6.7700000000000067</v>
      </c>
      <c r="AJ154" s="58">
        <f t="shared" si="31"/>
        <v>367.50538361066555</v>
      </c>
      <c r="AK154" s="58">
        <f t="shared" si="32"/>
        <v>6.7700000000000067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13.1</v>
      </c>
      <c r="F155" s="42">
        <f t="shared" si="22"/>
        <v>4585</v>
      </c>
      <c r="G155" s="42">
        <f>P!AJ156</f>
        <v>13.1</v>
      </c>
      <c r="H155" s="42">
        <f>G155*P!AK156</f>
        <v>4585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350</v>
      </c>
      <c r="N155" s="44">
        <f t="shared" si="25"/>
        <v>4585</v>
      </c>
      <c r="O155" s="44">
        <f t="shared" si="26"/>
        <v>4585</v>
      </c>
      <c r="P155" s="45" t="b">
        <f t="shared" si="27"/>
        <v>1</v>
      </c>
      <c r="Q155" s="183" t="str">
        <f t="shared" si="28"/>
        <v>OK</v>
      </c>
      <c r="S155" s="410">
        <f t="shared" si="29"/>
        <v>350</v>
      </c>
      <c r="T155" s="410">
        <f t="shared" si="30"/>
        <v>0</v>
      </c>
      <c r="AJ155" s="58">
        <f t="shared" si="31"/>
        <v>350</v>
      </c>
      <c r="AK155" s="58">
        <f t="shared" si="32"/>
        <v>0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2253.7623762376234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2253.7623762376234</v>
      </c>
      <c r="T156" s="410">
        <f t="shared" si="30"/>
        <v>0</v>
      </c>
      <c r="AJ156" s="58">
        <f t="shared" si="31"/>
        <v>2253.7623762376234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6</v>
      </c>
      <c r="F161" s="42">
        <f t="shared" si="22"/>
        <v>2180</v>
      </c>
      <c r="G161" s="42">
        <f>P!AJ162</f>
        <v>6</v>
      </c>
      <c r="H161" s="42">
        <f>G161*P!AK162</f>
        <v>2180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363.33333333333331</v>
      </c>
      <c r="N161" s="44">
        <f t="shared" si="25"/>
        <v>2180</v>
      </c>
      <c r="O161" s="44">
        <f t="shared" si="26"/>
        <v>2180</v>
      </c>
      <c r="P161" s="45" t="b">
        <f t="shared" si="27"/>
        <v>1</v>
      </c>
      <c r="Q161" s="183" t="str">
        <f t="shared" si="28"/>
        <v>OK</v>
      </c>
      <c r="S161" s="410">
        <f t="shared" si="29"/>
        <v>363.33333333333331</v>
      </c>
      <c r="T161" s="410">
        <f t="shared" si="30"/>
        <v>0</v>
      </c>
      <c r="AJ161" s="58">
        <f t="shared" si="31"/>
        <v>363.33333333333331</v>
      </c>
      <c r="AK161" s="58">
        <f t="shared" si="32"/>
        <v>0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3</v>
      </c>
      <c r="F162" s="42">
        <f t="shared" si="22"/>
        <v>2010</v>
      </c>
      <c r="G162" s="42">
        <f>P!AJ163</f>
        <v>3</v>
      </c>
      <c r="H162" s="42">
        <f>G162*P!AK163</f>
        <v>2010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670</v>
      </c>
      <c r="N162" s="44">
        <f t="shared" si="25"/>
        <v>2010</v>
      </c>
      <c r="O162" s="44">
        <f t="shared" si="26"/>
        <v>2010</v>
      </c>
      <c r="P162" s="45" t="b">
        <f t="shared" si="27"/>
        <v>1</v>
      </c>
      <c r="Q162" s="183" t="str">
        <f t="shared" si="28"/>
        <v>OK</v>
      </c>
      <c r="S162" s="410">
        <f t="shared" si="29"/>
        <v>670</v>
      </c>
      <c r="T162" s="410">
        <f t="shared" si="30"/>
        <v>0</v>
      </c>
      <c r="AJ162" s="58">
        <f t="shared" si="31"/>
        <v>670</v>
      </c>
      <c r="AK162" s="58">
        <f t="shared" si="32"/>
        <v>0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190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190</v>
      </c>
      <c r="T165" s="410">
        <f t="shared" si="30"/>
        <v>0</v>
      </c>
      <c r="AJ165" s="58">
        <f t="shared" si="31"/>
        <v>190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6</v>
      </c>
      <c r="F169" s="42">
        <f t="shared" si="22"/>
        <v>4200</v>
      </c>
      <c r="G169" s="42">
        <f>P!AJ170</f>
        <v>6</v>
      </c>
      <c r="H169" s="42">
        <f>G169*P!AK170</f>
        <v>4200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700</v>
      </c>
      <c r="N169" s="44">
        <f t="shared" si="25"/>
        <v>4200</v>
      </c>
      <c r="O169" s="44">
        <f t="shared" si="26"/>
        <v>4200</v>
      </c>
      <c r="P169" s="45" t="b">
        <f t="shared" si="27"/>
        <v>1</v>
      </c>
      <c r="Q169" s="183" t="str">
        <f t="shared" si="28"/>
        <v>OK</v>
      </c>
      <c r="S169" s="410">
        <f t="shared" si="29"/>
        <v>700</v>
      </c>
      <c r="T169" s="410">
        <f t="shared" si="30"/>
        <v>0</v>
      </c>
      <c r="AJ169" s="58">
        <f t="shared" si="31"/>
        <v>700</v>
      </c>
      <c r="AK169" s="58">
        <f t="shared" si="32"/>
        <v>0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5</v>
      </c>
      <c r="F170" s="42">
        <f t="shared" si="22"/>
        <v>1850</v>
      </c>
      <c r="G170" s="42">
        <f>P!AJ171</f>
        <v>5</v>
      </c>
      <c r="H170" s="42">
        <f>G170*P!AK171</f>
        <v>1850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370</v>
      </c>
      <c r="N170" s="44">
        <f t="shared" si="25"/>
        <v>1850</v>
      </c>
      <c r="O170" s="44">
        <f t="shared" si="26"/>
        <v>1850</v>
      </c>
      <c r="P170" s="45" t="b">
        <f t="shared" si="27"/>
        <v>1</v>
      </c>
      <c r="Q170" s="183" t="str">
        <f t="shared" si="28"/>
        <v>OK</v>
      </c>
      <c r="S170" s="410">
        <f t="shared" si="29"/>
        <v>370</v>
      </c>
      <c r="T170" s="410">
        <f t="shared" si="30"/>
        <v>0</v>
      </c>
      <c r="AJ170" s="58">
        <f t="shared" si="31"/>
        <v>370</v>
      </c>
      <c r="AK170" s="58">
        <f t="shared" si="32"/>
        <v>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17.899999999999999</v>
      </c>
      <c r="F171" s="42">
        <f t="shared" si="22"/>
        <v>8275.7790965397344</v>
      </c>
      <c r="G171" s="42">
        <f>P!AJ172</f>
        <v>20.100000000000001</v>
      </c>
      <c r="H171" s="42">
        <f>G171*P!AK172</f>
        <v>9243</v>
      </c>
      <c r="I171" s="42">
        <f>S!E170</f>
        <v>0.99999999999999645</v>
      </c>
      <c r="J171" s="42">
        <f>I171*S!D170</f>
        <v>512.2479853066136</v>
      </c>
      <c r="K171" s="42">
        <f t="shared" si="23"/>
        <v>3.1999999999999993</v>
      </c>
      <c r="L171" s="42">
        <f t="shared" si="24"/>
        <v>1479.4688887668797</v>
      </c>
      <c r="M171" s="43">
        <f>IF(ISERR((J171+H171)/(G171+I171)),P!AK172,(J171+H171)/(G171+I171))</f>
        <v>462.33402773965003</v>
      </c>
      <c r="N171" s="44">
        <f t="shared" si="25"/>
        <v>9755.2479853066143</v>
      </c>
      <c r="O171" s="44">
        <f t="shared" si="26"/>
        <v>9755.2479853066143</v>
      </c>
      <c r="P171" s="45" t="b">
        <f t="shared" si="27"/>
        <v>1</v>
      </c>
      <c r="Q171" s="183" t="str">
        <f t="shared" si="28"/>
        <v>OK</v>
      </c>
      <c r="S171" s="410">
        <f t="shared" si="29"/>
        <v>462.33402773965003</v>
      </c>
      <c r="T171" s="410">
        <f t="shared" si="30"/>
        <v>3.1999999999999993</v>
      </c>
      <c r="AJ171" s="58">
        <f t="shared" si="31"/>
        <v>462.33402773965003</v>
      </c>
      <c r="AK171" s="58">
        <f t="shared" si="32"/>
        <v>3.1999999999999993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13.5</v>
      </c>
      <c r="F174" s="42">
        <f t="shared" si="22"/>
        <v>8505</v>
      </c>
      <c r="G174" s="42">
        <f>P!AJ175</f>
        <v>13.5</v>
      </c>
      <c r="H174" s="42">
        <f>G174*P!AK175</f>
        <v>8505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8505</v>
      </c>
      <c r="O174" s="44">
        <f t="shared" si="26"/>
        <v>8505</v>
      </c>
      <c r="P174" s="45" t="b">
        <f t="shared" si="27"/>
        <v>1</v>
      </c>
      <c r="Q174" s="183" t="str">
        <f t="shared" si="28"/>
        <v>OK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53</v>
      </c>
      <c r="F178" s="42">
        <f t="shared" si="22"/>
        <v>1247</v>
      </c>
      <c r="G178" s="42">
        <f>P!AJ179</f>
        <v>53</v>
      </c>
      <c r="H178" s="42">
        <f>G178*P!AK179</f>
        <v>1247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23.528301886792452</v>
      </c>
      <c r="N178" s="44">
        <f t="shared" si="25"/>
        <v>1247</v>
      </c>
      <c r="O178" s="44">
        <f t="shared" si="26"/>
        <v>1247</v>
      </c>
      <c r="P178" s="45" t="b">
        <f t="shared" si="27"/>
        <v>1</v>
      </c>
      <c r="Q178" s="183" t="str">
        <f t="shared" si="28"/>
        <v>OK</v>
      </c>
      <c r="S178" s="410">
        <f t="shared" si="29"/>
        <v>23.528301886792452</v>
      </c>
      <c r="T178" s="410">
        <f t="shared" si="30"/>
        <v>0</v>
      </c>
      <c r="AJ178" s="58">
        <f t="shared" si="31"/>
        <v>23.528301886792452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65</v>
      </c>
      <c r="F179" s="42">
        <f t="shared" si="22"/>
        <v>5200</v>
      </c>
      <c r="G179" s="42">
        <f>P!AJ180</f>
        <v>65</v>
      </c>
      <c r="H179" s="42">
        <f>G179*P!AK180</f>
        <v>5200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80</v>
      </c>
      <c r="N179" s="44">
        <f t="shared" si="25"/>
        <v>5200</v>
      </c>
      <c r="O179" s="44">
        <f t="shared" si="26"/>
        <v>5200</v>
      </c>
      <c r="P179" s="45" t="b">
        <f t="shared" si="27"/>
        <v>1</v>
      </c>
      <c r="Q179" s="183" t="str">
        <f t="shared" si="28"/>
        <v>OK</v>
      </c>
      <c r="S179" s="410">
        <f t="shared" si="29"/>
        <v>80</v>
      </c>
      <c r="T179" s="410">
        <f t="shared" si="30"/>
        <v>0</v>
      </c>
      <c r="AJ179" s="58">
        <f t="shared" si="31"/>
        <v>80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9</v>
      </c>
      <c r="F180" s="42">
        <f t="shared" si="22"/>
        <v>1745</v>
      </c>
      <c r="G180" s="42">
        <f>P!AJ181</f>
        <v>9</v>
      </c>
      <c r="H180" s="42">
        <f>G180*P!AK181</f>
        <v>1745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193.88888888888889</v>
      </c>
      <c r="N180" s="44">
        <f t="shared" si="25"/>
        <v>1745</v>
      </c>
      <c r="O180" s="44">
        <f t="shared" si="26"/>
        <v>1745</v>
      </c>
      <c r="P180" s="45" t="b">
        <f t="shared" si="27"/>
        <v>1</v>
      </c>
      <c r="Q180" s="183" t="str">
        <f t="shared" si="28"/>
        <v>OK</v>
      </c>
      <c r="S180" s="410">
        <f t="shared" si="29"/>
        <v>193.88888888888889</v>
      </c>
      <c r="T180" s="410">
        <f t="shared" si="30"/>
        <v>0</v>
      </c>
      <c r="AJ180" s="58">
        <f t="shared" si="31"/>
        <v>193.88888888888889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6.5</v>
      </c>
      <c r="F181" s="42">
        <f t="shared" si="22"/>
        <v>1070</v>
      </c>
      <c r="G181" s="42">
        <f>P!AJ182</f>
        <v>6.5</v>
      </c>
      <c r="H181" s="42">
        <f>G181*P!AK182</f>
        <v>1070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164.61538461538461</v>
      </c>
      <c r="N181" s="44">
        <f t="shared" si="25"/>
        <v>1070</v>
      </c>
      <c r="O181" s="44">
        <f t="shared" si="26"/>
        <v>1070</v>
      </c>
      <c r="P181" s="45" t="b">
        <f t="shared" si="27"/>
        <v>1</v>
      </c>
      <c r="Q181" s="183" t="str">
        <f t="shared" si="28"/>
        <v>OK</v>
      </c>
      <c r="S181" s="410">
        <f t="shared" si="29"/>
        <v>164.61538461538461</v>
      </c>
      <c r="T181" s="410">
        <f t="shared" si="30"/>
        <v>0</v>
      </c>
      <c r="AJ181" s="58">
        <f t="shared" si="31"/>
        <v>164.61538461538461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17.5</v>
      </c>
      <c r="F182" s="42">
        <f t="shared" si="22"/>
        <v>2585</v>
      </c>
      <c r="G182" s="42">
        <f>P!AJ183</f>
        <v>17.5</v>
      </c>
      <c r="H182" s="42">
        <f>G182*P!AK183</f>
        <v>2585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147.71428571428572</v>
      </c>
      <c r="N182" s="44">
        <f t="shared" si="25"/>
        <v>2585</v>
      </c>
      <c r="O182" s="44">
        <f t="shared" si="26"/>
        <v>2585</v>
      </c>
      <c r="P182" s="45" t="b">
        <f t="shared" si="27"/>
        <v>1</v>
      </c>
      <c r="Q182" s="183" t="str">
        <f t="shared" si="28"/>
        <v>OK</v>
      </c>
      <c r="S182" s="410">
        <f t="shared" si="29"/>
        <v>147.71428571428572</v>
      </c>
      <c r="T182" s="410">
        <f t="shared" si="30"/>
        <v>0</v>
      </c>
      <c r="AJ182" s="58">
        <f t="shared" si="31"/>
        <v>147.71428571428572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231</v>
      </c>
      <c r="F183" s="42">
        <f t="shared" si="22"/>
        <v>1547</v>
      </c>
      <c r="G183" s="42">
        <f>P!AJ184</f>
        <v>231</v>
      </c>
      <c r="H183" s="42">
        <f>G183*P!AK184</f>
        <v>1547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6.6969696969696972</v>
      </c>
      <c r="N183" s="44">
        <f t="shared" si="25"/>
        <v>1547</v>
      </c>
      <c r="O183" s="44">
        <f t="shared" si="26"/>
        <v>1547</v>
      </c>
      <c r="P183" s="45" t="b">
        <f t="shared" si="27"/>
        <v>1</v>
      </c>
      <c r="Q183" s="183" t="str">
        <f t="shared" si="28"/>
        <v>OK</v>
      </c>
      <c r="S183" s="410">
        <f t="shared" si="29"/>
        <v>6.6969696969696972</v>
      </c>
      <c r="T183" s="410">
        <f t="shared" si="30"/>
        <v>0</v>
      </c>
      <c r="AJ183" s="58">
        <f t="shared" si="31"/>
        <v>6.6969696969696972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50</v>
      </c>
      <c r="F184" s="42">
        <f t="shared" si="22"/>
        <v>2820</v>
      </c>
      <c r="G184" s="42">
        <f>P!AJ185</f>
        <v>50</v>
      </c>
      <c r="H184" s="42">
        <f>G184*P!AK185</f>
        <v>2820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56.4</v>
      </c>
      <c r="N184" s="44">
        <f t="shared" si="25"/>
        <v>2820</v>
      </c>
      <c r="O184" s="44">
        <f t="shared" si="26"/>
        <v>2820</v>
      </c>
      <c r="P184" s="45" t="b">
        <f t="shared" si="27"/>
        <v>1</v>
      </c>
      <c r="Q184" s="183" t="str">
        <f t="shared" si="28"/>
        <v>OK</v>
      </c>
      <c r="S184" s="410">
        <f t="shared" si="29"/>
        <v>56.4</v>
      </c>
      <c r="T184" s="410">
        <f t="shared" si="30"/>
        <v>0</v>
      </c>
      <c r="AJ184" s="58">
        <f t="shared" si="31"/>
        <v>56.4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13</v>
      </c>
      <c r="F185" s="42">
        <f t="shared" si="22"/>
        <v>1170</v>
      </c>
      <c r="G185" s="42">
        <f>P!AJ186</f>
        <v>13</v>
      </c>
      <c r="H185" s="42">
        <f>G185*P!AK186</f>
        <v>1170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90</v>
      </c>
      <c r="N185" s="44">
        <f t="shared" si="25"/>
        <v>1170</v>
      </c>
      <c r="O185" s="44">
        <f t="shared" si="26"/>
        <v>1170</v>
      </c>
      <c r="P185" s="45" t="b">
        <f t="shared" si="27"/>
        <v>1</v>
      </c>
      <c r="Q185" s="183" t="str">
        <f t="shared" si="28"/>
        <v>OK</v>
      </c>
      <c r="S185" s="410">
        <f t="shared" si="29"/>
        <v>90</v>
      </c>
      <c r="T185" s="410">
        <f t="shared" si="30"/>
        <v>0</v>
      </c>
      <c r="AJ185" s="58">
        <f t="shared" si="31"/>
        <v>90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16</v>
      </c>
      <c r="F186" s="42">
        <f t="shared" si="22"/>
        <v>870</v>
      </c>
      <c r="G186" s="42">
        <f>P!AJ187</f>
        <v>16</v>
      </c>
      <c r="H186" s="42">
        <f>G186*P!AK187</f>
        <v>870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54.375</v>
      </c>
      <c r="N186" s="44">
        <f t="shared" si="25"/>
        <v>870</v>
      </c>
      <c r="O186" s="44">
        <f t="shared" si="26"/>
        <v>870</v>
      </c>
      <c r="P186" s="45" t="b">
        <f t="shared" si="27"/>
        <v>1</v>
      </c>
      <c r="Q186" s="183" t="str">
        <f t="shared" si="28"/>
        <v>OK</v>
      </c>
      <c r="S186" s="410">
        <f t="shared" si="29"/>
        <v>54.375</v>
      </c>
      <c r="T186" s="410">
        <f t="shared" si="30"/>
        <v>0</v>
      </c>
      <c r="AJ186" s="58">
        <f t="shared" si="31"/>
        <v>54.375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20</v>
      </c>
      <c r="F187" s="42">
        <f t="shared" si="22"/>
        <v>1150</v>
      </c>
      <c r="G187" s="42">
        <f>P!AJ188</f>
        <v>20</v>
      </c>
      <c r="H187" s="42">
        <f>G187*P!AK188</f>
        <v>1150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57.5</v>
      </c>
      <c r="N187" s="44">
        <f t="shared" si="25"/>
        <v>1150</v>
      </c>
      <c r="O187" s="44">
        <f t="shared" si="26"/>
        <v>1150</v>
      </c>
      <c r="P187" s="45" t="b">
        <f t="shared" si="27"/>
        <v>1</v>
      </c>
      <c r="Q187" s="183" t="str">
        <f t="shared" si="28"/>
        <v>OK</v>
      </c>
      <c r="S187" s="410">
        <f t="shared" si="29"/>
        <v>57.5</v>
      </c>
      <c r="T187" s="410">
        <f t="shared" si="30"/>
        <v>0</v>
      </c>
      <c r="AJ187" s="58">
        <f t="shared" si="31"/>
        <v>57.5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36</v>
      </c>
      <c r="F188" s="42">
        <f t="shared" si="22"/>
        <v>1350</v>
      </c>
      <c r="G188" s="42">
        <f>P!AJ189</f>
        <v>36</v>
      </c>
      <c r="H188" s="42">
        <f>G188*P!AK189</f>
        <v>1350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37.5</v>
      </c>
      <c r="N188" s="44">
        <f t="shared" si="25"/>
        <v>1350</v>
      </c>
      <c r="O188" s="44">
        <f t="shared" si="26"/>
        <v>1350</v>
      </c>
      <c r="P188" s="45" t="b">
        <f t="shared" si="27"/>
        <v>1</v>
      </c>
      <c r="Q188" s="183" t="str">
        <f t="shared" si="28"/>
        <v>OK</v>
      </c>
      <c r="S188" s="410">
        <f t="shared" si="29"/>
        <v>37.5</v>
      </c>
      <c r="T188" s="410">
        <f t="shared" si="30"/>
        <v>0</v>
      </c>
      <c r="AJ188" s="58">
        <f t="shared" si="31"/>
        <v>37.5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145</v>
      </c>
      <c r="F189" s="42">
        <f t="shared" si="22"/>
        <v>888.99999999999989</v>
      </c>
      <c r="G189" s="42">
        <f>P!AJ190</f>
        <v>145</v>
      </c>
      <c r="H189" s="42">
        <f>G189*P!AK190</f>
        <v>888.99999999999989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6.1310344827586203</v>
      </c>
      <c r="N189" s="44">
        <f t="shared" si="25"/>
        <v>888.99999999999989</v>
      </c>
      <c r="O189" s="44">
        <f t="shared" si="26"/>
        <v>888.99999999999989</v>
      </c>
      <c r="P189" s="45" t="b">
        <f t="shared" si="27"/>
        <v>1</v>
      </c>
      <c r="Q189" s="183" t="str">
        <f t="shared" si="28"/>
        <v>OK</v>
      </c>
      <c r="S189" s="410">
        <f t="shared" si="29"/>
        <v>6.1310344827586203</v>
      </c>
      <c r="T189" s="410">
        <f t="shared" si="30"/>
        <v>0</v>
      </c>
      <c r="AJ189" s="58">
        <f t="shared" si="31"/>
        <v>6.1310344827586203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25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25</v>
      </c>
      <c r="T190" s="410">
        <f t="shared" si="30"/>
        <v>0</v>
      </c>
      <c r="AJ190" s="58">
        <f t="shared" si="31"/>
        <v>25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90</v>
      </c>
      <c r="F191" s="42">
        <f t="shared" si="22"/>
        <v>1080</v>
      </c>
      <c r="G191" s="42">
        <f>P!AJ192</f>
        <v>90</v>
      </c>
      <c r="H191" s="42">
        <f>G191*P!AK192</f>
        <v>1080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12</v>
      </c>
      <c r="N191" s="44">
        <f t="shared" si="25"/>
        <v>1080</v>
      </c>
      <c r="O191" s="44">
        <f t="shared" si="26"/>
        <v>1080</v>
      </c>
      <c r="P191" s="45" t="b">
        <f t="shared" si="27"/>
        <v>1</v>
      </c>
      <c r="Q191" s="183" t="str">
        <f t="shared" si="28"/>
        <v>OK</v>
      </c>
      <c r="S191" s="410">
        <f t="shared" si="29"/>
        <v>12</v>
      </c>
      <c r="T191" s="410">
        <f t="shared" si="30"/>
        <v>0</v>
      </c>
      <c r="AJ191" s="58">
        <f t="shared" si="31"/>
        <v>12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31</v>
      </c>
      <c r="F192" s="42">
        <f t="shared" si="22"/>
        <v>730</v>
      </c>
      <c r="G192" s="42">
        <f>P!AJ193</f>
        <v>31</v>
      </c>
      <c r="H192" s="42">
        <f>G192*P!AK193</f>
        <v>730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23.548387096774192</v>
      </c>
      <c r="N192" s="44">
        <f t="shared" si="25"/>
        <v>730</v>
      </c>
      <c r="O192" s="44">
        <f t="shared" si="26"/>
        <v>730</v>
      </c>
      <c r="P192" s="45" t="b">
        <f t="shared" si="27"/>
        <v>1</v>
      </c>
      <c r="Q192" s="183" t="str">
        <f t="shared" si="28"/>
        <v>OK</v>
      </c>
      <c r="S192" s="410">
        <f t="shared" si="29"/>
        <v>23.548387096774192</v>
      </c>
      <c r="T192" s="410">
        <f t="shared" si="30"/>
        <v>0</v>
      </c>
      <c r="AJ192" s="58">
        <f t="shared" si="31"/>
        <v>23.548387096774192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8</v>
      </c>
      <c r="F194" s="42">
        <f t="shared" si="22"/>
        <v>320</v>
      </c>
      <c r="G194" s="42">
        <f>P!AJ195</f>
        <v>8</v>
      </c>
      <c r="H194" s="42">
        <f>G194*P!AK195</f>
        <v>320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40</v>
      </c>
      <c r="N194" s="44">
        <f t="shared" si="25"/>
        <v>320</v>
      </c>
      <c r="O194" s="44">
        <f t="shared" si="26"/>
        <v>320</v>
      </c>
      <c r="P194" s="45" t="b">
        <f t="shared" si="27"/>
        <v>1</v>
      </c>
      <c r="Q194" s="183" t="str">
        <f t="shared" si="28"/>
        <v>OK</v>
      </c>
      <c r="S194" s="410">
        <f t="shared" si="29"/>
        <v>40</v>
      </c>
      <c r="T194" s="410">
        <f t="shared" si="30"/>
        <v>0</v>
      </c>
      <c r="AJ194" s="58">
        <f t="shared" si="31"/>
        <v>40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64.400000000000006</v>
      </c>
      <c r="F195" s="42">
        <f t="shared" si="22"/>
        <v>2253</v>
      </c>
      <c r="G195" s="42">
        <f>P!AJ196</f>
        <v>64.400000000000006</v>
      </c>
      <c r="H195" s="42">
        <f>G195*P!AK196</f>
        <v>2253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34.984472049689437</v>
      </c>
      <c r="N195" s="44">
        <f t="shared" si="25"/>
        <v>2253</v>
      </c>
      <c r="O195" s="44">
        <f t="shared" si="26"/>
        <v>2253</v>
      </c>
      <c r="P195" s="45" t="b">
        <f t="shared" si="27"/>
        <v>1</v>
      </c>
      <c r="Q195" s="183" t="str">
        <f t="shared" si="28"/>
        <v>OK</v>
      </c>
      <c r="S195" s="410">
        <f t="shared" si="29"/>
        <v>34.984472049689437</v>
      </c>
      <c r="T195" s="410">
        <f t="shared" si="30"/>
        <v>0</v>
      </c>
      <c r="AJ195" s="58">
        <f t="shared" si="31"/>
        <v>34.984472049689437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58</v>
      </c>
      <c r="F196" s="42">
        <f t="shared" si="22"/>
        <v>1195</v>
      </c>
      <c r="G196" s="42">
        <f>P!AJ197</f>
        <v>58</v>
      </c>
      <c r="H196" s="42">
        <f>G196*P!AK197</f>
        <v>1195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20.603448275862068</v>
      </c>
      <c r="N196" s="44">
        <f t="shared" si="25"/>
        <v>1195</v>
      </c>
      <c r="O196" s="44">
        <f t="shared" si="26"/>
        <v>1195</v>
      </c>
      <c r="P196" s="45" t="b">
        <f t="shared" si="27"/>
        <v>1</v>
      </c>
      <c r="Q196" s="183" t="str">
        <f t="shared" si="28"/>
        <v>OK</v>
      </c>
      <c r="S196" s="410">
        <f t="shared" si="29"/>
        <v>20.603448275862068</v>
      </c>
      <c r="T196" s="410">
        <f t="shared" si="30"/>
        <v>0</v>
      </c>
      <c r="AJ196" s="58">
        <f t="shared" si="31"/>
        <v>20.603448275862068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110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110</v>
      </c>
      <c r="T197" s="410">
        <f t="shared" ref="T197:T253" si="40">K197</f>
        <v>0</v>
      </c>
      <c r="AJ197" s="58">
        <f t="shared" ref="AJ197:AJ253" si="41">M197</f>
        <v>110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13</v>
      </c>
      <c r="F198" s="42">
        <f t="shared" si="33"/>
        <v>1390</v>
      </c>
      <c r="G198" s="42">
        <f>P!AJ199</f>
        <v>13</v>
      </c>
      <c r="H198" s="42">
        <f>G198*P!AK199</f>
        <v>1390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106.92307692307692</v>
      </c>
      <c r="N198" s="44">
        <f t="shared" si="35"/>
        <v>1390</v>
      </c>
      <c r="O198" s="44">
        <f t="shared" si="36"/>
        <v>1390</v>
      </c>
      <c r="P198" s="45" t="b">
        <f t="shared" si="37"/>
        <v>1</v>
      </c>
      <c r="Q198" s="183" t="str">
        <f t="shared" si="38"/>
        <v>OK</v>
      </c>
      <c r="S198" s="410">
        <f t="shared" si="39"/>
        <v>106.92307692307692</v>
      </c>
      <c r="T198" s="410">
        <f t="shared" si="40"/>
        <v>0</v>
      </c>
      <c r="AJ198" s="58">
        <f t="shared" si="41"/>
        <v>106.92307692307692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6.5</v>
      </c>
      <c r="F199" s="42">
        <f t="shared" si="33"/>
        <v>745</v>
      </c>
      <c r="G199" s="42">
        <f>P!AJ200</f>
        <v>6.5</v>
      </c>
      <c r="H199" s="42">
        <f>G199*P!AK200</f>
        <v>745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114.61538461538461</v>
      </c>
      <c r="N199" s="44">
        <f t="shared" si="35"/>
        <v>745</v>
      </c>
      <c r="O199" s="44">
        <f t="shared" si="36"/>
        <v>745</v>
      </c>
      <c r="P199" s="45" t="b">
        <f t="shared" si="37"/>
        <v>1</v>
      </c>
      <c r="Q199" s="183" t="str">
        <f t="shared" si="38"/>
        <v>OK</v>
      </c>
      <c r="S199" s="410">
        <f t="shared" si="39"/>
        <v>114.61538461538461</v>
      </c>
      <c r="T199" s="410">
        <f t="shared" si="40"/>
        <v>0</v>
      </c>
      <c r="AJ199" s="58">
        <f t="shared" si="41"/>
        <v>114.61538461538461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1</v>
      </c>
      <c r="F200" s="42">
        <f t="shared" si="33"/>
        <v>120</v>
      </c>
      <c r="G200" s="42">
        <f>P!AJ201</f>
        <v>1</v>
      </c>
      <c r="H200" s="42">
        <f>G200*P!AK201</f>
        <v>120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120</v>
      </c>
      <c r="N200" s="44">
        <f t="shared" si="35"/>
        <v>120</v>
      </c>
      <c r="O200" s="44">
        <f t="shared" si="36"/>
        <v>120</v>
      </c>
      <c r="P200" s="45" t="b">
        <f t="shared" si="37"/>
        <v>1</v>
      </c>
      <c r="Q200" s="183" t="str">
        <f t="shared" si="38"/>
        <v>OK</v>
      </c>
      <c r="S200" s="410">
        <f t="shared" si="39"/>
        <v>120</v>
      </c>
      <c r="T200" s="410">
        <f t="shared" si="40"/>
        <v>0</v>
      </c>
      <c r="AJ200" s="58">
        <f t="shared" si="41"/>
        <v>120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60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60</v>
      </c>
      <c r="T203" s="410">
        <f t="shared" si="40"/>
        <v>0</v>
      </c>
      <c r="AJ203" s="58">
        <f t="shared" si="41"/>
        <v>60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22</v>
      </c>
      <c r="F204" s="42">
        <f t="shared" si="33"/>
        <v>970</v>
      </c>
      <c r="G204" s="42">
        <f>P!AJ205</f>
        <v>22</v>
      </c>
      <c r="H204" s="42">
        <f>G204*P!AK205</f>
        <v>970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44.090909090909093</v>
      </c>
      <c r="N204" s="44">
        <f t="shared" si="35"/>
        <v>970</v>
      </c>
      <c r="O204" s="44">
        <f t="shared" si="36"/>
        <v>970</v>
      </c>
      <c r="P204" s="45" t="b">
        <f t="shared" si="37"/>
        <v>1</v>
      </c>
      <c r="Q204" s="183" t="str">
        <f t="shared" si="38"/>
        <v>OK</v>
      </c>
      <c r="S204" s="410">
        <f t="shared" si="39"/>
        <v>44.090909090909093</v>
      </c>
      <c r="T204" s="410">
        <f t="shared" si="40"/>
        <v>0</v>
      </c>
      <c r="AJ204" s="58">
        <f t="shared" si="41"/>
        <v>44.090909090909093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8</v>
      </c>
      <c r="F205" s="42">
        <f t="shared" si="33"/>
        <v>340</v>
      </c>
      <c r="G205" s="42">
        <f>P!AJ206</f>
        <v>8</v>
      </c>
      <c r="H205" s="42">
        <f>G205*P!AK206</f>
        <v>340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42.5</v>
      </c>
      <c r="N205" s="44">
        <f t="shared" si="35"/>
        <v>340</v>
      </c>
      <c r="O205" s="44">
        <f t="shared" si="36"/>
        <v>340</v>
      </c>
      <c r="P205" s="45" t="b">
        <f t="shared" si="37"/>
        <v>1</v>
      </c>
      <c r="Q205" s="183" t="str">
        <f t="shared" si="38"/>
        <v>OK</v>
      </c>
      <c r="S205" s="410">
        <f t="shared" si="39"/>
        <v>42.5</v>
      </c>
      <c r="T205" s="410">
        <f t="shared" si="40"/>
        <v>0</v>
      </c>
      <c r="AJ205" s="58">
        <f t="shared" si="41"/>
        <v>42.5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2</v>
      </c>
      <c r="F206" s="42">
        <f t="shared" si="33"/>
        <v>100</v>
      </c>
      <c r="G206" s="42">
        <f>P!AJ207</f>
        <v>2</v>
      </c>
      <c r="H206" s="42">
        <f>G206*P!AK207</f>
        <v>100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50</v>
      </c>
      <c r="N206" s="44">
        <f t="shared" si="35"/>
        <v>100</v>
      </c>
      <c r="O206" s="44">
        <f t="shared" si="36"/>
        <v>100</v>
      </c>
      <c r="P206" s="45" t="b">
        <f t="shared" si="37"/>
        <v>1</v>
      </c>
      <c r="Q206" s="183" t="str">
        <f t="shared" si="38"/>
        <v>OK</v>
      </c>
      <c r="S206" s="410">
        <f t="shared" si="39"/>
        <v>50</v>
      </c>
      <c r="T206" s="410">
        <f t="shared" si="40"/>
        <v>0</v>
      </c>
      <c r="AJ206" s="58">
        <f t="shared" si="41"/>
        <v>50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49</v>
      </c>
      <c r="F207" s="42">
        <f t="shared" si="33"/>
        <v>2075</v>
      </c>
      <c r="G207" s="42">
        <f>P!AJ208</f>
        <v>49</v>
      </c>
      <c r="H207" s="42">
        <f>G207*P!AK208</f>
        <v>2075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42.346938775510203</v>
      </c>
      <c r="N207" s="44">
        <f t="shared" si="35"/>
        <v>2075</v>
      </c>
      <c r="O207" s="44">
        <f t="shared" si="36"/>
        <v>2075</v>
      </c>
      <c r="P207" s="45" t="b">
        <f t="shared" si="37"/>
        <v>1</v>
      </c>
      <c r="Q207" s="183" t="str">
        <f t="shared" si="38"/>
        <v>OK</v>
      </c>
      <c r="S207" s="410">
        <f t="shared" si="39"/>
        <v>42.346938775510203</v>
      </c>
      <c r="T207" s="410">
        <f t="shared" si="40"/>
        <v>0</v>
      </c>
      <c r="AJ207" s="58">
        <f t="shared" si="41"/>
        <v>42.346938775510203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15</v>
      </c>
      <c r="F208" s="42">
        <f t="shared" si="33"/>
        <v>525</v>
      </c>
      <c r="G208" s="42">
        <f>P!AJ209</f>
        <v>15</v>
      </c>
      <c r="H208" s="42">
        <f>G208*P!AK209</f>
        <v>525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35</v>
      </c>
      <c r="N208" s="44">
        <f t="shared" si="35"/>
        <v>525</v>
      </c>
      <c r="O208" s="44">
        <f t="shared" si="36"/>
        <v>525</v>
      </c>
      <c r="P208" s="45" t="b">
        <f t="shared" si="37"/>
        <v>1</v>
      </c>
      <c r="Q208" s="183" t="str">
        <f t="shared" si="38"/>
        <v>OK</v>
      </c>
      <c r="S208" s="410">
        <f t="shared" si="39"/>
        <v>35</v>
      </c>
      <c r="T208" s="410">
        <f t="shared" si="40"/>
        <v>0</v>
      </c>
      <c r="AJ208" s="58">
        <f t="shared" si="41"/>
        <v>35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8</v>
      </c>
      <c r="F210" s="42">
        <f t="shared" si="33"/>
        <v>295</v>
      </c>
      <c r="G210" s="42">
        <f>P!AJ211</f>
        <v>8</v>
      </c>
      <c r="H210" s="42">
        <f>G210*P!AK211</f>
        <v>295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36.875</v>
      </c>
      <c r="N210" s="44">
        <f t="shared" si="35"/>
        <v>295</v>
      </c>
      <c r="O210" s="44">
        <f t="shared" si="36"/>
        <v>295</v>
      </c>
      <c r="P210" s="45" t="b">
        <f t="shared" si="37"/>
        <v>1</v>
      </c>
      <c r="Q210" s="183" t="str">
        <f t="shared" si="38"/>
        <v>OK</v>
      </c>
      <c r="S210" s="410">
        <f t="shared" si="39"/>
        <v>36.875</v>
      </c>
      <c r="T210" s="410">
        <f t="shared" si="40"/>
        <v>0</v>
      </c>
      <c r="AJ210" s="58">
        <f t="shared" si="41"/>
        <v>36.875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46</v>
      </c>
      <c r="F215" s="42">
        <f t="shared" si="33"/>
        <v>3840</v>
      </c>
      <c r="G215" s="42">
        <f>P!AJ216</f>
        <v>46</v>
      </c>
      <c r="H215" s="42">
        <f>G215*P!AK216</f>
        <v>3840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83.478260869565219</v>
      </c>
      <c r="N215" s="44">
        <f t="shared" si="35"/>
        <v>3840</v>
      </c>
      <c r="O215" s="44">
        <f t="shared" si="36"/>
        <v>3840</v>
      </c>
      <c r="P215" s="45" t="b">
        <f t="shared" si="37"/>
        <v>1</v>
      </c>
      <c r="Q215" s="183" t="str">
        <f t="shared" si="38"/>
        <v>OK</v>
      </c>
      <c r="S215" s="410">
        <f t="shared" si="39"/>
        <v>83.478260869565219</v>
      </c>
      <c r="T215" s="410">
        <f t="shared" si="40"/>
        <v>0</v>
      </c>
      <c r="AJ215" s="58">
        <f t="shared" si="41"/>
        <v>83.478260869565219</v>
      </c>
      <c r="AK215" s="58">
        <f t="shared" si="42"/>
        <v>0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4</v>
      </c>
      <c r="F229" s="42">
        <f t="shared" si="33"/>
        <v>1980</v>
      </c>
      <c r="G229" s="42">
        <f>P!AJ230</f>
        <v>4</v>
      </c>
      <c r="H229" s="42">
        <f>G229*P!AK230</f>
        <v>1980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1980</v>
      </c>
      <c r="O229" s="44">
        <f t="shared" si="36"/>
        <v>1980</v>
      </c>
      <c r="P229" s="45" t="b">
        <f t="shared" si="37"/>
        <v>1</v>
      </c>
      <c r="Q229" s="183" t="str">
        <f t="shared" si="38"/>
        <v>OK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23.099999999999998</v>
      </c>
      <c r="F230" s="42">
        <f t="shared" si="33"/>
        <v>15888</v>
      </c>
      <c r="G230" s="42">
        <f>P!AJ231</f>
        <v>23.099999999999998</v>
      </c>
      <c r="H230" s="42">
        <f>G230*P!AK231</f>
        <v>15888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687.79220779220782</v>
      </c>
      <c r="N230" s="44">
        <f t="shared" si="35"/>
        <v>15888</v>
      </c>
      <c r="O230" s="44">
        <f t="shared" si="36"/>
        <v>15888</v>
      </c>
      <c r="P230" s="45" t="b">
        <f t="shared" si="37"/>
        <v>1</v>
      </c>
      <c r="Q230" s="183" t="str">
        <f t="shared" si="38"/>
        <v>OK</v>
      </c>
      <c r="S230" s="410">
        <f t="shared" si="39"/>
        <v>687.79220779220782</v>
      </c>
      <c r="T230" s="410">
        <f t="shared" si="40"/>
        <v>0</v>
      </c>
      <c r="AJ230" s="58">
        <f t="shared" si="41"/>
        <v>687.79220779220782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29</v>
      </c>
      <c r="F231" s="42">
        <f t="shared" si="33"/>
        <v>26059.788456932132</v>
      </c>
      <c r="G231" s="42">
        <f>P!AJ232</f>
        <v>24</v>
      </c>
      <c r="H231" s="42">
        <f>G231*P!AK232</f>
        <v>22800</v>
      </c>
      <c r="I231" s="42">
        <f>S!E230</f>
        <v>32.024999999999991</v>
      </c>
      <c r="J231" s="42">
        <f>I231*S!D230</f>
        <v>27544.815458607667</v>
      </c>
      <c r="K231" s="42">
        <f t="shared" si="34"/>
        <v>27.024999999999991</v>
      </c>
      <c r="L231" s="42">
        <f t="shared" si="43"/>
        <v>24285.027001675538</v>
      </c>
      <c r="M231" s="43">
        <f>IF(ISERR((J231+H231)/(G231+I231)),P!AK232,(J231+H231)/(G231+I231))</f>
        <v>898.61339506662523</v>
      </c>
      <c r="N231" s="44">
        <f t="shared" si="35"/>
        <v>50344.815458607671</v>
      </c>
      <c r="O231" s="44">
        <f t="shared" si="36"/>
        <v>50344.815458607671</v>
      </c>
      <c r="P231" s="45" t="b">
        <f t="shared" si="37"/>
        <v>1</v>
      </c>
      <c r="Q231" s="183" t="str">
        <f t="shared" si="38"/>
        <v>OK</v>
      </c>
      <c r="S231" s="410">
        <f t="shared" si="39"/>
        <v>898.61339506662523</v>
      </c>
      <c r="T231" s="410">
        <f t="shared" si="40"/>
        <v>27.024999999999991</v>
      </c>
      <c r="AJ231" s="58">
        <f t="shared" si="41"/>
        <v>898.61339506662523</v>
      </c>
      <c r="AK231" s="58">
        <f t="shared" si="42"/>
        <v>27.024999999999991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1683</v>
      </c>
      <c r="F232" s="42">
        <f t="shared" si="33"/>
        <v>2356.2000343245936</v>
      </c>
      <c r="G232" s="42">
        <f>P!AJ233</f>
        <v>3000</v>
      </c>
      <c r="H232" s="42">
        <f>G232*P!AK233</f>
        <v>4200</v>
      </c>
      <c r="I232" s="42">
        <f>S!E231</f>
        <v>1476</v>
      </c>
      <c r="J232" s="42">
        <f>I232*S!D231</f>
        <v>2066.4000912875117</v>
      </c>
      <c r="K232" s="42">
        <f t="shared" si="34"/>
        <v>2793</v>
      </c>
      <c r="L232" s="42">
        <f t="shared" si="43"/>
        <v>3910.2000569629176</v>
      </c>
      <c r="M232" s="43">
        <f>IF(ISERR((J232+H232)/(G232+I232)),P!AK233,(J232+H232)/(G232+I232))</f>
        <v>1.4000000203948864</v>
      </c>
      <c r="N232" s="44">
        <f t="shared" si="35"/>
        <v>6266.4000912875117</v>
      </c>
      <c r="O232" s="44">
        <f t="shared" si="36"/>
        <v>6266.4000912875108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1.4000000203948864</v>
      </c>
      <c r="T232" s="410">
        <f t="shared" si="40"/>
        <v>2793</v>
      </c>
      <c r="AJ232" s="58">
        <f t="shared" si="41"/>
        <v>1.4000000203948864</v>
      </c>
      <c r="AK232" s="58">
        <f t="shared" si="42"/>
        <v>2793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607</v>
      </c>
      <c r="F233" s="42">
        <f t="shared" si="33"/>
        <v>16377.749243882074</v>
      </c>
      <c r="G233" s="42">
        <f>P!AJ234</f>
        <v>594</v>
      </c>
      <c r="H233" s="42">
        <f>G233*P!AK234</f>
        <v>14850</v>
      </c>
      <c r="I233" s="42">
        <f>S!E232</f>
        <v>29.800000000000011</v>
      </c>
      <c r="J233" s="42">
        <f>I233*S!D232</f>
        <v>1981.0378555743582</v>
      </c>
      <c r="K233" s="42">
        <f t="shared" si="34"/>
        <v>16.799999999999955</v>
      </c>
      <c r="L233" s="42">
        <f t="shared" si="43"/>
        <v>453.28861169228679</v>
      </c>
      <c r="M233" s="43">
        <f>IF(ISERR((J233+H233)/(G233+I233)),P!AK234,(J233+H233)/(G233+I233))</f>
        <v>26.981464981683811</v>
      </c>
      <c r="N233" s="44">
        <f t="shared" si="35"/>
        <v>16831.037855574359</v>
      </c>
      <c r="O233" s="44">
        <f t="shared" si="36"/>
        <v>16831.037855574359</v>
      </c>
      <c r="P233" s="45" t="b">
        <f t="shared" si="37"/>
        <v>1</v>
      </c>
      <c r="Q233" s="183" t="str">
        <f t="shared" si="38"/>
        <v>OK</v>
      </c>
      <c r="S233" s="410">
        <f t="shared" si="39"/>
        <v>26.981464981683811</v>
      </c>
      <c r="T233" s="410">
        <f t="shared" si="40"/>
        <v>16.799999999999955</v>
      </c>
      <c r="AJ233" s="58">
        <f t="shared" si="41"/>
        <v>26.981464981683811</v>
      </c>
      <c r="AK233" s="58">
        <f t="shared" si="42"/>
        <v>16.799999999999955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3.6</v>
      </c>
      <c r="F234" s="42">
        <f t="shared" si="33"/>
        <v>1800</v>
      </c>
      <c r="G234" s="42">
        <f>P!AJ235</f>
        <v>3.6</v>
      </c>
      <c r="H234" s="42">
        <f>G234*P!AK235</f>
        <v>1800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1800</v>
      </c>
      <c r="O234" s="44">
        <f t="shared" si="36"/>
        <v>1800</v>
      </c>
      <c r="P234" s="45" t="b">
        <f t="shared" si="37"/>
        <v>1</v>
      </c>
      <c r="Q234" s="183" t="str">
        <f t="shared" si="38"/>
        <v>OK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280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280</v>
      </c>
      <c r="T243" s="410">
        <f t="shared" si="40"/>
        <v>0</v>
      </c>
      <c r="AJ243" s="58">
        <f t="shared" si="41"/>
        <v>280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1025</v>
      </c>
      <c r="F244" s="42">
        <f t="shared" si="33"/>
        <v>8910</v>
      </c>
      <c r="G244" s="42">
        <f>P!AJ245</f>
        <v>1025</v>
      </c>
      <c r="H244" s="42">
        <f>G244*P!AK245</f>
        <v>8910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8.6926829268292689</v>
      </c>
      <c r="N244" s="44">
        <f t="shared" si="35"/>
        <v>8910</v>
      </c>
      <c r="O244" s="44">
        <f t="shared" si="36"/>
        <v>8910</v>
      </c>
      <c r="P244" s="45" t="b">
        <f t="shared" si="37"/>
        <v>1</v>
      </c>
      <c r="Q244" s="183" t="str">
        <f t="shared" si="38"/>
        <v>OK</v>
      </c>
      <c r="S244" s="410">
        <f t="shared" si="39"/>
        <v>8.6926829268292689</v>
      </c>
      <c r="T244" s="410">
        <f t="shared" si="40"/>
        <v>0</v>
      </c>
      <c r="AJ244" s="58">
        <f t="shared" si="41"/>
        <v>8.6926829268292689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28.5</v>
      </c>
      <c r="F246" s="42">
        <f t="shared" si="33"/>
        <v>9974.9999492158713</v>
      </c>
      <c r="G246" s="42">
        <f>P!AJ247</f>
        <v>30</v>
      </c>
      <c r="H246" s="42">
        <f>G246*P!AK247</f>
        <v>10500</v>
      </c>
      <c r="I246" s="42">
        <f>S!E245</f>
        <v>15</v>
      </c>
      <c r="J246" s="42">
        <f>I246*S!D245</f>
        <v>5249.9999198145342</v>
      </c>
      <c r="K246" s="42">
        <f t="shared" si="34"/>
        <v>16.5</v>
      </c>
      <c r="L246" s="42">
        <f t="shared" si="43"/>
        <v>5774.9999705986629</v>
      </c>
      <c r="M246" s="43">
        <f>IF(ISERR((J246+H246)/(G246+I246)),P!AK247,(J246+H246)/(G246+I246))</f>
        <v>349.99999821810076</v>
      </c>
      <c r="N246" s="44">
        <f t="shared" si="35"/>
        <v>15749.999919814534</v>
      </c>
      <c r="O246" s="44">
        <f t="shared" si="36"/>
        <v>15749.999919814534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349.99999821810076</v>
      </c>
      <c r="T246" s="410">
        <f t="shared" si="40"/>
        <v>16.5</v>
      </c>
      <c r="AJ246" s="58">
        <f t="shared" si="41"/>
        <v>349.99999821810076</v>
      </c>
      <c r="AK246" s="58">
        <f t="shared" si="42"/>
        <v>16.5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4240</v>
      </c>
      <c r="F247" s="42">
        <f t="shared" si="33"/>
        <v>10000</v>
      </c>
      <c r="G247" s="42">
        <f>P!AJ248</f>
        <v>4240</v>
      </c>
      <c r="H247" s="42">
        <f>G247*P!AK248</f>
        <v>10000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10000</v>
      </c>
      <c r="O247" s="44">
        <f t="shared" si="36"/>
        <v>10000</v>
      </c>
      <c r="P247" s="45" t="b">
        <f t="shared" si="37"/>
        <v>1</v>
      </c>
      <c r="Q247" s="183" t="str">
        <f t="shared" si="38"/>
        <v>OK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31040</v>
      </c>
      <c r="F248" s="197">
        <f t="shared" si="33"/>
        <v>31040</v>
      </c>
      <c r="G248" s="197">
        <f>P!AJ249</f>
        <v>31040</v>
      </c>
      <c r="H248" s="197">
        <f>G248*P!AK249</f>
        <v>31040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31040</v>
      </c>
      <c r="O248" s="274">
        <f t="shared" si="36"/>
        <v>31040</v>
      </c>
      <c r="P248" s="275" t="b">
        <f t="shared" si="37"/>
        <v>1</v>
      </c>
      <c r="Q248" s="199" t="str">
        <f t="shared" si="38"/>
        <v>OK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240</v>
      </c>
      <c r="F249" s="42">
        <f t="shared" si="33"/>
        <v>240</v>
      </c>
      <c r="G249" s="42">
        <f>P!AJ250</f>
        <v>240</v>
      </c>
      <c r="H249" s="42">
        <f>G249*P!AK250</f>
        <v>240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240</v>
      </c>
      <c r="O249" s="44">
        <f t="shared" si="36"/>
        <v>240</v>
      </c>
      <c r="P249" s="45" t="b">
        <f t="shared" si="37"/>
        <v>1</v>
      </c>
      <c r="Q249" s="183" t="str">
        <f t="shared" si="38"/>
        <v>OK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920</v>
      </c>
      <c r="F251" s="42">
        <f t="shared" si="33"/>
        <v>920</v>
      </c>
      <c r="G251" s="42">
        <f>P!AJ252</f>
        <v>920</v>
      </c>
      <c r="H251" s="42">
        <f>G251*P!AK252</f>
        <v>920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920</v>
      </c>
      <c r="O251" s="44">
        <f t="shared" si="36"/>
        <v>920</v>
      </c>
      <c r="P251" s="45" t="b">
        <f t="shared" si="37"/>
        <v>1</v>
      </c>
      <c r="Q251" s="183" t="str">
        <f t="shared" si="38"/>
        <v>OK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4370</v>
      </c>
      <c r="F252" s="42">
        <f t="shared" si="33"/>
        <v>4370</v>
      </c>
      <c r="G252" s="42">
        <f>P!AJ253</f>
        <v>4370</v>
      </c>
      <c r="H252" s="42">
        <f>G252*P!AK253</f>
        <v>4370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4370</v>
      </c>
      <c r="O252" s="44">
        <f t="shared" si="36"/>
        <v>4370</v>
      </c>
      <c r="P252" s="45" t="b">
        <f t="shared" si="37"/>
        <v>1</v>
      </c>
      <c r="Q252" s="183" t="str">
        <f t="shared" si="38"/>
        <v>OK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34200</v>
      </c>
      <c r="F253" s="42">
        <f t="shared" si="33"/>
        <v>34200</v>
      </c>
      <c r="G253" s="42">
        <f>P!AJ254</f>
        <v>34200</v>
      </c>
      <c r="H253" s="42">
        <f>G253*P!AK254</f>
        <v>34200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34200</v>
      </c>
      <c r="O253" s="44">
        <f t="shared" si="36"/>
        <v>34200</v>
      </c>
      <c r="P253" s="45" t="b">
        <f t="shared" si="37"/>
        <v>1</v>
      </c>
      <c r="Q253" s="183" t="str">
        <f t="shared" si="38"/>
        <v>OK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548502.34672769078</v>
      </c>
      <c r="G254" s="124"/>
      <c r="H254" s="123">
        <f>SUM(H4:H253)</f>
        <v>539389</v>
      </c>
      <c r="I254" s="124"/>
      <c r="J254" s="123">
        <f>SUM(J4:J253)</f>
        <v>107605.94683501721</v>
      </c>
      <c r="K254" s="125"/>
      <c r="L254" s="123">
        <f>SUM(L4:L253)</f>
        <v>98492.600107326347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325</v>
      </c>
      <c r="G255" s="24"/>
      <c r="H255" s="38" t="s">
        <v>326</v>
      </c>
      <c r="I255" s="24"/>
      <c r="J255" s="38" t="s">
        <v>327</v>
      </c>
      <c r="K255" s="24"/>
      <c r="L255" s="38" t="s">
        <v>328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7"/>
      <c r="D283" s="437"/>
      <c r="E283" s="437"/>
      <c r="F283" s="437"/>
    </row>
    <row r="284" spans="3:6" ht="20.25" customHeight="1">
      <c r="C284" s="51"/>
      <c r="D284" s="52"/>
      <c r="E284" s="434"/>
      <c r="F284" s="434"/>
    </row>
    <row r="285" spans="3:6" ht="20.25" customHeight="1">
      <c r="C285" s="53"/>
      <c r="D285" s="52"/>
      <c r="E285" s="434"/>
      <c r="F285" s="434"/>
    </row>
    <row r="286" spans="3:6" ht="20.25" customHeight="1">
      <c r="C286" s="53"/>
      <c r="D286" s="52"/>
      <c r="E286" s="434"/>
      <c r="F286" s="434"/>
    </row>
    <row r="287" spans="3:6" ht="20.25" customHeight="1">
      <c r="C287" s="53"/>
      <c r="D287" s="52"/>
      <c r="E287" s="434"/>
      <c r="F287" s="434"/>
    </row>
    <row r="288" spans="3:6" ht="20.25" customHeight="1">
      <c r="C288" s="53"/>
      <c r="D288" s="52"/>
      <c r="E288" s="434"/>
      <c r="F288" s="434"/>
    </row>
    <row r="289" spans="3:6" ht="20.25" customHeight="1">
      <c r="C289" s="53"/>
      <c r="D289" s="52"/>
      <c r="E289" s="434"/>
      <c r="F289" s="434"/>
    </row>
    <row r="290" spans="3:6" ht="20.25" customHeight="1">
      <c r="C290" s="53"/>
      <c r="D290" s="52"/>
      <c r="E290" s="438"/>
      <c r="F290" s="438"/>
    </row>
    <row r="291" spans="3:6" ht="20.25" customHeight="1">
      <c r="C291" s="53"/>
      <c r="D291" s="52"/>
      <c r="E291" s="434"/>
      <c r="F291" s="434"/>
    </row>
    <row r="292" spans="3:6" ht="20.25" customHeight="1">
      <c r="C292" s="53"/>
      <c r="D292" s="52"/>
      <c r="E292" s="434"/>
      <c r="F292" s="434"/>
    </row>
    <row r="294" spans="3:6" ht="20.25" customHeight="1">
      <c r="C294" s="53"/>
      <c r="D294" s="434"/>
      <c r="E294" s="434"/>
      <c r="F294" s="434"/>
    </row>
    <row r="295" spans="3:6" ht="20.25" customHeight="1">
      <c r="C295" s="53"/>
      <c r="D295" s="434"/>
      <c r="E295" s="434"/>
      <c r="F295" s="434"/>
    </row>
    <row r="296" spans="3:6" ht="20.25" customHeight="1">
      <c r="C296" s="53"/>
      <c r="D296" s="434"/>
      <c r="E296" s="434"/>
      <c r="F296" s="434"/>
    </row>
    <row r="297" spans="3:6" ht="20.25" customHeight="1">
      <c r="C297" s="54"/>
      <c r="D297" s="434"/>
      <c r="E297" s="434"/>
      <c r="F297" s="434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C253" sqref="C253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39" t="s">
        <v>567</v>
      </c>
      <c r="B1" s="439"/>
      <c r="C1" s="439"/>
      <c r="D1" s="439"/>
      <c r="E1" s="439"/>
      <c r="F1" s="185"/>
      <c r="I1" s="9" t="s">
        <v>299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332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150</v>
      </c>
      <c r="F5" s="183" t="str">
        <f t="shared" si="0"/>
        <v>OK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50</v>
      </c>
      <c r="F6" s="183" t="str">
        <f t="shared" si="0"/>
        <v>OK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25</v>
      </c>
      <c r="F8" s="183" t="str">
        <f t="shared" si="0"/>
        <v>OK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25</v>
      </c>
      <c r="F9" s="183" t="str">
        <f t="shared" si="0"/>
        <v>OK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115</v>
      </c>
      <c r="F13" s="183" t="str">
        <f t="shared" si="0"/>
        <v>OK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4</v>
      </c>
      <c r="F14" s="183" t="str">
        <f t="shared" si="0"/>
        <v>OK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0.2</v>
      </c>
      <c r="F17" s="183" t="str">
        <f t="shared" si="0"/>
        <v>OK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63</v>
      </c>
      <c r="F19" s="183" t="str">
        <f t="shared" si="0"/>
        <v>OK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10.5</v>
      </c>
      <c r="F20" s="183" t="str">
        <f t="shared" si="0"/>
        <v>OK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3</v>
      </c>
      <c r="F21" s="183" t="str">
        <f t="shared" si="0"/>
        <v>OK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2060</v>
      </c>
      <c r="F22" s="183" t="str">
        <f t="shared" si="0"/>
        <v>OK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2E-3</v>
      </c>
      <c r="F29" s="183" t="str">
        <f t="shared" si="0"/>
        <v>OK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32</v>
      </c>
      <c r="F34" s="183" t="str">
        <f t="shared" si="0"/>
        <v>OK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2</v>
      </c>
      <c r="F35" s="183" t="str">
        <f t="shared" si="0"/>
        <v>OK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1</v>
      </c>
      <c r="F36" s="183" t="str">
        <f t="shared" si="0"/>
        <v>OK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0.5</v>
      </c>
      <c r="F38" s="183" t="str">
        <f t="shared" si="0"/>
        <v>OK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18</v>
      </c>
      <c r="F39" s="183" t="str">
        <f t="shared" si="0"/>
        <v>OK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8</v>
      </c>
      <c r="F40" s="183" t="str">
        <f t="shared" si="0"/>
        <v>OK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1000</v>
      </c>
      <c r="F41" s="183" t="str">
        <f t="shared" si="0"/>
        <v>OK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1500</v>
      </c>
      <c r="F45" s="183" t="str">
        <f t="shared" si="0"/>
        <v>OK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4</v>
      </c>
      <c r="F50" s="183" t="str">
        <f t="shared" si="0"/>
        <v>OK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100</v>
      </c>
      <c r="F54" s="183" t="str">
        <f t="shared" si="0"/>
        <v>OK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100</v>
      </c>
      <c r="F55" s="183" t="str">
        <f t="shared" si="0"/>
        <v>OK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54</v>
      </c>
      <c r="F56" s="183" t="str">
        <f t="shared" si="0"/>
        <v>OK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15</v>
      </c>
      <c r="F60" s="183" t="str">
        <f t="shared" si="0"/>
        <v>OK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3</v>
      </c>
      <c r="F61" s="183" t="str">
        <f t="shared" si="0"/>
        <v>OK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3.5</v>
      </c>
      <c r="F62" s="183" t="str">
        <f t="shared" si="0"/>
        <v>OK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0.1</v>
      </c>
      <c r="F63" s="183" t="str">
        <f t="shared" si="0"/>
        <v>OK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0.9</v>
      </c>
      <c r="F65" s="183" t="str">
        <f t="shared" si="0"/>
        <v>OK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4</v>
      </c>
      <c r="F66" s="183" t="str">
        <f t="shared" si="0"/>
        <v>OK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4</v>
      </c>
      <c r="F67" s="183" t="str">
        <f t="shared" si="0"/>
        <v>OK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0.39999999999999997</v>
      </c>
      <c r="F68" s="183" t="str">
        <f t="shared" ref="F68:F131" si="1">IF(E68&lt;&gt;0,"OK","×")</f>
        <v>OK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0.8</v>
      </c>
      <c r="F69" s="183" t="str">
        <f t="shared" si="1"/>
        <v>OK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0.2</v>
      </c>
      <c r="F70" s="183" t="str">
        <f t="shared" si="1"/>
        <v>OK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17</v>
      </c>
      <c r="F71" s="183" t="str">
        <f t="shared" si="1"/>
        <v>OK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1.2</v>
      </c>
      <c r="F72" s="183" t="str">
        <f t="shared" si="1"/>
        <v>OK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1.2</v>
      </c>
      <c r="F73" s="183" t="str">
        <f t="shared" si="1"/>
        <v>OK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7.4</v>
      </c>
      <c r="F75" s="183" t="str">
        <f t="shared" si="1"/>
        <v>OK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7.5000000000000011E-2</v>
      </c>
      <c r="F77" s="183" t="str">
        <f t="shared" si="1"/>
        <v>OK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0.30000000000000004</v>
      </c>
      <c r="F78" s="183" t="str">
        <f t="shared" si="1"/>
        <v>OK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7</v>
      </c>
      <c r="F80" s="183" t="str">
        <f t="shared" si="1"/>
        <v>OK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0.2</v>
      </c>
      <c r="F86" s="183" t="str">
        <f t="shared" si="1"/>
        <v>OK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96</v>
      </c>
      <c r="F87" s="183" t="str">
        <f t="shared" si="1"/>
        <v>OK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40</v>
      </c>
      <c r="F88" s="183" t="str">
        <f t="shared" si="1"/>
        <v>OK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1347</v>
      </c>
      <c r="F89" s="183" t="str">
        <f t="shared" si="1"/>
        <v>OK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18</v>
      </c>
      <c r="F92" s="183" t="str">
        <f t="shared" si="1"/>
        <v>OK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20</v>
      </c>
      <c r="F95" s="183" t="str">
        <f t="shared" si="1"/>
        <v>OK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4</v>
      </c>
      <c r="F98" s="183" t="str">
        <f t="shared" si="1"/>
        <v>OK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1</v>
      </c>
      <c r="F100" s="183" t="str">
        <f t="shared" si="1"/>
        <v>OK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2</v>
      </c>
      <c r="F103" s="183" t="str">
        <f t="shared" si="1"/>
        <v>OK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14</v>
      </c>
      <c r="F104" s="183" t="str">
        <f t="shared" si="1"/>
        <v>OK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4</v>
      </c>
      <c r="F106" s="183" t="str">
        <f t="shared" si="1"/>
        <v>OK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1.6</v>
      </c>
      <c r="F107" s="183" t="str">
        <f t="shared" si="1"/>
        <v>OK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1</v>
      </c>
      <c r="F109" s="183" t="str">
        <f t="shared" si="1"/>
        <v>OK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3.3</v>
      </c>
      <c r="F112" s="183" t="str">
        <f t="shared" si="1"/>
        <v>OK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0.25</v>
      </c>
      <c r="F113" s="183" t="str">
        <f t="shared" si="1"/>
        <v>OK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432</v>
      </c>
      <c r="F116" s="183" t="str">
        <f t="shared" si="1"/>
        <v>OK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2.5</v>
      </c>
      <c r="F121" s="183" t="str">
        <f t="shared" si="1"/>
        <v>OK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1.038</v>
      </c>
      <c r="F123" s="183" t="str">
        <f t="shared" si="1"/>
        <v>OK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465</v>
      </c>
      <c r="F124" s="183" t="str">
        <f t="shared" si="1"/>
        <v>OK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32.400000000000006</v>
      </c>
      <c r="F126" s="183" t="str">
        <f t="shared" si="1"/>
        <v>OK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6.4</v>
      </c>
      <c r="F128" s="183" t="str">
        <f t="shared" si="1"/>
        <v>OK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4.4000000000000004</v>
      </c>
      <c r="F129" s="183" t="str">
        <f t="shared" si="1"/>
        <v>OK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29.2</v>
      </c>
      <c r="F130" s="183" t="str">
        <f t="shared" si="1"/>
        <v>OK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12</v>
      </c>
      <c r="F131" s="183" t="str">
        <f t="shared" si="1"/>
        <v>OK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13.1</v>
      </c>
      <c r="F133" s="183" t="str">
        <f t="shared" si="2"/>
        <v>OK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3.1739999999999999</v>
      </c>
      <c r="F136" s="183" t="str">
        <f t="shared" si="2"/>
        <v>OK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5.3</v>
      </c>
      <c r="F137" s="183" t="str">
        <f t="shared" si="2"/>
        <v>OK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44</v>
      </c>
      <c r="F141" s="183" t="str">
        <f t="shared" si="2"/>
        <v>OK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29</v>
      </c>
      <c r="F143" s="183" t="str">
        <f t="shared" si="2"/>
        <v>OK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3</v>
      </c>
      <c r="F146" s="183" t="str">
        <f t="shared" si="2"/>
        <v>OK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7</v>
      </c>
      <c r="F147" s="183" t="str">
        <f t="shared" si="2"/>
        <v>OK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223</v>
      </c>
      <c r="F150" s="183" t="str">
        <f t="shared" si="2"/>
        <v>OK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45.3</v>
      </c>
      <c r="F152" s="183" t="str">
        <f t="shared" si="2"/>
        <v>OK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14.9</v>
      </c>
      <c r="F153" s="183" t="str">
        <f t="shared" si="2"/>
        <v>OK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13.1</v>
      </c>
      <c r="F154" s="183" t="str">
        <f t="shared" si="2"/>
        <v>OK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6</v>
      </c>
      <c r="F160" s="183" t="str">
        <f t="shared" si="2"/>
        <v>OK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3</v>
      </c>
      <c r="F161" s="183" t="str">
        <f t="shared" si="2"/>
        <v>OK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6</v>
      </c>
      <c r="F168" s="183" t="str">
        <f t="shared" si="2"/>
        <v>OK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5</v>
      </c>
      <c r="F169" s="183" t="str">
        <f t="shared" si="2"/>
        <v>OK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20.100000000000001</v>
      </c>
      <c r="F170" s="183" t="str">
        <f t="shared" si="2"/>
        <v>OK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13.5</v>
      </c>
      <c r="F173" s="183" t="str">
        <f t="shared" si="2"/>
        <v>OK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53</v>
      </c>
      <c r="F177" s="183" t="str">
        <f t="shared" si="2"/>
        <v>OK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65</v>
      </c>
      <c r="F178" s="183" t="str">
        <f t="shared" si="2"/>
        <v>OK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9</v>
      </c>
      <c r="F179" s="183" t="str">
        <f t="shared" si="2"/>
        <v>OK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6.5</v>
      </c>
      <c r="F180" s="183" t="str">
        <f t="shared" si="2"/>
        <v>OK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17.5</v>
      </c>
      <c r="F181" s="183" t="str">
        <f t="shared" si="2"/>
        <v>OK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231</v>
      </c>
      <c r="F182" s="183" t="str">
        <f t="shared" si="2"/>
        <v>OK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50</v>
      </c>
      <c r="F183" s="183" t="str">
        <f t="shared" si="2"/>
        <v>OK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13</v>
      </c>
      <c r="F184" s="183" t="str">
        <f t="shared" si="2"/>
        <v>OK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16</v>
      </c>
      <c r="F185" s="183" t="str">
        <f t="shared" si="2"/>
        <v>OK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20</v>
      </c>
      <c r="F186" s="183" t="str">
        <f t="shared" si="2"/>
        <v>OK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36</v>
      </c>
      <c r="F187" s="183" t="str">
        <f t="shared" si="2"/>
        <v>OK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145</v>
      </c>
      <c r="F188" s="183" t="str">
        <f t="shared" si="2"/>
        <v>OK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90</v>
      </c>
      <c r="F190" s="183" t="str">
        <f t="shared" si="2"/>
        <v>OK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31</v>
      </c>
      <c r="F191" s="183" t="str">
        <f t="shared" si="2"/>
        <v>OK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8</v>
      </c>
      <c r="F193" s="183" t="str">
        <f t="shared" si="2"/>
        <v>OK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64.400000000000006</v>
      </c>
      <c r="F194" s="183" t="str">
        <f t="shared" si="2"/>
        <v>OK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58</v>
      </c>
      <c r="F195" s="183" t="str">
        <f t="shared" si="2"/>
        <v>OK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13</v>
      </c>
      <c r="F197" s="183" t="str">
        <f t="shared" si="3"/>
        <v>OK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6.5</v>
      </c>
      <c r="F198" s="183" t="str">
        <f t="shared" si="3"/>
        <v>OK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1</v>
      </c>
      <c r="F199" s="183" t="str">
        <f t="shared" si="3"/>
        <v>OK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22</v>
      </c>
      <c r="F203" s="183" t="str">
        <f t="shared" si="3"/>
        <v>OK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8</v>
      </c>
      <c r="F204" s="183" t="str">
        <f t="shared" si="3"/>
        <v>OK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2</v>
      </c>
      <c r="F205" s="183" t="str">
        <f t="shared" si="3"/>
        <v>OK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49</v>
      </c>
      <c r="F206" s="183" t="str">
        <f t="shared" si="3"/>
        <v>OK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15</v>
      </c>
      <c r="F207" s="183" t="str">
        <f t="shared" si="3"/>
        <v>OK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8</v>
      </c>
      <c r="F209" s="183" t="str">
        <f t="shared" si="3"/>
        <v>OK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46</v>
      </c>
      <c r="F214" s="183" t="str">
        <f t="shared" si="3"/>
        <v>OK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4</v>
      </c>
      <c r="F228" s="183" t="str">
        <f t="shared" si="3"/>
        <v>OK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23.099999999999998</v>
      </c>
      <c r="F229" s="183" t="str">
        <f t="shared" si="3"/>
        <v>OK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24</v>
      </c>
      <c r="F230" s="183" t="str">
        <f t="shared" si="3"/>
        <v>OK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3000</v>
      </c>
      <c r="F231" s="183" t="str">
        <f t="shared" si="3"/>
        <v>OK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594</v>
      </c>
      <c r="F232" s="183" t="str">
        <f t="shared" si="3"/>
        <v>OK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3.6</v>
      </c>
      <c r="F233" s="183" t="str">
        <f t="shared" si="3"/>
        <v>OK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1025</v>
      </c>
      <c r="F243" s="183" t="str">
        <f t="shared" si="3"/>
        <v>OK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30</v>
      </c>
      <c r="F245" s="183" t="str">
        <f t="shared" si="3"/>
        <v>OK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4240</v>
      </c>
      <c r="F246" s="183" t="str">
        <f t="shared" si="3"/>
        <v>OK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31040</v>
      </c>
      <c r="F247" s="183" t="str">
        <f t="shared" si="3"/>
        <v>OK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240</v>
      </c>
      <c r="F248" s="183" t="str">
        <f t="shared" si="3"/>
        <v>OK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920</v>
      </c>
      <c r="F250" s="183" t="str">
        <f t="shared" si="3"/>
        <v>OK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4370</v>
      </c>
      <c r="F251" s="183" t="str">
        <f t="shared" si="3"/>
        <v>OK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34200</v>
      </c>
      <c r="F252" s="183" t="str">
        <f t="shared" si="3"/>
        <v>OK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B244" zoomScaleNormal="100" workbookViewId="0">
      <selection activeCell="C22" sqref="C22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4" t="s">
        <v>566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  <c r="O1" s="444"/>
      <c r="P1" s="444"/>
      <c r="Q1" s="444"/>
      <c r="R1" s="444"/>
      <c r="S1" s="444"/>
      <c r="T1" s="444"/>
      <c r="U1" s="444"/>
      <c r="V1" s="182"/>
      <c r="W1" s="59"/>
    </row>
    <row r="2" spans="1:25" ht="15" customHeight="1">
      <c r="A2" s="446" t="s">
        <v>0</v>
      </c>
      <c r="B2" s="447" t="s">
        <v>214</v>
      </c>
      <c r="C2" s="448" t="s">
        <v>1</v>
      </c>
      <c r="D2" s="448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301</v>
      </c>
      <c r="H2" s="26" t="s">
        <v>302</v>
      </c>
      <c r="I2" s="26" t="s">
        <v>303</v>
      </c>
      <c r="J2" s="26" t="s">
        <v>304</v>
      </c>
      <c r="K2" s="26" t="s">
        <v>305</v>
      </c>
      <c r="L2" s="26" t="s">
        <v>306</v>
      </c>
      <c r="M2" s="26" t="s">
        <v>355</v>
      </c>
      <c r="N2" s="26" t="s">
        <v>356</v>
      </c>
      <c r="O2" s="282" t="s">
        <v>357</v>
      </c>
      <c r="P2" s="320" t="s">
        <v>367</v>
      </c>
      <c r="Q2" s="320" t="s">
        <v>417</v>
      </c>
      <c r="R2" s="320" t="s">
        <v>418</v>
      </c>
      <c r="S2" s="345" t="s">
        <v>419</v>
      </c>
      <c r="T2" s="419" t="s">
        <v>420</v>
      </c>
      <c r="U2" s="446" t="s">
        <v>297</v>
      </c>
      <c r="V2" s="440" t="s">
        <v>332</v>
      </c>
      <c r="W2" s="24"/>
      <c r="Y2" s="181"/>
    </row>
    <row r="3" spans="1:25" ht="12" customHeight="1">
      <c r="A3" s="446"/>
      <c r="B3" s="447"/>
      <c r="C3" s="448"/>
      <c r="D3" s="448"/>
      <c r="E3" s="422">
        <f>P!D3</f>
        <v>45953</v>
      </c>
      <c r="F3" s="422">
        <f>P!F3</f>
        <v>45954</v>
      </c>
      <c r="G3" s="422">
        <f>P!H3</f>
        <v>45955</v>
      </c>
      <c r="H3" s="422">
        <f>P!J3</f>
        <v>45956</v>
      </c>
      <c r="I3" s="422">
        <f>P!L3</f>
        <v>45957</v>
      </c>
      <c r="J3" s="422">
        <f>P!N3</f>
        <v>45958</v>
      </c>
      <c r="K3" s="422">
        <f>P!P3</f>
        <v>45959</v>
      </c>
      <c r="L3" s="422">
        <f>P!R3</f>
        <v>45960</v>
      </c>
      <c r="M3" s="422">
        <f>P!T3</f>
        <v>45961</v>
      </c>
      <c r="N3" s="422">
        <f>P!V3</f>
        <v>45962</v>
      </c>
      <c r="O3" s="422">
        <f>P!X3</f>
        <v>45963</v>
      </c>
      <c r="P3" s="33">
        <f>P!Z3</f>
        <v>45964</v>
      </c>
      <c r="Q3" s="33">
        <f>P!AB3</f>
        <v>45965</v>
      </c>
      <c r="R3" s="33">
        <f>P!AD3</f>
        <v>45966</v>
      </c>
      <c r="S3" s="33">
        <f>P!AF3</f>
        <v>45967</v>
      </c>
      <c r="T3" s="420">
        <f>P!AH3</f>
        <v>45968</v>
      </c>
      <c r="U3" s="446"/>
      <c r="V3" s="441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50</v>
      </c>
      <c r="G6" s="31">
        <f>P!H7</f>
        <v>0</v>
      </c>
      <c r="H6" s="31">
        <f>P!J7</f>
        <v>0</v>
      </c>
      <c r="I6" s="31">
        <f>P!L7</f>
        <v>50</v>
      </c>
      <c r="J6" s="31">
        <f>P!N7</f>
        <v>0</v>
      </c>
      <c r="K6" s="31">
        <f>P!P7</f>
        <v>0</v>
      </c>
      <c r="L6" s="31">
        <f>P!R7</f>
        <v>50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15200</v>
      </c>
      <c r="V6" s="183" t="str">
        <f t="shared" si="0"/>
        <v>OK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50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6100</v>
      </c>
      <c r="V7" s="183" t="str">
        <f t="shared" si="0"/>
        <v>OK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25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3875</v>
      </c>
      <c r="V9" s="183" t="str">
        <f t="shared" si="0"/>
        <v>OK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25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4000</v>
      </c>
      <c r="V10" s="183" t="str">
        <f t="shared" si="0"/>
        <v>OK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5</v>
      </c>
      <c r="F14" s="31">
        <f>P!F15</f>
        <v>10</v>
      </c>
      <c r="G14" s="31">
        <f>P!H15</f>
        <v>30</v>
      </c>
      <c r="H14" s="31">
        <f>P!J15</f>
        <v>5</v>
      </c>
      <c r="I14" s="31">
        <f>P!L15</f>
        <v>15</v>
      </c>
      <c r="J14" s="31">
        <f>P!N15</f>
        <v>10</v>
      </c>
      <c r="K14" s="31">
        <f>P!P15</f>
        <v>10</v>
      </c>
      <c r="L14" s="31">
        <f>P!R15</f>
        <v>30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20630</v>
      </c>
      <c r="V14" s="183" t="str">
        <f t="shared" si="0"/>
        <v>OK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2</v>
      </c>
      <c r="H15" s="31">
        <f>P!J16</f>
        <v>0</v>
      </c>
      <c r="I15" s="31">
        <f>P!L16</f>
        <v>2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1280</v>
      </c>
      <c r="V15" s="183" t="str">
        <f t="shared" si="0"/>
        <v>OK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0.2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120</v>
      </c>
      <c r="V18" s="183" t="str">
        <f t="shared" si="0"/>
        <v>OK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63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3780</v>
      </c>
      <c r="V20" s="183" t="str">
        <f t="shared" si="0"/>
        <v>OK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0.5</v>
      </c>
      <c r="F21" s="31">
        <f>P!F22</f>
        <v>0.5</v>
      </c>
      <c r="G21" s="31">
        <f>P!H22</f>
        <v>3</v>
      </c>
      <c r="H21" s="31">
        <f>P!J22</f>
        <v>0.5</v>
      </c>
      <c r="I21" s="31">
        <f>P!L22</f>
        <v>0.5</v>
      </c>
      <c r="J21" s="31">
        <f>P!N22</f>
        <v>2</v>
      </c>
      <c r="K21" s="31">
        <f>P!P22</f>
        <v>0</v>
      </c>
      <c r="L21" s="31">
        <f>P!R22</f>
        <v>2.5</v>
      </c>
      <c r="M21" s="31">
        <f>P!T22</f>
        <v>1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9660</v>
      </c>
      <c r="V21" s="183" t="str">
        <f t="shared" si="0"/>
        <v>OK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3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650</v>
      </c>
      <c r="V22" s="183" t="str">
        <f t="shared" si="0"/>
        <v>OK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1060</v>
      </c>
      <c r="J23" s="31">
        <f>P!N24</f>
        <v>0</v>
      </c>
      <c r="K23" s="31">
        <f>P!P24</f>
        <v>0</v>
      </c>
      <c r="L23" s="31">
        <f>P!R24</f>
        <v>1000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5768</v>
      </c>
      <c r="V23" s="183" t="str">
        <f t="shared" si="0"/>
        <v>OK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1E-3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1E-3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600</v>
      </c>
      <c r="V30" s="183" t="str">
        <f t="shared" si="0"/>
        <v>OK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32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4320</v>
      </c>
      <c r="V35" s="183" t="str">
        <f t="shared" si="0"/>
        <v>OK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2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340</v>
      </c>
      <c r="V36" s="183" t="str">
        <f t="shared" si="0"/>
        <v>OK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0.5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0.5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475</v>
      </c>
      <c r="V37" s="183" t="str">
        <f t="shared" si="0"/>
        <v>OK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0.5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120</v>
      </c>
      <c r="V39" s="183" t="str">
        <f t="shared" si="0"/>
        <v>OK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1</v>
      </c>
      <c r="G40" s="31">
        <f>P!H41</f>
        <v>15</v>
      </c>
      <c r="H40" s="31">
        <f>P!J41</f>
        <v>0</v>
      </c>
      <c r="I40" s="31">
        <f>P!L41</f>
        <v>1</v>
      </c>
      <c r="J40" s="31">
        <f>P!N41</f>
        <v>0</v>
      </c>
      <c r="K40" s="31">
        <f>P!P41</f>
        <v>0</v>
      </c>
      <c r="L40" s="31">
        <f>P!R41</f>
        <v>1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1335</v>
      </c>
      <c r="V40" s="183" t="str">
        <f t="shared" si="0"/>
        <v>OK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2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6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1060</v>
      </c>
      <c r="V41" s="183" t="str">
        <f t="shared" si="0"/>
        <v>OK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1000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8000</v>
      </c>
      <c r="V42" s="183" t="str">
        <f t="shared" si="0"/>
        <v>OK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1500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15000</v>
      </c>
      <c r="V46" s="183" t="str">
        <f t="shared" si="0"/>
        <v>OK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2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2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240</v>
      </c>
      <c r="V51" s="183" t="str">
        <f t="shared" si="0"/>
        <v>OK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100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80</v>
      </c>
      <c r="V55" s="183" t="str">
        <f t="shared" si="0"/>
        <v>OK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100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25</v>
      </c>
      <c r="V56" s="183" t="str">
        <f t="shared" si="0"/>
        <v>OK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10</v>
      </c>
      <c r="H57" s="31">
        <f>P!J58</f>
        <v>6</v>
      </c>
      <c r="I57" s="31">
        <f>P!L58</f>
        <v>10</v>
      </c>
      <c r="J57" s="31">
        <f>P!N58</f>
        <v>0</v>
      </c>
      <c r="K57" s="31">
        <f>P!P58</f>
        <v>6</v>
      </c>
      <c r="L57" s="31">
        <f>P!R58</f>
        <v>12</v>
      </c>
      <c r="M57" s="31">
        <f>P!T58</f>
        <v>10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1080</v>
      </c>
      <c r="V57" s="183" t="str">
        <f t="shared" si="0"/>
        <v>OK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5</v>
      </c>
      <c r="G61" s="31">
        <f>P!H62</f>
        <v>0</v>
      </c>
      <c r="H61" s="31">
        <f>P!J62</f>
        <v>5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5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1650</v>
      </c>
      <c r="V61" s="183" t="str">
        <f t="shared" si="0"/>
        <v>OK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0.5</v>
      </c>
      <c r="H62" s="31">
        <f>P!J63</f>
        <v>0.5</v>
      </c>
      <c r="I62" s="31">
        <f>P!L63</f>
        <v>0</v>
      </c>
      <c r="J62" s="31">
        <f>P!N63</f>
        <v>0.5</v>
      </c>
      <c r="K62" s="31">
        <f>P!P63</f>
        <v>0.5</v>
      </c>
      <c r="L62" s="31">
        <f>P!R63</f>
        <v>0.5</v>
      </c>
      <c r="M62" s="31">
        <f>P!T63</f>
        <v>0.5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1920</v>
      </c>
      <c r="V62" s="183" t="str">
        <f t="shared" si="0"/>
        <v>OK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1</v>
      </c>
      <c r="H63" s="31">
        <f>P!J64</f>
        <v>0.5</v>
      </c>
      <c r="I63" s="31">
        <f>P!L64</f>
        <v>0</v>
      </c>
      <c r="J63" s="31">
        <f>P!N64</f>
        <v>0</v>
      </c>
      <c r="K63" s="31">
        <f>P!P64</f>
        <v>1</v>
      </c>
      <c r="L63" s="31">
        <f>P!R64</f>
        <v>1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2280</v>
      </c>
      <c r="V63" s="183" t="str">
        <f t="shared" si="0"/>
        <v>OK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0.1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40</v>
      </c>
      <c r="V64" s="183" t="str">
        <f t="shared" si="0"/>
        <v>OK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0.3</v>
      </c>
      <c r="H66" s="31">
        <f>P!J67</f>
        <v>0</v>
      </c>
      <c r="I66" s="31">
        <f>P!L67</f>
        <v>0</v>
      </c>
      <c r="J66" s="31">
        <f>P!N67</f>
        <v>0.5</v>
      </c>
      <c r="K66" s="31">
        <f>P!P67</f>
        <v>0</v>
      </c>
      <c r="L66" s="31">
        <f>P!R67</f>
        <v>0</v>
      </c>
      <c r="M66" s="31">
        <f>P!T67</f>
        <v>0.1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785</v>
      </c>
      <c r="V66" s="183" t="str">
        <f t="shared" si="0"/>
        <v>OK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2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2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72</v>
      </c>
      <c r="V67" s="183" t="str">
        <f t="shared" si="0"/>
        <v>OK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2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2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72</v>
      </c>
      <c r="V68" s="183" t="str">
        <f t="shared" si="0"/>
        <v>OK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0.1</v>
      </c>
      <c r="H69" s="31">
        <f>P!J70</f>
        <v>0</v>
      </c>
      <c r="I69" s="31">
        <f>P!L70</f>
        <v>0</v>
      </c>
      <c r="J69" s="31">
        <f>P!N70</f>
        <v>0.05</v>
      </c>
      <c r="K69" s="31">
        <f>P!P70</f>
        <v>0.1</v>
      </c>
      <c r="L69" s="31">
        <f>P!R70</f>
        <v>0.1</v>
      </c>
      <c r="M69" s="31">
        <f>P!T70</f>
        <v>0.05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2300</v>
      </c>
      <c r="V69" s="183" t="str">
        <f t="shared" ref="V69:V132" si="1">IF(U69&lt;&gt;0, "OK","×")</f>
        <v>OK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0.5</v>
      </c>
      <c r="J70" s="31">
        <f>P!N71</f>
        <v>0</v>
      </c>
      <c r="K70" s="31">
        <f>P!P71</f>
        <v>0</v>
      </c>
      <c r="L70" s="31">
        <f>P!R71</f>
        <v>0.3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480</v>
      </c>
      <c r="V70" s="183" t="str">
        <f t="shared" si="1"/>
        <v>OK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0.05</v>
      </c>
      <c r="G71" s="31">
        <f>P!H72</f>
        <v>0.05</v>
      </c>
      <c r="H71" s="31">
        <f>P!J72</f>
        <v>0</v>
      </c>
      <c r="I71" s="31">
        <f>P!L72</f>
        <v>0</v>
      </c>
      <c r="J71" s="31">
        <f>P!N72</f>
        <v>0.05</v>
      </c>
      <c r="K71" s="31">
        <f>P!P72</f>
        <v>0</v>
      </c>
      <c r="L71" s="31">
        <f>P!R72</f>
        <v>0.05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365</v>
      </c>
      <c r="V71" s="183" t="str">
        <f t="shared" si="1"/>
        <v>OK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3</v>
      </c>
      <c r="G72" s="31">
        <f>P!H73</f>
        <v>12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2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136</v>
      </c>
      <c r="V72" s="183" t="str">
        <f t="shared" si="1"/>
        <v>OK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0.7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0.5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1015</v>
      </c>
      <c r="V73" s="183" t="str">
        <f t="shared" si="1"/>
        <v>OK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0.7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0.5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816</v>
      </c>
      <c r="V74" s="183" t="str">
        <f t="shared" si="1"/>
        <v>OK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5.4</v>
      </c>
      <c r="G76" s="31">
        <f>P!H77</f>
        <v>2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11880</v>
      </c>
      <c r="V76" s="183" t="str">
        <f t="shared" si="1"/>
        <v>OK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2.5000000000000001E-2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0.05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270</v>
      </c>
      <c r="V78" s="183" t="str">
        <f t="shared" si="1"/>
        <v>OK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0.1</v>
      </c>
      <c r="H79" s="31">
        <f>P!J80</f>
        <v>0</v>
      </c>
      <c r="I79" s="31">
        <f>P!L80</f>
        <v>0</v>
      </c>
      <c r="J79" s="31">
        <f>P!N80</f>
        <v>0.1</v>
      </c>
      <c r="K79" s="31">
        <f>P!P80</f>
        <v>0</v>
      </c>
      <c r="L79" s="31">
        <f>P!R80</f>
        <v>0.1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180</v>
      </c>
      <c r="V79" s="183" t="str">
        <f t="shared" si="1"/>
        <v>OK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1</v>
      </c>
      <c r="F81" s="31">
        <f>P!F82</f>
        <v>0</v>
      </c>
      <c r="G81" s="31">
        <f>P!H82</f>
        <v>3</v>
      </c>
      <c r="H81" s="31">
        <f>P!J82</f>
        <v>0</v>
      </c>
      <c r="I81" s="31">
        <f>P!L82</f>
        <v>0</v>
      </c>
      <c r="J81" s="31">
        <f>P!N82</f>
        <v>1</v>
      </c>
      <c r="K81" s="31">
        <f>P!P82</f>
        <v>0</v>
      </c>
      <c r="L81" s="31">
        <f>P!R82</f>
        <v>2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1240</v>
      </c>
      <c r="V81" s="183" t="str">
        <f t="shared" si="1"/>
        <v>OK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0.2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360</v>
      </c>
      <c r="V87" s="183" t="str">
        <f t="shared" si="1"/>
        <v>OK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24</v>
      </c>
      <c r="G88" s="31">
        <f>P!H89</f>
        <v>0</v>
      </c>
      <c r="H88" s="31">
        <f>P!J89</f>
        <v>0</v>
      </c>
      <c r="I88" s="31">
        <f>P!L89</f>
        <v>24</v>
      </c>
      <c r="J88" s="31">
        <f>P!N89</f>
        <v>0</v>
      </c>
      <c r="K88" s="31">
        <f>P!P89</f>
        <v>0</v>
      </c>
      <c r="L88" s="31">
        <f>P!R89</f>
        <v>48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6432</v>
      </c>
      <c r="V88" s="183" t="str">
        <f t="shared" si="1"/>
        <v>OK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20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20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4100</v>
      </c>
      <c r="V89" s="183" t="str">
        <f t="shared" si="1"/>
        <v>OK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60</v>
      </c>
      <c r="G90" s="31">
        <f>P!H91</f>
        <v>180</v>
      </c>
      <c r="H90" s="31">
        <f>P!J91</f>
        <v>90</v>
      </c>
      <c r="I90" s="31">
        <f>P!L91</f>
        <v>60</v>
      </c>
      <c r="J90" s="31">
        <f>P!N91</f>
        <v>50</v>
      </c>
      <c r="K90" s="31">
        <f>P!P91</f>
        <v>60</v>
      </c>
      <c r="L90" s="31">
        <f>P!R91</f>
        <v>727</v>
      </c>
      <c r="M90" s="31">
        <f>P!T91</f>
        <v>120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15438</v>
      </c>
      <c r="V90" s="183" t="str">
        <f t="shared" si="1"/>
        <v>OK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2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16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3880</v>
      </c>
      <c r="V93" s="183" t="str">
        <f t="shared" si="1"/>
        <v>OK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1</v>
      </c>
      <c r="F96" s="31">
        <f>P!F97</f>
        <v>0</v>
      </c>
      <c r="G96" s="31">
        <f>P!H97</f>
        <v>2</v>
      </c>
      <c r="H96" s="31">
        <f>P!J97</f>
        <v>4</v>
      </c>
      <c r="I96" s="31">
        <f>P!L97</f>
        <v>4</v>
      </c>
      <c r="J96" s="31">
        <f>P!N97</f>
        <v>0</v>
      </c>
      <c r="K96" s="31">
        <f>P!P97</f>
        <v>5</v>
      </c>
      <c r="L96" s="31">
        <f>P!R97</f>
        <v>4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1700</v>
      </c>
      <c r="V96" s="183" t="str">
        <f t="shared" si="1"/>
        <v>OK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1</v>
      </c>
      <c r="F99" s="31">
        <f>P!F100</f>
        <v>0</v>
      </c>
      <c r="G99" s="31">
        <f>P!H100</f>
        <v>0</v>
      </c>
      <c r="H99" s="31">
        <f>P!J100</f>
        <v>1</v>
      </c>
      <c r="I99" s="31">
        <f>P!L100</f>
        <v>0</v>
      </c>
      <c r="J99" s="31">
        <f>P!N100</f>
        <v>1</v>
      </c>
      <c r="K99" s="31">
        <f>P!P100</f>
        <v>0</v>
      </c>
      <c r="L99" s="31">
        <f>P!R100</f>
        <v>1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710</v>
      </c>
      <c r="V99" s="183" t="str">
        <f t="shared" si="1"/>
        <v>OK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1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170</v>
      </c>
      <c r="V101" s="183" t="str">
        <f t="shared" si="1"/>
        <v>OK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2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360</v>
      </c>
      <c r="V104" s="183" t="str">
        <f t="shared" si="1"/>
        <v>OK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12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2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2240</v>
      </c>
      <c r="V105" s="183" t="str">
        <f t="shared" si="1"/>
        <v>OK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3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1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640</v>
      </c>
      <c r="V107" s="183" t="str">
        <f t="shared" si="1"/>
        <v>OK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1.6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1360</v>
      </c>
      <c r="V108" s="183" t="str">
        <f t="shared" si="1"/>
        <v>OK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1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270</v>
      </c>
      <c r="V110" s="183" t="str">
        <f t="shared" si="1"/>
        <v>OK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1</v>
      </c>
      <c r="G113" s="31">
        <f>P!H114</f>
        <v>0</v>
      </c>
      <c r="H113" s="31">
        <f>P!J114</f>
        <v>0.9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0.4</v>
      </c>
      <c r="M113" s="31">
        <f>P!T114</f>
        <v>1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7010</v>
      </c>
      <c r="V113" s="183" t="str">
        <f t="shared" si="1"/>
        <v>OK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0.25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970</v>
      </c>
      <c r="V114" s="183" t="str">
        <f t="shared" si="1"/>
        <v>OK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144</v>
      </c>
      <c r="H117" s="31">
        <f>P!J118</f>
        <v>0</v>
      </c>
      <c r="I117" s="31">
        <f>P!L118</f>
        <v>144</v>
      </c>
      <c r="J117" s="31">
        <f>P!N118</f>
        <v>0</v>
      </c>
      <c r="K117" s="31">
        <f>P!P118</f>
        <v>0</v>
      </c>
      <c r="L117" s="31">
        <f>P!R118</f>
        <v>144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3800</v>
      </c>
      <c r="V117" s="183" t="str">
        <f t="shared" si="1"/>
        <v>OK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2.5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275</v>
      </c>
      <c r="V122" s="183" t="str">
        <f t="shared" si="1"/>
        <v>OK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0.42299999999999999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0.61499999999999999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1195</v>
      </c>
      <c r="V124" s="183" t="str">
        <f t="shared" si="1"/>
        <v>OK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28</v>
      </c>
      <c r="F125" s="31">
        <f>P!F126</f>
        <v>46</v>
      </c>
      <c r="G125" s="31">
        <f>P!H126</f>
        <v>52</v>
      </c>
      <c r="H125" s="31">
        <f>P!J126</f>
        <v>40</v>
      </c>
      <c r="I125" s="31">
        <f>P!L126</f>
        <v>27</v>
      </c>
      <c r="J125" s="31">
        <f>P!N126</f>
        <v>62</v>
      </c>
      <c r="K125" s="31">
        <f>P!P126</f>
        <v>45</v>
      </c>
      <c r="L125" s="31">
        <f>P!R126</f>
        <v>85</v>
      </c>
      <c r="M125" s="31">
        <f>P!T126</f>
        <v>80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4462</v>
      </c>
      <c r="V125" s="183" t="str">
        <f t="shared" si="1"/>
        <v>OK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1.6</v>
      </c>
      <c r="I127" s="31">
        <f>P!L128</f>
        <v>10</v>
      </c>
      <c r="J127" s="31">
        <f>P!N128</f>
        <v>7.3</v>
      </c>
      <c r="K127" s="31">
        <f>P!P128</f>
        <v>0</v>
      </c>
      <c r="L127" s="31">
        <f>P!R128</f>
        <v>8</v>
      </c>
      <c r="M127" s="31">
        <f>P!T128</f>
        <v>5.5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2924</v>
      </c>
      <c r="V127" s="183" t="str">
        <f t="shared" si="1"/>
        <v>OK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2.5</v>
      </c>
      <c r="G129" s="31">
        <f>P!H130</f>
        <v>2.5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1.4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2624</v>
      </c>
      <c r="V129" s="183" t="str">
        <f t="shared" si="1"/>
        <v>OK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4.4000000000000004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1100</v>
      </c>
      <c r="V130" s="183" t="str">
        <f t="shared" si="1"/>
        <v>OK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4</v>
      </c>
      <c r="F131" s="31">
        <f>P!F132</f>
        <v>0</v>
      </c>
      <c r="G131" s="31">
        <f>P!H132</f>
        <v>4.2</v>
      </c>
      <c r="H131" s="31">
        <f>P!J132</f>
        <v>4</v>
      </c>
      <c r="I131" s="31">
        <f>P!L132</f>
        <v>0</v>
      </c>
      <c r="J131" s="31">
        <f>P!N132</f>
        <v>5</v>
      </c>
      <c r="K131" s="31">
        <f>P!P132</f>
        <v>2</v>
      </c>
      <c r="L131" s="31">
        <f>P!R132</f>
        <v>10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2960</v>
      </c>
      <c r="V131" s="183" t="str">
        <f t="shared" si="1"/>
        <v>OK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10</v>
      </c>
      <c r="H132" s="32">
        <f>P!J133</f>
        <v>2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1560</v>
      </c>
      <c r="V132" s="183" t="str">
        <f t="shared" si="1"/>
        <v>OK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10</v>
      </c>
      <c r="J134" s="31">
        <f>P!N135</f>
        <v>0</v>
      </c>
      <c r="K134" s="31">
        <f>P!P135</f>
        <v>3.1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2658</v>
      </c>
      <c r="V134" s="183" t="str">
        <f t="shared" si="2"/>
        <v>OK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3.1739999999999999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983</v>
      </c>
      <c r="V137" s="183" t="str">
        <f t="shared" si="2"/>
        <v>OK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5.3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583</v>
      </c>
      <c r="V138" s="183" t="str">
        <f t="shared" si="2"/>
        <v>OK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2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10</v>
      </c>
      <c r="L142" s="31">
        <f>P!R143</f>
        <v>32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880</v>
      </c>
      <c r="V142" s="183" t="str">
        <f t="shared" si="2"/>
        <v>OK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7</v>
      </c>
      <c r="G144" s="31">
        <f>P!H145</f>
        <v>18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4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31900</v>
      </c>
      <c r="V144" s="183" t="str">
        <f t="shared" si="2"/>
        <v>OK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3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3300</v>
      </c>
      <c r="V147" s="183" t="str">
        <f t="shared" si="2"/>
        <v>OK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7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5250</v>
      </c>
      <c r="V148" s="183" t="str">
        <f t="shared" si="2"/>
        <v>OK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14</v>
      </c>
      <c r="F151" s="31">
        <f>P!F152</f>
        <v>0</v>
      </c>
      <c r="G151" s="31">
        <f>P!H152</f>
        <v>45</v>
      </c>
      <c r="H151" s="31">
        <f>P!J152</f>
        <v>14</v>
      </c>
      <c r="I151" s="31">
        <f>P!L152</f>
        <v>0</v>
      </c>
      <c r="J151" s="31">
        <f>P!N152</f>
        <v>20</v>
      </c>
      <c r="K151" s="31">
        <f>P!P152</f>
        <v>24</v>
      </c>
      <c r="L151" s="31">
        <f>P!R152</f>
        <v>85</v>
      </c>
      <c r="M151" s="31">
        <f>P!T152</f>
        <v>21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50750</v>
      </c>
      <c r="V151" s="183" t="str">
        <f t="shared" si="2"/>
        <v>OK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1</v>
      </c>
      <c r="F153" s="31">
        <f>P!F154</f>
        <v>0</v>
      </c>
      <c r="G153" s="31">
        <f>P!H154</f>
        <v>5.5</v>
      </c>
      <c r="H153" s="31">
        <f>P!J154</f>
        <v>0</v>
      </c>
      <c r="I153" s="31">
        <f>P!L154</f>
        <v>14.3</v>
      </c>
      <c r="J153" s="31">
        <f>P!N154</f>
        <v>0</v>
      </c>
      <c r="K153" s="31">
        <f>P!P154</f>
        <v>1</v>
      </c>
      <c r="L153" s="31">
        <f>P!R154</f>
        <v>20</v>
      </c>
      <c r="M153" s="31">
        <f>P!T154</f>
        <v>3.5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9999</v>
      </c>
      <c r="V153" s="183" t="str">
        <f t="shared" si="2"/>
        <v>OK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5</v>
      </c>
      <c r="I154" s="31">
        <f>P!L155</f>
        <v>0</v>
      </c>
      <c r="J154" s="31">
        <f>P!N155</f>
        <v>5</v>
      </c>
      <c r="K154" s="31">
        <f>P!P155</f>
        <v>0</v>
      </c>
      <c r="L154" s="31">
        <f>P!R155</f>
        <v>4.9000000000000004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5415</v>
      </c>
      <c r="V154" s="183" t="str">
        <f t="shared" si="2"/>
        <v>OK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13.1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4585</v>
      </c>
      <c r="V155" s="183" t="str">
        <f t="shared" si="2"/>
        <v>OK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4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2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2180</v>
      </c>
      <c r="V161" s="183" t="str">
        <f t="shared" si="2"/>
        <v>OK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1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2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2010</v>
      </c>
      <c r="V162" s="183" t="str">
        <f t="shared" si="2"/>
        <v>OK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3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3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4200</v>
      </c>
      <c r="V169" s="183" t="str">
        <f t="shared" si="2"/>
        <v>OK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5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1850</v>
      </c>
      <c r="V170" s="183" t="str">
        <f t="shared" si="2"/>
        <v>OK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6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14.1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9243</v>
      </c>
      <c r="V171" s="183" t="str">
        <f t="shared" si="2"/>
        <v>OK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5.3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8.1999999999999993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8505</v>
      </c>
      <c r="V174" s="183" t="str">
        <f t="shared" si="2"/>
        <v>OK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2</v>
      </c>
      <c r="F178" s="31">
        <f>P!F179</f>
        <v>7</v>
      </c>
      <c r="G178" s="31">
        <f>P!H179</f>
        <v>15</v>
      </c>
      <c r="H178" s="31">
        <f>P!J179</f>
        <v>3</v>
      </c>
      <c r="I178" s="31">
        <f>P!L179</f>
        <v>2</v>
      </c>
      <c r="J178" s="31">
        <f>P!N179</f>
        <v>8</v>
      </c>
      <c r="K178" s="31">
        <f>P!P179</f>
        <v>5</v>
      </c>
      <c r="L178" s="31">
        <f>P!R179</f>
        <v>3</v>
      </c>
      <c r="M178" s="31">
        <f>P!T179</f>
        <v>8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1247</v>
      </c>
      <c r="V178" s="183" t="str">
        <f t="shared" si="2"/>
        <v>OK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5</v>
      </c>
      <c r="F179" s="31">
        <f>P!F180</f>
        <v>8</v>
      </c>
      <c r="G179" s="31">
        <f>P!H180</f>
        <v>20</v>
      </c>
      <c r="H179" s="31">
        <f>P!J180</f>
        <v>5</v>
      </c>
      <c r="I179" s="31">
        <f>P!L180</f>
        <v>0</v>
      </c>
      <c r="J179" s="31">
        <f>P!N180</f>
        <v>7</v>
      </c>
      <c r="K179" s="31">
        <f>P!P180</f>
        <v>0</v>
      </c>
      <c r="L179" s="31">
        <f>P!R180</f>
        <v>20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5200</v>
      </c>
      <c r="V179" s="183" t="str">
        <f t="shared" si="2"/>
        <v>OK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0.5</v>
      </c>
      <c r="F180" s="31">
        <f>P!F181</f>
        <v>1</v>
      </c>
      <c r="G180" s="31">
        <f>P!H181</f>
        <v>2</v>
      </c>
      <c r="H180" s="31">
        <f>P!J181</f>
        <v>0.5</v>
      </c>
      <c r="I180" s="31">
        <f>P!L181</f>
        <v>0.5</v>
      </c>
      <c r="J180" s="31">
        <f>P!N181</f>
        <v>0.5</v>
      </c>
      <c r="K180" s="31">
        <f>P!P181</f>
        <v>1</v>
      </c>
      <c r="L180" s="31">
        <f>P!R181</f>
        <v>3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1745</v>
      </c>
      <c r="V180" s="183" t="str">
        <f t="shared" si="2"/>
        <v>OK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0.5</v>
      </c>
      <c r="F181" s="31">
        <f>P!F182</f>
        <v>0.5</v>
      </c>
      <c r="G181" s="31">
        <f>P!H182</f>
        <v>1</v>
      </c>
      <c r="H181" s="31">
        <f>P!J182</f>
        <v>0.5</v>
      </c>
      <c r="I181" s="31">
        <f>P!L182</f>
        <v>0.5</v>
      </c>
      <c r="J181" s="31">
        <f>P!N182</f>
        <v>0.5</v>
      </c>
      <c r="K181" s="31">
        <f>P!P182</f>
        <v>0.5</v>
      </c>
      <c r="L181" s="31">
        <f>P!R182</f>
        <v>1.5</v>
      </c>
      <c r="M181" s="31">
        <f>P!T182</f>
        <v>1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1070</v>
      </c>
      <c r="V181" s="183" t="str">
        <f t="shared" si="2"/>
        <v>OK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1</v>
      </c>
      <c r="F182" s="31">
        <f>P!F183</f>
        <v>1</v>
      </c>
      <c r="G182" s="31">
        <f>P!H183</f>
        <v>3</v>
      </c>
      <c r="H182" s="31">
        <f>P!J183</f>
        <v>1</v>
      </c>
      <c r="I182" s="31">
        <f>P!L183</f>
        <v>1</v>
      </c>
      <c r="J182" s="31">
        <f>P!N183</f>
        <v>1.5</v>
      </c>
      <c r="K182" s="31">
        <f>P!P183</f>
        <v>2</v>
      </c>
      <c r="L182" s="31">
        <f>P!R183</f>
        <v>5</v>
      </c>
      <c r="M182" s="31">
        <f>P!T183</f>
        <v>2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2585</v>
      </c>
      <c r="V182" s="183" t="str">
        <f t="shared" si="2"/>
        <v>OK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15</v>
      </c>
      <c r="F183" s="31">
        <f>P!F184</f>
        <v>26</v>
      </c>
      <c r="G183" s="31">
        <f>P!H184</f>
        <v>35</v>
      </c>
      <c r="H183" s="31">
        <f>P!J184</f>
        <v>15</v>
      </c>
      <c r="I183" s="31">
        <f>P!L184</f>
        <v>15</v>
      </c>
      <c r="J183" s="31">
        <f>P!N184</f>
        <v>20</v>
      </c>
      <c r="K183" s="31">
        <f>P!P184</f>
        <v>40</v>
      </c>
      <c r="L183" s="31">
        <f>P!R184</f>
        <v>40</v>
      </c>
      <c r="M183" s="31">
        <f>P!T184</f>
        <v>25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1547</v>
      </c>
      <c r="V183" s="183" t="str">
        <f t="shared" si="2"/>
        <v>OK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3</v>
      </c>
      <c r="F184" s="31">
        <f>P!F185</f>
        <v>5</v>
      </c>
      <c r="G184" s="31">
        <f>P!H185</f>
        <v>8</v>
      </c>
      <c r="H184" s="31">
        <f>P!J185</f>
        <v>3</v>
      </c>
      <c r="I184" s="31">
        <f>P!L185</f>
        <v>3</v>
      </c>
      <c r="J184" s="31">
        <f>P!N185</f>
        <v>4</v>
      </c>
      <c r="K184" s="31">
        <f>P!P185</f>
        <v>4</v>
      </c>
      <c r="L184" s="31">
        <f>P!R185</f>
        <v>15</v>
      </c>
      <c r="M184" s="31">
        <f>P!T185</f>
        <v>5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2820</v>
      </c>
      <c r="V184" s="183" t="str">
        <f t="shared" si="2"/>
        <v>OK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1</v>
      </c>
      <c r="F185" s="31">
        <f>P!F186</f>
        <v>2</v>
      </c>
      <c r="G185" s="31">
        <f>P!H186</f>
        <v>3</v>
      </c>
      <c r="H185" s="31">
        <f>P!J186</f>
        <v>1</v>
      </c>
      <c r="I185" s="31">
        <f>P!L186</f>
        <v>1</v>
      </c>
      <c r="J185" s="31">
        <f>P!N186</f>
        <v>1</v>
      </c>
      <c r="K185" s="31">
        <f>P!P186</f>
        <v>1</v>
      </c>
      <c r="L185" s="31">
        <f>P!R186</f>
        <v>2</v>
      </c>
      <c r="M185" s="31">
        <f>P!T186</f>
        <v>1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1170</v>
      </c>
      <c r="V185" s="183" t="str">
        <f t="shared" si="2"/>
        <v>OK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5</v>
      </c>
      <c r="F186" s="31">
        <f>P!F187</f>
        <v>0</v>
      </c>
      <c r="G186" s="31">
        <f>P!H187</f>
        <v>3</v>
      </c>
      <c r="H186" s="31">
        <f>P!J187</f>
        <v>3</v>
      </c>
      <c r="I186" s="31">
        <f>P!L187</f>
        <v>0</v>
      </c>
      <c r="J186" s="31">
        <f>P!N187</f>
        <v>0</v>
      </c>
      <c r="K186" s="31">
        <f>P!P187</f>
        <v>5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870</v>
      </c>
      <c r="V186" s="183" t="str">
        <f t="shared" si="2"/>
        <v>OK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10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10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1150</v>
      </c>
      <c r="V187" s="183" t="str">
        <f t="shared" si="2"/>
        <v>OK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18</v>
      </c>
      <c r="I188" s="31">
        <f>P!L189</f>
        <v>0</v>
      </c>
      <c r="J188" s="31">
        <f>P!N189</f>
        <v>18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1350</v>
      </c>
      <c r="V188" s="183" t="str">
        <f t="shared" si="2"/>
        <v>OK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32</v>
      </c>
      <c r="H189" s="31">
        <f>P!J190</f>
        <v>0</v>
      </c>
      <c r="I189" s="31">
        <f>P!L190</f>
        <v>0</v>
      </c>
      <c r="J189" s="31">
        <f>P!N190</f>
        <v>1</v>
      </c>
      <c r="K189" s="31">
        <f>P!P190</f>
        <v>0</v>
      </c>
      <c r="L189" s="31">
        <f>P!R190</f>
        <v>112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889</v>
      </c>
      <c r="V189" s="183" t="str">
        <f t="shared" si="2"/>
        <v>OK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90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1080</v>
      </c>
      <c r="V191" s="183" t="str">
        <f t="shared" si="2"/>
        <v>OK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6</v>
      </c>
      <c r="J192" s="31">
        <f>P!N193</f>
        <v>0</v>
      </c>
      <c r="K192" s="31">
        <f>P!P193</f>
        <v>0</v>
      </c>
      <c r="L192" s="31">
        <f>P!R193</f>
        <v>25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730</v>
      </c>
      <c r="V192" s="183" t="str">
        <f t="shared" si="2"/>
        <v>OK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8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320</v>
      </c>
      <c r="V194" s="183" t="str">
        <f t="shared" si="2"/>
        <v>OK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14</v>
      </c>
      <c r="F195" s="31">
        <f>P!F196</f>
        <v>5</v>
      </c>
      <c r="G195" s="31">
        <f>P!H196</f>
        <v>10</v>
      </c>
      <c r="H195" s="31">
        <f>P!J196</f>
        <v>0</v>
      </c>
      <c r="I195" s="31">
        <f>P!L196</f>
        <v>15.1</v>
      </c>
      <c r="J195" s="31">
        <f>P!N196</f>
        <v>0</v>
      </c>
      <c r="K195" s="31">
        <f>P!P196</f>
        <v>0</v>
      </c>
      <c r="L195" s="31">
        <f>P!R196</f>
        <v>20.3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2253</v>
      </c>
      <c r="V195" s="183" t="str">
        <f t="shared" si="2"/>
        <v>OK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3</v>
      </c>
      <c r="F196" s="31">
        <f>P!F197</f>
        <v>10</v>
      </c>
      <c r="G196" s="31">
        <f>P!H197</f>
        <v>30</v>
      </c>
      <c r="H196" s="31">
        <f>P!J197</f>
        <v>1</v>
      </c>
      <c r="I196" s="31">
        <f>P!L197</f>
        <v>3</v>
      </c>
      <c r="J196" s="31">
        <f>P!N197</f>
        <v>0</v>
      </c>
      <c r="K196" s="31">
        <f>P!P197</f>
        <v>7</v>
      </c>
      <c r="L196" s="31">
        <f>P!R197</f>
        <v>4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1195</v>
      </c>
      <c r="V196" s="183" t="str">
        <f t="shared" si="2"/>
        <v>OK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1</v>
      </c>
      <c r="F198" s="31">
        <f>P!F199</f>
        <v>1</v>
      </c>
      <c r="G198" s="31">
        <f>P!H199</f>
        <v>3</v>
      </c>
      <c r="H198" s="31">
        <f>P!J199</f>
        <v>1</v>
      </c>
      <c r="I198" s="31">
        <f>P!L199</f>
        <v>2</v>
      </c>
      <c r="J198" s="31">
        <f>P!N199</f>
        <v>1</v>
      </c>
      <c r="K198" s="31">
        <f>P!P199</f>
        <v>1</v>
      </c>
      <c r="L198" s="31">
        <f>P!R199</f>
        <v>2</v>
      </c>
      <c r="M198" s="31">
        <f>P!T199</f>
        <v>1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1390</v>
      </c>
      <c r="V198" s="183" t="str">
        <f t="shared" si="3"/>
        <v>OK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0.5</v>
      </c>
      <c r="F199" s="31">
        <f>P!F200</f>
        <v>0.5</v>
      </c>
      <c r="G199" s="31">
        <f>P!H200</f>
        <v>2.5</v>
      </c>
      <c r="H199" s="31">
        <f>P!J200</f>
        <v>0.5</v>
      </c>
      <c r="I199" s="31">
        <f>P!L200</f>
        <v>0.5</v>
      </c>
      <c r="J199" s="31">
        <f>P!N200</f>
        <v>0.5</v>
      </c>
      <c r="K199" s="31">
        <f>P!P200</f>
        <v>0.5</v>
      </c>
      <c r="L199" s="31">
        <f>P!R200</f>
        <v>0.5</v>
      </c>
      <c r="M199" s="31">
        <f>P!T200</f>
        <v>0.5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745</v>
      </c>
      <c r="V199" s="183" t="str">
        <f t="shared" si="3"/>
        <v>OK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1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120</v>
      </c>
      <c r="V200" s="183" t="str">
        <f t="shared" si="3"/>
        <v>OK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5</v>
      </c>
      <c r="F204" s="31">
        <f>P!F205</f>
        <v>0</v>
      </c>
      <c r="G204" s="31">
        <f>P!H205</f>
        <v>0</v>
      </c>
      <c r="H204" s="31">
        <f>P!J205</f>
        <v>5</v>
      </c>
      <c r="I204" s="31">
        <f>P!L205</f>
        <v>0</v>
      </c>
      <c r="J204" s="31">
        <f>P!N205</f>
        <v>5</v>
      </c>
      <c r="K204" s="31">
        <f>P!P205</f>
        <v>0</v>
      </c>
      <c r="L204" s="31">
        <f>P!R205</f>
        <v>7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970</v>
      </c>
      <c r="V204" s="183" t="str">
        <f t="shared" si="3"/>
        <v>OK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4</v>
      </c>
      <c r="H205" s="31">
        <f>P!J206</f>
        <v>2</v>
      </c>
      <c r="I205" s="31">
        <f>P!L206</f>
        <v>0</v>
      </c>
      <c r="J205" s="31">
        <f>P!N206</f>
        <v>2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340</v>
      </c>
      <c r="V205" s="183" t="str">
        <f t="shared" si="3"/>
        <v>OK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2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100</v>
      </c>
      <c r="V206" s="183" t="str">
        <f t="shared" si="3"/>
        <v>OK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5</v>
      </c>
      <c r="G207" s="31">
        <f>P!H208</f>
        <v>30</v>
      </c>
      <c r="H207" s="31">
        <f>P!J208</f>
        <v>1</v>
      </c>
      <c r="I207" s="31">
        <f>P!L208</f>
        <v>0</v>
      </c>
      <c r="J207" s="31">
        <f>P!N208</f>
        <v>1</v>
      </c>
      <c r="K207" s="31">
        <f>P!P208</f>
        <v>12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2075</v>
      </c>
      <c r="V207" s="183" t="str">
        <f t="shared" si="3"/>
        <v>OK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15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525</v>
      </c>
      <c r="V208" s="183" t="str">
        <f t="shared" si="3"/>
        <v>OK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3</v>
      </c>
      <c r="G210" s="31">
        <f>P!H211</f>
        <v>0</v>
      </c>
      <c r="H210" s="31">
        <f>P!J211</f>
        <v>0</v>
      </c>
      <c r="I210" s="31">
        <f>P!L211</f>
        <v>5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295</v>
      </c>
      <c r="V210" s="183" t="str">
        <f t="shared" si="3"/>
        <v>OK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3</v>
      </c>
      <c r="G215" s="31">
        <f>P!H216</f>
        <v>5</v>
      </c>
      <c r="H215" s="31">
        <f>P!J216</f>
        <v>1</v>
      </c>
      <c r="I215" s="31">
        <f>P!L216</f>
        <v>0</v>
      </c>
      <c r="J215" s="31">
        <f>P!N216</f>
        <v>1</v>
      </c>
      <c r="K215" s="31">
        <f>P!P216</f>
        <v>1</v>
      </c>
      <c r="L215" s="31">
        <f>P!R216</f>
        <v>35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3840</v>
      </c>
      <c r="V215" s="183" t="str">
        <f t="shared" si="3"/>
        <v>OK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2.4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1.6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1980</v>
      </c>
      <c r="V229" s="183" t="str">
        <f t="shared" si="3"/>
        <v>OK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2.6</v>
      </c>
      <c r="F230" s="31">
        <f>P!F231</f>
        <v>3.8</v>
      </c>
      <c r="G230" s="31">
        <f>P!H231</f>
        <v>0</v>
      </c>
      <c r="H230" s="31">
        <f>P!J231</f>
        <v>1.1000000000000001</v>
      </c>
      <c r="I230" s="31">
        <f>P!L231</f>
        <v>5.9</v>
      </c>
      <c r="J230" s="31">
        <f>P!N231</f>
        <v>4</v>
      </c>
      <c r="K230" s="31">
        <f>P!P231</f>
        <v>0</v>
      </c>
      <c r="L230" s="31">
        <f>P!R231</f>
        <v>3.3</v>
      </c>
      <c r="M230" s="31">
        <f>P!T231</f>
        <v>2.4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15888</v>
      </c>
      <c r="V230" s="183" t="str">
        <f t="shared" si="3"/>
        <v>OK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24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22800</v>
      </c>
      <c r="V231" s="183" t="str">
        <f t="shared" si="3"/>
        <v>OK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3000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4200</v>
      </c>
      <c r="V232" s="183" t="str">
        <f t="shared" si="3"/>
        <v>OK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90</v>
      </c>
      <c r="G233" s="31">
        <f>P!H234</f>
        <v>126</v>
      </c>
      <c r="H233" s="31">
        <f>P!J234</f>
        <v>90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288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14850</v>
      </c>
      <c r="V233" s="183" t="str">
        <f t="shared" si="3"/>
        <v>OK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3.6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1800</v>
      </c>
      <c r="V234" s="183" t="str">
        <f t="shared" si="3"/>
        <v>OK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70</v>
      </c>
      <c r="F244" s="31">
        <f>P!F245</f>
        <v>118</v>
      </c>
      <c r="G244" s="31">
        <f>P!H245</f>
        <v>158</v>
      </c>
      <c r="H244" s="31">
        <f>P!J245</f>
        <v>0</v>
      </c>
      <c r="I244" s="31">
        <f>P!L245</f>
        <v>85</v>
      </c>
      <c r="J244" s="31">
        <f>P!N245</f>
        <v>99</v>
      </c>
      <c r="K244" s="31">
        <f>P!P245</f>
        <v>216</v>
      </c>
      <c r="L244" s="31">
        <f>P!R245</f>
        <v>224</v>
      </c>
      <c r="M244" s="31">
        <f>P!T245</f>
        <v>55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8910</v>
      </c>
      <c r="V244" s="183" t="str">
        <f t="shared" si="3"/>
        <v>OK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30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10500</v>
      </c>
      <c r="V246" s="183" t="str">
        <f t="shared" si="3"/>
        <v>OK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100</v>
      </c>
      <c r="H247" s="31">
        <f>P!J248</f>
        <v>4000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140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10000</v>
      </c>
      <c r="V247" s="183" t="str">
        <f t="shared" si="3"/>
        <v>OK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840</v>
      </c>
      <c r="F248" s="31">
        <f>P!F249</f>
        <v>1175</v>
      </c>
      <c r="G248" s="31">
        <f>P!H249</f>
        <v>1065</v>
      </c>
      <c r="H248" s="31">
        <f>P!J249</f>
        <v>0</v>
      </c>
      <c r="I248" s="31">
        <f>P!L249</f>
        <v>14860</v>
      </c>
      <c r="J248" s="31">
        <f>P!N249</f>
        <v>1000</v>
      </c>
      <c r="K248" s="31">
        <f>P!P249</f>
        <v>3600</v>
      </c>
      <c r="L248" s="31">
        <f>P!R249</f>
        <v>7530</v>
      </c>
      <c r="M248" s="31">
        <f>P!T249</f>
        <v>970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31040</v>
      </c>
      <c r="V248" s="183" t="str">
        <f t="shared" si="3"/>
        <v>OK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60</v>
      </c>
      <c r="J249" s="31">
        <f>P!N250</f>
        <v>60</v>
      </c>
      <c r="K249" s="31">
        <f>P!P250</f>
        <v>0</v>
      </c>
      <c r="L249" s="31">
        <f>P!R250</f>
        <v>60</v>
      </c>
      <c r="M249" s="31">
        <f>P!T250</f>
        <v>60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240</v>
      </c>
      <c r="V249" s="183" t="str">
        <f t="shared" si="3"/>
        <v>OK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100</v>
      </c>
      <c r="F251" s="31">
        <f>P!F252</f>
        <v>60</v>
      </c>
      <c r="G251" s="31">
        <f>P!H252</f>
        <v>50</v>
      </c>
      <c r="H251" s="31">
        <f>P!J252</f>
        <v>50</v>
      </c>
      <c r="I251" s="31">
        <f>P!L252</f>
        <v>100</v>
      </c>
      <c r="J251" s="31">
        <f>P!N252</f>
        <v>50</v>
      </c>
      <c r="K251" s="31">
        <f>P!P252</f>
        <v>150</v>
      </c>
      <c r="L251" s="31">
        <f>P!R252</f>
        <v>230</v>
      </c>
      <c r="M251" s="31">
        <f>P!T252</f>
        <v>130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920</v>
      </c>
      <c r="V251" s="183" t="str">
        <f t="shared" si="3"/>
        <v>OK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270</v>
      </c>
      <c r="F252" s="31">
        <f>P!F253</f>
        <v>410</v>
      </c>
      <c r="G252" s="31">
        <f>P!H253</f>
        <v>880</v>
      </c>
      <c r="H252" s="31">
        <f>P!J253</f>
        <v>260</v>
      </c>
      <c r="I252" s="31">
        <f>P!L253</f>
        <v>580</v>
      </c>
      <c r="J252" s="31">
        <f>P!N253</f>
        <v>440</v>
      </c>
      <c r="K252" s="31">
        <f>P!P253</f>
        <v>240</v>
      </c>
      <c r="L252" s="31">
        <f>P!R253</f>
        <v>860</v>
      </c>
      <c r="M252" s="31">
        <f>P!T253</f>
        <v>430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4370</v>
      </c>
      <c r="V252" s="183" t="str">
        <f t="shared" si="3"/>
        <v>OK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2000</v>
      </c>
      <c r="F253" s="31">
        <f>P!F254</f>
        <v>2100</v>
      </c>
      <c r="G253" s="31">
        <f>P!H254</f>
        <v>5300</v>
      </c>
      <c r="H253" s="31">
        <f>P!J254</f>
        <v>3300</v>
      </c>
      <c r="I253" s="31">
        <f>P!L254</f>
        <v>3100</v>
      </c>
      <c r="J253" s="31">
        <f>P!N254</f>
        <v>2300</v>
      </c>
      <c r="K253" s="31">
        <f>P!P254</f>
        <v>3600</v>
      </c>
      <c r="L253" s="31">
        <f>P!R254</f>
        <v>9300</v>
      </c>
      <c r="M253" s="31">
        <f>P!T254</f>
        <v>3200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34200</v>
      </c>
      <c r="V253" s="183" t="str">
        <f t="shared" si="3"/>
        <v>OK</v>
      </c>
      <c r="W253" s="25"/>
      <c r="X253" s="353" t="b">
        <f>T254=P!AM2</f>
        <v>1</v>
      </c>
      <c r="Y253" s="354" t="s">
        <v>365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231</v>
      </c>
      <c r="P254" s="342"/>
      <c r="Q254" s="342"/>
      <c r="R254" s="342"/>
      <c r="S254" s="342"/>
      <c r="T254" s="449">
        <f>SUM(U4:U253)</f>
        <v>539389</v>
      </c>
      <c r="U254" s="450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2"/>
      <c r="K255" s="442"/>
      <c r="L255" s="442"/>
      <c r="M255" s="442"/>
      <c r="N255" s="442"/>
      <c r="O255" s="442"/>
      <c r="P255" s="442"/>
      <c r="Q255" s="442"/>
      <c r="R255" s="442"/>
      <c r="S255" s="442"/>
      <c r="T255" s="445"/>
      <c r="U255" s="442"/>
      <c r="V255"/>
      <c r="W255" s="25"/>
      <c r="X255" s="353" t="b">
        <f>T254=TS!D20</f>
        <v>1</v>
      </c>
      <c r="Y255" s="353" t="s">
        <v>364</v>
      </c>
    </row>
    <row r="256" spans="1:25" ht="16.5"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2"/>
      <c r="J260" s="442"/>
      <c r="K260" s="442"/>
      <c r="L260" s="442"/>
      <c r="M260" s="442"/>
      <c r="N260" s="442"/>
      <c r="O260" s="442"/>
      <c r="P260" s="442"/>
      <c r="Q260" s="442"/>
      <c r="R260" s="442"/>
      <c r="S260" s="442"/>
      <c r="T260" s="442"/>
      <c r="U260" s="442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Normal="100" workbookViewId="0">
      <pane xSplit="3" ySplit="2" topLeftCell="M244" activePane="bottomRight" state="frozen"/>
      <selection pane="topRight" activeCell="D1" sqref="D1"/>
      <selection pane="bottomLeft" activeCell="A3" sqref="A3"/>
      <selection pane="bottomRight" activeCell="AP247" sqref="AP247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hidden="1" customWidth="1"/>
    <col min="5" max="5" width="9.5703125" style="246" hidden="1" customWidth="1"/>
    <col min="6" max="6" width="11" style="247" hidden="1" customWidth="1"/>
    <col min="7" max="7" width="11.140625" style="248" hidden="1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hidden="1" customWidth="1"/>
    <col min="27" max="27" width="7.140625" style="77" hidden="1" customWidth="1"/>
    <col min="28" max="28" width="7.140625" style="75" hidden="1" customWidth="1"/>
    <col min="29" max="29" width="7.140625" style="77" hidden="1" customWidth="1"/>
    <col min="30" max="30" width="7.140625" style="75" hidden="1" customWidth="1"/>
    <col min="31" max="31" width="7.140625" style="77" hidden="1" customWidth="1"/>
    <col min="32" max="32" width="7.140625" style="75" hidden="1" customWidth="1"/>
    <col min="33" max="33" width="7.140625" style="77" hidden="1" customWidth="1"/>
    <col min="34" max="34" width="7.140625" style="75" hidden="1" customWidth="1"/>
    <col min="35" max="35" width="4.5703125" style="77" hidden="1" customWidth="1"/>
    <col min="36" max="36" width="4.5703125" style="75" hidden="1" customWidth="1"/>
    <col min="37" max="39" width="4.5703125" style="77" hidden="1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52" t="s">
        <v>0</v>
      </c>
      <c r="B1" s="452" t="s">
        <v>1</v>
      </c>
      <c r="C1" s="452" t="s">
        <v>2</v>
      </c>
      <c r="D1" s="453" t="s">
        <v>204</v>
      </c>
      <c r="E1" s="454" t="s">
        <v>254</v>
      </c>
      <c r="F1" s="451" t="s">
        <v>11</v>
      </c>
      <c r="G1" s="451" t="s">
        <v>255</v>
      </c>
      <c r="H1" s="241">
        <f>I1</f>
        <v>45953</v>
      </c>
      <c r="I1" s="231">
        <f>H!C7</f>
        <v>45953</v>
      </c>
      <c r="J1" s="241">
        <f>K1</f>
        <v>45954</v>
      </c>
      <c r="K1" s="231">
        <f>I1+1</f>
        <v>45954</v>
      </c>
      <c r="L1" s="241">
        <f>M1</f>
        <v>45955</v>
      </c>
      <c r="M1" s="231">
        <f t="shared" ref="M1:W1" si="0">K1+1</f>
        <v>45955</v>
      </c>
      <c r="N1" s="241">
        <f>O1</f>
        <v>45956</v>
      </c>
      <c r="O1" s="231">
        <f t="shared" si="0"/>
        <v>45956</v>
      </c>
      <c r="P1" s="241">
        <f>Q1</f>
        <v>45957</v>
      </c>
      <c r="Q1" s="231">
        <f>O1+1</f>
        <v>45957</v>
      </c>
      <c r="R1" s="241">
        <f>S1</f>
        <v>45958</v>
      </c>
      <c r="S1" s="231">
        <f t="shared" si="0"/>
        <v>45958</v>
      </c>
      <c r="T1" s="241">
        <f>U1</f>
        <v>45959</v>
      </c>
      <c r="U1" s="231">
        <f t="shared" si="0"/>
        <v>45959</v>
      </c>
      <c r="V1" s="241">
        <f>W1</f>
        <v>45960</v>
      </c>
      <c r="W1" s="229">
        <f t="shared" si="0"/>
        <v>45960</v>
      </c>
      <c r="X1" s="241">
        <f>Y1</f>
        <v>45961</v>
      </c>
      <c r="Y1" s="229">
        <f t="shared" ref="Y1" si="1">W1+1</f>
        <v>45961</v>
      </c>
      <c r="Z1" s="241">
        <f>AA1</f>
        <v>45962</v>
      </c>
      <c r="AA1" s="229">
        <f t="shared" ref="AA1" si="2">Y1+1</f>
        <v>45962</v>
      </c>
      <c r="AB1" s="241">
        <f>AC1</f>
        <v>45963</v>
      </c>
      <c r="AC1" s="229">
        <f>AA1+1</f>
        <v>45963</v>
      </c>
      <c r="AD1" s="241">
        <f>AE1</f>
        <v>45964</v>
      </c>
      <c r="AE1" s="229">
        <f>AC1+1</f>
        <v>45964</v>
      </c>
      <c r="AF1" s="241">
        <f>AG1</f>
        <v>45965</v>
      </c>
      <c r="AG1" s="229">
        <f>AE1+1</f>
        <v>45965</v>
      </c>
      <c r="AH1" s="241">
        <f>AI1</f>
        <v>45966</v>
      </c>
      <c r="AI1" s="229">
        <f>AG1+1</f>
        <v>45966</v>
      </c>
      <c r="AJ1" s="241">
        <f>AH1+1</f>
        <v>45967</v>
      </c>
      <c r="AK1" s="229">
        <f>AI1+1</f>
        <v>45967</v>
      </c>
      <c r="AL1" s="241">
        <f>AJ1+1</f>
        <v>45968</v>
      </c>
      <c r="AM1" s="229">
        <f>AK1+1</f>
        <v>45968</v>
      </c>
      <c r="AN1" s="459" t="s">
        <v>229</v>
      </c>
      <c r="AO1" s="455" t="s">
        <v>13</v>
      </c>
      <c r="AP1" s="457" t="s">
        <v>15</v>
      </c>
      <c r="AQ1" s="461" t="s">
        <v>236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52"/>
      <c r="B2" s="452"/>
      <c r="C2" s="452"/>
      <c r="D2" s="453"/>
      <c r="E2" s="454"/>
      <c r="F2" s="451"/>
      <c r="G2" s="451"/>
      <c r="H2" s="242" t="s">
        <v>243</v>
      </c>
      <c r="I2" s="232" t="s">
        <v>244</v>
      </c>
      <c r="J2" s="242" t="s">
        <v>243</v>
      </c>
      <c r="K2" s="232" t="s">
        <v>244</v>
      </c>
      <c r="L2" s="242" t="s">
        <v>243</v>
      </c>
      <c r="M2" s="232" t="s">
        <v>244</v>
      </c>
      <c r="N2" s="242" t="s">
        <v>243</v>
      </c>
      <c r="O2" s="232" t="s">
        <v>244</v>
      </c>
      <c r="P2" s="242" t="s">
        <v>243</v>
      </c>
      <c r="Q2" s="232" t="s">
        <v>244</v>
      </c>
      <c r="R2" s="242" t="s">
        <v>243</v>
      </c>
      <c r="S2" s="232" t="s">
        <v>244</v>
      </c>
      <c r="T2" s="242" t="s">
        <v>243</v>
      </c>
      <c r="U2" s="232" t="s">
        <v>244</v>
      </c>
      <c r="V2" s="242" t="s">
        <v>243</v>
      </c>
      <c r="W2" s="230" t="s">
        <v>244</v>
      </c>
      <c r="X2" s="242" t="s">
        <v>243</v>
      </c>
      <c r="Y2" s="230" t="s">
        <v>244</v>
      </c>
      <c r="Z2" s="242" t="s">
        <v>243</v>
      </c>
      <c r="AA2" s="230" t="s">
        <v>244</v>
      </c>
      <c r="AB2" s="242" t="s">
        <v>243</v>
      </c>
      <c r="AC2" s="232" t="s">
        <v>244</v>
      </c>
      <c r="AD2" s="242" t="s">
        <v>243</v>
      </c>
      <c r="AE2" s="232" t="s">
        <v>244</v>
      </c>
      <c r="AF2" s="242" t="s">
        <v>243</v>
      </c>
      <c r="AG2" s="232" t="s">
        <v>244</v>
      </c>
      <c r="AH2" s="242" t="s">
        <v>243</v>
      </c>
      <c r="AI2" s="232" t="s">
        <v>244</v>
      </c>
      <c r="AJ2" s="242" t="s">
        <v>243</v>
      </c>
      <c r="AK2" s="232" t="s">
        <v>244</v>
      </c>
      <c r="AL2" s="242" t="s">
        <v>243</v>
      </c>
      <c r="AM2" s="232" t="s">
        <v>244</v>
      </c>
      <c r="AN2" s="460"/>
      <c r="AO2" s="456"/>
      <c r="AP2" s="458"/>
      <c r="AQ2" s="461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86.294819492673739</v>
      </c>
      <c r="E5" s="243">
        <v>61.110000000000042</v>
      </c>
      <c r="F5" s="244">
        <f>P!AJ7</f>
        <v>150</v>
      </c>
      <c r="G5" s="244">
        <f t="shared" si="3"/>
        <v>211.11000000000004</v>
      </c>
      <c r="H5" s="276">
        <v>15</v>
      </c>
      <c r="I5" s="277">
        <v>22</v>
      </c>
      <c r="J5" s="276">
        <v>17</v>
      </c>
      <c r="K5" s="277">
        <v>19.399999999999999</v>
      </c>
      <c r="L5" s="304">
        <v>10</v>
      </c>
      <c r="M5" s="305"/>
      <c r="N5" s="304">
        <v>15</v>
      </c>
      <c r="O5" s="305">
        <v>17.100000000000001</v>
      </c>
      <c r="P5" s="304">
        <v>15</v>
      </c>
      <c r="Q5" s="305">
        <v>17</v>
      </c>
      <c r="R5" s="304">
        <v>19</v>
      </c>
      <c r="S5" s="305">
        <v>22</v>
      </c>
      <c r="T5" s="304">
        <v>20</v>
      </c>
      <c r="U5" s="305">
        <v>26.5</v>
      </c>
      <c r="V5" s="304">
        <v>32</v>
      </c>
      <c r="W5" s="305">
        <v>50</v>
      </c>
      <c r="X5" s="304">
        <v>26</v>
      </c>
      <c r="Y5" s="305">
        <v>24</v>
      </c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198</v>
      </c>
      <c r="AO5" s="252">
        <f>P!AK7</f>
        <v>101.33333333333333</v>
      </c>
      <c r="AP5" s="253">
        <f t="shared" si="5"/>
        <v>13.110000000000042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121.97789988777421</v>
      </c>
      <c r="E6" s="243">
        <v>49.450000000000045</v>
      </c>
      <c r="F6" s="244">
        <f>P!AJ8</f>
        <v>50</v>
      </c>
      <c r="G6" s="244">
        <f t="shared" si="3"/>
        <v>99.450000000000045</v>
      </c>
      <c r="H6" s="276"/>
      <c r="I6" s="277"/>
      <c r="J6" s="276">
        <v>3</v>
      </c>
      <c r="K6" s="277">
        <v>3.7</v>
      </c>
      <c r="L6" s="304">
        <v>25</v>
      </c>
      <c r="M6" s="305">
        <v>25</v>
      </c>
      <c r="N6" s="304">
        <v>3</v>
      </c>
      <c r="O6" s="305">
        <v>4</v>
      </c>
      <c r="P6" s="304"/>
      <c r="Q6" s="305"/>
      <c r="R6" s="304">
        <v>1</v>
      </c>
      <c r="S6" s="305">
        <v>1</v>
      </c>
      <c r="T6" s="304"/>
      <c r="U6" s="305"/>
      <c r="V6" s="304">
        <v>24</v>
      </c>
      <c r="W6" s="305">
        <v>24</v>
      </c>
      <c r="X6" s="304">
        <v>8</v>
      </c>
      <c r="Y6" s="305">
        <v>8</v>
      </c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65.7</v>
      </c>
      <c r="AO6" s="252">
        <f>P!AK8</f>
        <v>122</v>
      </c>
      <c r="AP6" s="253">
        <f t="shared" si="5"/>
        <v>33.750000000000043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149.33917460012574</v>
      </c>
      <c r="E8" s="243">
        <v>23.240000000000006</v>
      </c>
      <c r="F8" s="244">
        <f>P!AJ10</f>
        <v>25</v>
      </c>
      <c r="G8" s="244">
        <f t="shared" si="3"/>
        <v>48.240000000000009</v>
      </c>
      <c r="H8" s="276">
        <v>3</v>
      </c>
      <c r="I8" s="277">
        <v>2.5</v>
      </c>
      <c r="J8" s="276">
        <v>4</v>
      </c>
      <c r="K8" s="277">
        <v>3.5</v>
      </c>
      <c r="L8" s="304">
        <v>2.5</v>
      </c>
      <c r="M8" s="305">
        <v>0.5</v>
      </c>
      <c r="N8" s="304">
        <v>3</v>
      </c>
      <c r="O8" s="305">
        <v>3.5</v>
      </c>
      <c r="P8" s="304">
        <v>3</v>
      </c>
      <c r="Q8" s="305">
        <v>3</v>
      </c>
      <c r="R8" s="304">
        <v>4.5</v>
      </c>
      <c r="S8" s="305">
        <v>4.5</v>
      </c>
      <c r="T8" s="304">
        <v>4</v>
      </c>
      <c r="U8" s="305">
        <v>4</v>
      </c>
      <c r="V8" s="304">
        <v>4</v>
      </c>
      <c r="W8" s="305">
        <v>4</v>
      </c>
      <c r="X8" s="304">
        <v>5</v>
      </c>
      <c r="Y8" s="305">
        <v>4</v>
      </c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29.5</v>
      </c>
      <c r="AO8" s="252">
        <f>P!AK10</f>
        <v>155</v>
      </c>
      <c r="AP8" s="253">
        <f t="shared" si="5"/>
        <v>18.740000000000009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160.66050369959086</v>
      </c>
      <c r="E9" s="243">
        <v>46.72</v>
      </c>
      <c r="F9" s="244">
        <f>P!AJ11</f>
        <v>25</v>
      </c>
      <c r="G9" s="244">
        <f t="shared" si="3"/>
        <v>71.72</v>
      </c>
      <c r="H9" s="276"/>
      <c r="I9" s="277"/>
      <c r="J9" s="276">
        <v>2</v>
      </c>
      <c r="K9" s="277">
        <v>1.5</v>
      </c>
      <c r="L9" s="304"/>
      <c r="M9" s="305">
        <v>2.5</v>
      </c>
      <c r="N9" s="304">
        <v>1.5</v>
      </c>
      <c r="O9" s="305">
        <v>1</v>
      </c>
      <c r="P9" s="304"/>
      <c r="Q9" s="305">
        <v>2</v>
      </c>
      <c r="R9" s="304">
        <v>2</v>
      </c>
      <c r="S9" s="305">
        <v>2</v>
      </c>
      <c r="T9" s="304">
        <v>2</v>
      </c>
      <c r="U9" s="305">
        <v>2</v>
      </c>
      <c r="V9" s="304">
        <v>5</v>
      </c>
      <c r="W9" s="305">
        <v>5</v>
      </c>
      <c r="X9" s="304">
        <v>4</v>
      </c>
      <c r="Y9" s="305">
        <v>4</v>
      </c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20</v>
      </c>
      <c r="AO9" s="252">
        <f>P!AK11</f>
        <v>160</v>
      </c>
      <c r="AP9" s="253">
        <f t="shared" si="5"/>
        <v>51.72</v>
      </c>
      <c r="AQ9" s="70" t="str">
        <f t="shared" si="6"/>
        <v xml:space="preserve"> </v>
      </c>
    </row>
    <row r="10" spans="1:55">
      <c r="A10" s="68">
        <v>8</v>
      </c>
      <c r="B10" s="92" t="s">
        <v>362</v>
      </c>
      <c r="C10" s="68" t="s">
        <v>9</v>
      </c>
      <c r="D10" s="243">
        <v>130.05801514698564</v>
      </c>
      <c r="E10" s="243">
        <v>21.950000000000003</v>
      </c>
      <c r="F10" s="244">
        <f>P!AJ12</f>
        <v>0</v>
      </c>
      <c r="G10" s="244">
        <f t="shared" si="3"/>
        <v>21.950000000000003</v>
      </c>
      <c r="H10" s="276">
        <v>1.5</v>
      </c>
      <c r="I10" s="277">
        <v>1.5</v>
      </c>
      <c r="J10" s="276">
        <v>4</v>
      </c>
      <c r="K10" s="277">
        <v>3.2</v>
      </c>
      <c r="L10" s="304"/>
      <c r="M10" s="305"/>
      <c r="N10" s="304"/>
      <c r="O10" s="305"/>
      <c r="P10" s="304">
        <v>2</v>
      </c>
      <c r="Q10" s="305">
        <v>2</v>
      </c>
      <c r="R10" s="304">
        <v>2</v>
      </c>
      <c r="S10" s="305">
        <v>2</v>
      </c>
      <c r="T10" s="304"/>
      <c r="U10" s="305"/>
      <c r="V10" s="304">
        <v>3</v>
      </c>
      <c r="W10" s="305">
        <v>3</v>
      </c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11.7</v>
      </c>
      <c r="AO10" s="252">
        <f>P!AK12</f>
        <v>130.05801514698564</v>
      </c>
      <c r="AP10" s="253">
        <f t="shared" si="5"/>
        <v>10.250000000000004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387</v>
      </c>
      <c r="C12" s="68" t="s">
        <v>9</v>
      </c>
      <c r="D12" s="243">
        <v>58.666666666666664</v>
      </c>
      <c r="E12" s="243">
        <v>0</v>
      </c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58.666666666666664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>
        <v>181.80327868850583</v>
      </c>
      <c r="E13" s="243">
        <v>4</v>
      </c>
      <c r="F13" s="244">
        <f>P!AJ15</f>
        <v>115</v>
      </c>
      <c r="G13" s="244">
        <f>E13+F13</f>
        <v>119</v>
      </c>
      <c r="H13" s="276"/>
      <c r="I13" s="277"/>
      <c r="J13" s="276">
        <v>10</v>
      </c>
      <c r="K13" s="277">
        <v>12</v>
      </c>
      <c r="L13" s="304">
        <v>26</v>
      </c>
      <c r="M13" s="305">
        <v>26</v>
      </c>
      <c r="N13" s="304">
        <v>5</v>
      </c>
      <c r="O13" s="305">
        <v>6</v>
      </c>
      <c r="P13" s="304">
        <v>5</v>
      </c>
      <c r="Q13" s="305">
        <v>14</v>
      </c>
      <c r="R13" s="304">
        <v>8</v>
      </c>
      <c r="S13" s="305">
        <v>10</v>
      </c>
      <c r="T13" s="304">
        <v>8</v>
      </c>
      <c r="U13" s="305">
        <v>10</v>
      </c>
      <c r="V13" s="304">
        <v>30</v>
      </c>
      <c r="W13" s="305">
        <v>26.5</v>
      </c>
      <c r="X13" s="304">
        <v>12</v>
      </c>
      <c r="Y13" s="305">
        <v>12</v>
      </c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116.5</v>
      </c>
      <c r="AO13" s="252">
        <f>P!AK15</f>
        <v>179.39130434782609</v>
      </c>
      <c r="AP13" s="253">
        <f t="shared" si="5"/>
        <v>2.5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331.11854599795782</v>
      </c>
      <c r="E14" s="243">
        <v>1.3699999999999992</v>
      </c>
      <c r="F14" s="244">
        <f>P!AJ16</f>
        <v>4</v>
      </c>
      <c r="G14" s="244">
        <f t="shared" si="3"/>
        <v>5.3699999999999992</v>
      </c>
      <c r="H14" s="276">
        <v>5</v>
      </c>
      <c r="I14" s="277">
        <v>5</v>
      </c>
      <c r="J14" s="276">
        <v>0.3</v>
      </c>
      <c r="K14" s="277">
        <v>0.3</v>
      </c>
      <c r="L14" s="304">
        <v>1.5</v>
      </c>
      <c r="M14" s="305"/>
      <c r="N14" s="304">
        <v>0.5</v>
      </c>
      <c r="O14" s="305"/>
      <c r="P14" s="304">
        <v>0.3</v>
      </c>
      <c r="Q14" s="305"/>
      <c r="R14" s="304">
        <v>0.4</v>
      </c>
      <c r="S14" s="305"/>
      <c r="T14" s="304">
        <v>0.2</v>
      </c>
      <c r="U14" s="305"/>
      <c r="V14" s="304">
        <v>0.5</v>
      </c>
      <c r="W14" s="305"/>
      <c r="X14" s="304">
        <v>0.5</v>
      </c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5.3</v>
      </c>
      <c r="AO14" s="252">
        <f>P!AK16</f>
        <v>320</v>
      </c>
      <c r="AP14" s="253">
        <f t="shared" si="5"/>
        <v>6.9999999999999396E-2</v>
      </c>
      <c r="AQ14" s="70" t="str">
        <f t="shared" si="6"/>
        <v>NZ</v>
      </c>
    </row>
    <row r="15" spans="1:55">
      <c r="A15" s="68">
        <v>13</v>
      </c>
      <c r="B15" s="92" t="s">
        <v>5</v>
      </c>
      <c r="C15" s="68" t="s">
        <v>9</v>
      </c>
      <c r="D15" s="243">
        <v>39.999999828149122</v>
      </c>
      <c r="E15" s="243">
        <v>31.799999999999997</v>
      </c>
      <c r="F15" s="244">
        <f>P!AJ17</f>
        <v>0</v>
      </c>
      <c r="G15" s="244">
        <f t="shared" si="3"/>
        <v>31.799999999999997</v>
      </c>
      <c r="H15" s="276">
        <v>0.3</v>
      </c>
      <c r="I15" s="277">
        <v>0.5</v>
      </c>
      <c r="J15" s="276">
        <v>2</v>
      </c>
      <c r="K15" s="277">
        <v>1</v>
      </c>
      <c r="L15" s="304">
        <v>5</v>
      </c>
      <c r="M15" s="305"/>
      <c r="N15" s="304">
        <v>1</v>
      </c>
      <c r="O15" s="305">
        <v>1</v>
      </c>
      <c r="P15" s="304">
        <v>1</v>
      </c>
      <c r="Q15" s="305">
        <v>1</v>
      </c>
      <c r="R15" s="304">
        <v>2</v>
      </c>
      <c r="S15" s="305">
        <v>2</v>
      </c>
      <c r="T15" s="304">
        <v>1</v>
      </c>
      <c r="U15" s="305">
        <v>1</v>
      </c>
      <c r="V15" s="304">
        <v>6</v>
      </c>
      <c r="W15" s="305">
        <v>6</v>
      </c>
      <c r="X15" s="304">
        <v>3</v>
      </c>
      <c r="Y15" s="305">
        <v>3</v>
      </c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15.5</v>
      </c>
      <c r="AO15" s="252">
        <f>P!AK17</f>
        <v>39.999999828149122</v>
      </c>
      <c r="AP15" s="253">
        <f t="shared" si="5"/>
        <v>16.299999999999997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>
        <v>2</v>
      </c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371.56286721504114</v>
      </c>
      <c r="E17" s="243">
        <v>0.20000000000000018</v>
      </c>
      <c r="F17" s="244">
        <f>P!AJ19</f>
        <v>0.2</v>
      </c>
      <c r="G17" s="244">
        <f t="shared" si="3"/>
        <v>0.40000000000000019</v>
      </c>
      <c r="H17" s="276"/>
      <c r="I17" s="277"/>
      <c r="J17" s="276"/>
      <c r="K17" s="277"/>
      <c r="L17" s="304">
        <v>0.2</v>
      </c>
      <c r="M17" s="305"/>
      <c r="N17" s="304"/>
      <c r="O17" s="305"/>
      <c r="P17" s="304"/>
      <c r="Q17" s="305"/>
      <c r="R17" s="304"/>
      <c r="S17" s="305"/>
      <c r="T17" s="304"/>
      <c r="U17" s="305"/>
      <c r="V17" s="304">
        <v>0.2</v>
      </c>
      <c r="W17" s="305">
        <v>0.4</v>
      </c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0.4</v>
      </c>
      <c r="AO17" s="252">
        <f>P!AK19</f>
        <v>600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183.33333333333334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183.33333333333334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59.999999999996724</v>
      </c>
      <c r="E19" s="243">
        <v>64</v>
      </c>
      <c r="F19" s="244">
        <f>P!AJ21</f>
        <v>63</v>
      </c>
      <c r="G19" s="244">
        <f t="shared" si="3"/>
        <v>127</v>
      </c>
      <c r="H19" s="276">
        <v>6</v>
      </c>
      <c r="I19" s="277">
        <v>11</v>
      </c>
      <c r="J19" s="276">
        <v>8</v>
      </c>
      <c r="K19" s="277">
        <v>11</v>
      </c>
      <c r="L19" s="304">
        <v>20</v>
      </c>
      <c r="M19" s="305">
        <v>20</v>
      </c>
      <c r="N19" s="304">
        <v>6</v>
      </c>
      <c r="O19" s="305">
        <v>9</v>
      </c>
      <c r="P19" s="304">
        <v>4</v>
      </c>
      <c r="Q19" s="305">
        <v>11</v>
      </c>
      <c r="R19" s="304">
        <v>8</v>
      </c>
      <c r="S19" s="305">
        <v>8</v>
      </c>
      <c r="T19" s="304">
        <v>8</v>
      </c>
      <c r="U19" s="305">
        <v>10</v>
      </c>
      <c r="V19" s="304">
        <v>30</v>
      </c>
      <c r="W19" s="305">
        <v>34</v>
      </c>
      <c r="X19" s="304">
        <v>12</v>
      </c>
      <c r="Y19" s="305">
        <v>13</v>
      </c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127</v>
      </c>
      <c r="AO19" s="252">
        <f>P!AK21</f>
        <v>60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>
        <v>952.64544896152813</v>
      </c>
      <c r="E20" s="243">
        <v>8.0000000000001847E-2</v>
      </c>
      <c r="F20" s="244">
        <f>P!AJ22</f>
        <v>10.5</v>
      </c>
      <c r="G20" s="244">
        <f t="shared" si="3"/>
        <v>10.580000000000002</v>
      </c>
      <c r="H20" s="276">
        <v>0.5</v>
      </c>
      <c r="I20" s="277">
        <v>0.3</v>
      </c>
      <c r="J20" s="276">
        <v>0.5</v>
      </c>
      <c r="K20" s="277">
        <v>0.7</v>
      </c>
      <c r="L20" s="304">
        <v>3</v>
      </c>
      <c r="M20" s="305"/>
      <c r="N20" s="304">
        <v>0.5</v>
      </c>
      <c r="O20" s="305">
        <v>1</v>
      </c>
      <c r="P20" s="304">
        <v>0.2</v>
      </c>
      <c r="Q20" s="305">
        <v>0.5</v>
      </c>
      <c r="R20" s="304">
        <v>2</v>
      </c>
      <c r="S20" s="305"/>
      <c r="T20" s="304">
        <v>0.5</v>
      </c>
      <c r="U20" s="305">
        <v>0.5</v>
      </c>
      <c r="V20" s="304">
        <v>1</v>
      </c>
      <c r="W20" s="305">
        <v>1</v>
      </c>
      <c r="X20" s="304">
        <v>1</v>
      </c>
      <c r="Y20" s="305">
        <v>0.2</v>
      </c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4.2</v>
      </c>
      <c r="AO20" s="252">
        <f>P!AK22</f>
        <v>920</v>
      </c>
      <c r="AP20" s="253">
        <f t="shared" si="5"/>
        <v>6.3800000000000017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181.09890109890108</v>
      </c>
      <c r="E21" s="243">
        <v>0</v>
      </c>
      <c r="F21" s="244">
        <f>P!AJ23</f>
        <v>3</v>
      </c>
      <c r="G21" s="244">
        <f t="shared" si="3"/>
        <v>3</v>
      </c>
      <c r="H21" s="276"/>
      <c r="I21" s="277"/>
      <c r="J21" s="276"/>
      <c r="K21" s="277"/>
      <c r="L21" s="304">
        <v>2</v>
      </c>
      <c r="M21" s="305"/>
      <c r="N21" s="304"/>
      <c r="O21" s="305"/>
      <c r="P21" s="304"/>
      <c r="Q21" s="305"/>
      <c r="R21" s="304"/>
      <c r="S21" s="305"/>
      <c r="T21" s="304"/>
      <c r="U21" s="305"/>
      <c r="V21" s="304">
        <v>1</v>
      </c>
      <c r="W21" s="305">
        <v>1</v>
      </c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1</v>
      </c>
      <c r="AO21" s="252">
        <f>P!AK23</f>
        <v>216.66666666666666</v>
      </c>
      <c r="AP21" s="253">
        <f t="shared" si="5"/>
        <v>2</v>
      </c>
      <c r="AQ21" s="70" t="str">
        <f t="shared" si="6"/>
        <v xml:space="preserve"> </v>
      </c>
    </row>
    <row r="22" spans="1:44">
      <c r="A22" s="68">
        <v>20</v>
      </c>
      <c r="B22" s="92" t="s">
        <v>34</v>
      </c>
      <c r="C22" s="68" t="s">
        <v>31</v>
      </c>
      <c r="D22" s="243">
        <v>2.5462272276633655</v>
      </c>
      <c r="E22" s="243">
        <v>313</v>
      </c>
      <c r="F22" s="244">
        <f>P!AJ24</f>
        <v>2060</v>
      </c>
      <c r="G22" s="244">
        <f t="shared" si="3"/>
        <v>2373</v>
      </c>
      <c r="H22" s="276">
        <v>35</v>
      </c>
      <c r="I22" s="277">
        <v>10</v>
      </c>
      <c r="J22" s="276">
        <v>80</v>
      </c>
      <c r="K22" s="277">
        <v>80</v>
      </c>
      <c r="L22" s="304">
        <v>180</v>
      </c>
      <c r="M22" s="305">
        <v>180</v>
      </c>
      <c r="N22" s="304">
        <v>35</v>
      </c>
      <c r="O22" s="305">
        <v>35</v>
      </c>
      <c r="P22" s="304"/>
      <c r="Q22" s="305">
        <v>80</v>
      </c>
      <c r="R22" s="304">
        <v>75</v>
      </c>
      <c r="S22" s="305">
        <v>75</v>
      </c>
      <c r="T22" s="304">
        <v>25</v>
      </c>
      <c r="U22" s="305">
        <v>25</v>
      </c>
      <c r="V22" s="304">
        <v>1100</v>
      </c>
      <c r="W22" s="305">
        <v>1125</v>
      </c>
      <c r="X22" s="304">
        <v>50</v>
      </c>
      <c r="Y22" s="305">
        <v>50</v>
      </c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1660</v>
      </c>
      <c r="AO22" s="252">
        <f>P!AK24</f>
        <v>2.8</v>
      </c>
      <c r="AP22" s="253">
        <f t="shared" si="5"/>
        <v>713</v>
      </c>
      <c r="AQ22" s="70" t="str">
        <f t="shared" si="6"/>
        <v xml:space="preserve"> </v>
      </c>
    </row>
    <row r="23" spans="1:44">
      <c r="A23" s="68">
        <v>21</v>
      </c>
      <c r="B23" s="92" t="s">
        <v>35</v>
      </c>
      <c r="C23" s="68" t="s">
        <v>31</v>
      </c>
      <c r="D23" s="243">
        <v>180</v>
      </c>
      <c r="E23" s="243">
        <v>0</v>
      </c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180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>
        <v>380</v>
      </c>
      <c r="E24" s="243">
        <v>0</v>
      </c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380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292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1.4</v>
      </c>
      <c r="F27" s="244">
        <f>P!AJ29</f>
        <v>0</v>
      </c>
      <c r="G27" s="244">
        <f t="shared" si="3"/>
        <v>1.4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>
        <v>1</v>
      </c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1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100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2E-3</v>
      </c>
      <c r="G29" s="244">
        <f t="shared" si="3"/>
        <v>2E-3</v>
      </c>
      <c r="H29" s="276"/>
      <c r="I29" s="277"/>
      <c r="J29" s="276"/>
      <c r="K29" s="277"/>
      <c r="L29" s="304">
        <v>1E-3</v>
      </c>
      <c r="M29" s="305"/>
      <c r="N29" s="304"/>
      <c r="O29" s="305"/>
      <c r="P29" s="304"/>
      <c r="Q29" s="305"/>
      <c r="R29" s="304"/>
      <c r="S29" s="305"/>
      <c r="T29" s="304"/>
      <c r="U29" s="305"/>
      <c r="V29" s="304">
        <v>1E-3</v>
      </c>
      <c r="W29" s="305">
        <v>2E-3</v>
      </c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2E-3</v>
      </c>
      <c r="AO29" s="252">
        <f>P!AK31</f>
        <v>300000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>
        <v>2.5000000000000001E-2</v>
      </c>
      <c r="M30" s="305"/>
      <c r="N30" s="304"/>
      <c r="O30" s="305"/>
      <c r="P30" s="304"/>
      <c r="Q30" s="305"/>
      <c r="R30" s="304"/>
      <c r="S30" s="305"/>
      <c r="T30" s="304"/>
      <c r="U30" s="305"/>
      <c r="V30" s="304">
        <v>0.05</v>
      </c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314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136.45378758212715</v>
      </c>
      <c r="E34" s="243">
        <v>18</v>
      </c>
      <c r="F34" s="244">
        <f>P!AJ36</f>
        <v>32</v>
      </c>
      <c r="G34" s="244">
        <f t="shared" si="3"/>
        <v>50</v>
      </c>
      <c r="H34" s="276">
        <v>2</v>
      </c>
      <c r="I34" s="277">
        <v>4</v>
      </c>
      <c r="J34" s="276">
        <v>2</v>
      </c>
      <c r="K34" s="277">
        <v>3</v>
      </c>
      <c r="L34" s="304">
        <v>6</v>
      </c>
      <c r="M34" s="305">
        <v>6</v>
      </c>
      <c r="N34" s="304">
        <v>2</v>
      </c>
      <c r="O34" s="305">
        <v>3</v>
      </c>
      <c r="P34" s="304">
        <v>2</v>
      </c>
      <c r="Q34" s="305">
        <v>3</v>
      </c>
      <c r="R34" s="304">
        <v>2</v>
      </c>
      <c r="S34" s="305">
        <v>2</v>
      </c>
      <c r="T34" s="304">
        <v>2</v>
      </c>
      <c r="U34" s="305">
        <v>3</v>
      </c>
      <c r="V34" s="304">
        <v>6</v>
      </c>
      <c r="W34" s="305">
        <v>8</v>
      </c>
      <c r="X34" s="304">
        <v>3</v>
      </c>
      <c r="Y34" s="305">
        <v>3</v>
      </c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35</v>
      </c>
      <c r="AO34" s="252">
        <f>P!AK36</f>
        <v>135</v>
      </c>
      <c r="AP34" s="253">
        <f t="shared" si="5"/>
        <v>15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0.5</v>
      </c>
      <c r="F35" s="244">
        <f>P!AJ37</f>
        <v>2</v>
      </c>
      <c r="G35" s="244">
        <f t="shared" si="3"/>
        <v>2.5</v>
      </c>
      <c r="H35" s="276"/>
      <c r="I35" s="277"/>
      <c r="J35" s="276"/>
      <c r="K35" s="277"/>
      <c r="L35" s="304">
        <v>1.5</v>
      </c>
      <c r="M35" s="305">
        <v>1.5</v>
      </c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1.5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447.40259740259739</v>
      </c>
      <c r="E36" s="243">
        <v>0</v>
      </c>
      <c r="F36" s="244">
        <f>P!AJ38</f>
        <v>1</v>
      </c>
      <c r="G36" s="244">
        <f t="shared" si="3"/>
        <v>1</v>
      </c>
      <c r="H36" s="276"/>
      <c r="I36" s="277"/>
      <c r="J36" s="276"/>
      <c r="K36" s="277"/>
      <c r="L36" s="304">
        <v>0.5</v>
      </c>
      <c r="M36" s="305">
        <v>0.4</v>
      </c>
      <c r="N36" s="304"/>
      <c r="O36" s="305"/>
      <c r="P36" s="304"/>
      <c r="Q36" s="305"/>
      <c r="R36" s="304"/>
      <c r="S36" s="305"/>
      <c r="T36" s="304"/>
      <c r="U36" s="305"/>
      <c r="V36" s="304">
        <v>0.5</v>
      </c>
      <c r="W36" s="305">
        <v>0.5</v>
      </c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0.9</v>
      </c>
      <c r="AO36" s="252">
        <f>P!AK38</f>
        <v>475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259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120</v>
      </c>
      <c r="E38" s="243">
        <v>0</v>
      </c>
      <c r="F38" s="244">
        <f>P!AJ40</f>
        <v>0.5</v>
      </c>
      <c r="G38" s="244">
        <f t="shared" si="3"/>
        <v>0.5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0.5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0.5</v>
      </c>
      <c r="AO38" s="312">
        <f>P!AK40</f>
        <v>240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>
        <v>76.666666666666671</v>
      </c>
      <c r="E39" s="243">
        <v>0</v>
      </c>
      <c r="F39" s="244">
        <f>P!AJ41</f>
        <v>18</v>
      </c>
      <c r="G39" s="244">
        <f t="shared" si="3"/>
        <v>18</v>
      </c>
      <c r="H39" s="311">
        <v>10</v>
      </c>
      <c r="I39" s="316">
        <f>P!D41</f>
        <v>0</v>
      </c>
      <c r="J39" s="311">
        <v>1</v>
      </c>
      <c r="K39" s="316">
        <f>P!F41</f>
        <v>1</v>
      </c>
      <c r="L39" s="317">
        <v>1</v>
      </c>
      <c r="M39" s="316">
        <f>P!H41</f>
        <v>15</v>
      </c>
      <c r="N39" s="317"/>
      <c r="O39" s="316">
        <f>P!J41</f>
        <v>0</v>
      </c>
      <c r="P39" s="317"/>
      <c r="Q39" s="316">
        <f>P!L41</f>
        <v>1</v>
      </c>
      <c r="R39" s="317"/>
      <c r="S39" s="316">
        <f>P!N41</f>
        <v>0</v>
      </c>
      <c r="T39" s="317"/>
      <c r="U39" s="316">
        <f>P!P41</f>
        <v>0</v>
      </c>
      <c r="V39" s="317">
        <v>1</v>
      </c>
      <c r="W39" s="316">
        <f>P!R41</f>
        <v>1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18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86.666666666666671</v>
      </c>
      <c r="E40" s="243">
        <v>0</v>
      </c>
      <c r="F40" s="244">
        <f>P!AJ42</f>
        <v>8</v>
      </c>
      <c r="G40" s="244">
        <f t="shared" si="3"/>
        <v>8</v>
      </c>
      <c r="H40" s="311">
        <v>0.5</v>
      </c>
      <c r="I40" s="316">
        <f>P!D42</f>
        <v>0</v>
      </c>
      <c r="J40" s="311"/>
      <c r="K40" s="316">
        <f>P!F42</f>
        <v>0</v>
      </c>
      <c r="L40" s="317">
        <v>2</v>
      </c>
      <c r="M40" s="316">
        <f>P!H42</f>
        <v>2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6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8</v>
      </c>
      <c r="AO40" s="324">
        <f>P!AK42</f>
        <v>132.5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300</v>
      </c>
      <c r="C41" s="68" t="s">
        <v>31</v>
      </c>
      <c r="D41" s="243">
        <v>8</v>
      </c>
      <c r="E41" s="243">
        <v>607</v>
      </c>
      <c r="F41" s="244">
        <f>P!AJ43</f>
        <v>1000</v>
      </c>
      <c r="G41" s="244">
        <f t="shared" si="3"/>
        <v>1607</v>
      </c>
      <c r="H41" s="276"/>
      <c r="I41" s="277">
        <v>50</v>
      </c>
      <c r="J41" s="276"/>
      <c r="K41" s="277">
        <v>35</v>
      </c>
      <c r="L41" s="304"/>
      <c r="M41" s="305">
        <v>75</v>
      </c>
      <c r="N41" s="304"/>
      <c r="O41" s="305">
        <v>55</v>
      </c>
      <c r="P41" s="304"/>
      <c r="Q41" s="305">
        <v>49</v>
      </c>
      <c r="R41" s="304"/>
      <c r="S41" s="305">
        <v>45</v>
      </c>
      <c r="T41" s="304"/>
      <c r="U41" s="305">
        <v>45</v>
      </c>
      <c r="V41" s="304"/>
      <c r="W41" s="305">
        <v>150</v>
      </c>
      <c r="X41" s="304">
        <v>100</v>
      </c>
      <c r="Y41" s="305">
        <v>150</v>
      </c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654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260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354</v>
      </c>
      <c r="C45" s="68" t="s">
        <v>31</v>
      </c>
      <c r="D45" s="243">
        <v>10.187516244127446</v>
      </c>
      <c r="E45" s="243">
        <v>1050</v>
      </c>
      <c r="F45" s="244">
        <f>P!AJ47</f>
        <v>1500</v>
      </c>
      <c r="G45" s="244">
        <f t="shared" si="3"/>
        <v>2550</v>
      </c>
      <c r="H45" s="276"/>
      <c r="I45" s="277">
        <v>63</v>
      </c>
      <c r="J45" s="276"/>
      <c r="K45" s="277">
        <v>63</v>
      </c>
      <c r="L45" s="304"/>
      <c r="M45" s="305">
        <v>46</v>
      </c>
      <c r="N45" s="304"/>
      <c r="O45" s="305">
        <v>48</v>
      </c>
      <c r="P45" s="304"/>
      <c r="Q45" s="305">
        <v>36</v>
      </c>
      <c r="R45" s="304"/>
      <c r="S45" s="305">
        <v>45</v>
      </c>
      <c r="T45" s="304"/>
      <c r="U45" s="305"/>
      <c r="V45" s="304">
        <v>1000</v>
      </c>
      <c r="W45" s="305">
        <v>1250</v>
      </c>
      <c r="X45" s="304"/>
      <c r="Y45" s="305">
        <v>120</v>
      </c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1671</v>
      </c>
      <c r="AO45" s="252">
        <f>P!AK47</f>
        <v>10</v>
      </c>
      <c r="AP45" s="253">
        <f t="shared" si="5"/>
        <v>879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4.1449856530953326</v>
      </c>
      <c r="E46" s="243">
        <v>17</v>
      </c>
      <c r="F46" s="244">
        <f>P!AJ48</f>
        <v>0</v>
      </c>
      <c r="G46" s="244">
        <f t="shared" si="3"/>
        <v>17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4.1449856530953326</v>
      </c>
      <c r="AP46" s="253">
        <f t="shared" si="5"/>
        <v>17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0</v>
      </c>
      <c r="F50" s="244">
        <f>P!AJ52</f>
        <v>4</v>
      </c>
      <c r="G50" s="244">
        <f t="shared" si="3"/>
        <v>4</v>
      </c>
      <c r="H50" s="276"/>
      <c r="I50" s="277"/>
      <c r="J50" s="276"/>
      <c r="K50" s="277"/>
      <c r="L50" s="304">
        <v>2</v>
      </c>
      <c r="M50" s="305"/>
      <c r="N50" s="304"/>
      <c r="O50" s="305"/>
      <c r="P50" s="304"/>
      <c r="Q50" s="305"/>
      <c r="R50" s="304"/>
      <c r="S50" s="305"/>
      <c r="T50" s="304"/>
      <c r="U50" s="305"/>
      <c r="V50" s="304">
        <v>2</v>
      </c>
      <c r="W50" s="305">
        <v>2</v>
      </c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2</v>
      </c>
      <c r="AO50" s="252">
        <f>P!AK52</f>
        <v>60</v>
      </c>
      <c r="AP50" s="253">
        <f t="shared" si="5"/>
        <v>2</v>
      </c>
      <c r="AQ50" s="70" t="str">
        <f t="shared" si="6"/>
        <v xml:space="preserve"> 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1.3910490121974715</v>
      </c>
      <c r="E54" s="243">
        <v>50</v>
      </c>
      <c r="F54" s="244">
        <f>P!AJ56</f>
        <v>100</v>
      </c>
      <c r="G54" s="244">
        <f t="shared" si="3"/>
        <v>150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>
        <v>100</v>
      </c>
      <c r="S54" s="305">
        <v>100</v>
      </c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100</v>
      </c>
      <c r="AO54" s="252">
        <f>P!AK56</f>
        <v>0.8</v>
      </c>
      <c r="AP54" s="253">
        <f t="shared" si="5"/>
        <v>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0.25015670152183977</v>
      </c>
      <c r="E55" s="243">
        <v>94</v>
      </c>
      <c r="F55" s="244">
        <f>P!AJ57</f>
        <v>100</v>
      </c>
      <c r="G55" s="244">
        <f t="shared" si="3"/>
        <v>194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>
        <v>100</v>
      </c>
      <c r="S55" s="305">
        <v>100</v>
      </c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100</v>
      </c>
      <c r="AO55" s="252">
        <f>P!AK57</f>
        <v>0.25</v>
      </c>
      <c r="AP55" s="253">
        <f t="shared" si="5"/>
        <v>94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4</v>
      </c>
      <c r="F56" s="244">
        <f>P!AJ58</f>
        <v>54</v>
      </c>
      <c r="G56" s="244">
        <f t="shared" si="3"/>
        <v>58</v>
      </c>
      <c r="H56" s="276">
        <v>4</v>
      </c>
      <c r="I56" s="277">
        <v>4</v>
      </c>
      <c r="J56" s="276">
        <v>4</v>
      </c>
      <c r="K56" s="277">
        <v>4</v>
      </c>
      <c r="L56" s="304">
        <v>10</v>
      </c>
      <c r="M56" s="305">
        <v>10</v>
      </c>
      <c r="N56" s="304">
        <v>4</v>
      </c>
      <c r="O56" s="305">
        <v>6</v>
      </c>
      <c r="P56" s="304">
        <v>4</v>
      </c>
      <c r="Q56" s="305">
        <v>3</v>
      </c>
      <c r="R56" s="304">
        <v>6</v>
      </c>
      <c r="S56" s="305">
        <v>4</v>
      </c>
      <c r="T56" s="304">
        <v>6</v>
      </c>
      <c r="U56" s="305">
        <v>6</v>
      </c>
      <c r="V56" s="304">
        <v>12</v>
      </c>
      <c r="W56" s="305">
        <v>12</v>
      </c>
      <c r="X56" s="304">
        <v>8</v>
      </c>
      <c r="Y56" s="305">
        <v>3</v>
      </c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52</v>
      </c>
      <c r="AO56" s="252">
        <f>P!AK58</f>
        <v>20</v>
      </c>
      <c r="AP56" s="253">
        <f t="shared" si="5"/>
        <v>6</v>
      </c>
      <c r="AQ56" s="70" t="str">
        <f t="shared" si="6"/>
        <v xml:space="preserve"> 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0.5</v>
      </c>
      <c r="F57" s="244">
        <f>P!AJ59</f>
        <v>0</v>
      </c>
      <c r="G57" s="244">
        <f t="shared" si="3"/>
        <v>0.5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1080</v>
      </c>
      <c r="AP57" s="253">
        <f t="shared" si="5"/>
        <v>0.5</v>
      </c>
      <c r="AQ57" s="70" t="str">
        <f t="shared" si="6"/>
        <v>NZ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0</v>
      </c>
      <c r="G58" s="244">
        <f t="shared" si="3"/>
        <v>0</v>
      </c>
      <c r="H58" s="276">
        <v>1</v>
      </c>
      <c r="I58" s="277"/>
      <c r="J58" s="276">
        <v>2</v>
      </c>
      <c r="K58" s="277"/>
      <c r="L58" s="304">
        <v>3</v>
      </c>
      <c r="M58" s="305"/>
      <c r="N58" s="304">
        <v>1</v>
      </c>
      <c r="O58" s="305"/>
      <c r="P58" s="304">
        <v>2</v>
      </c>
      <c r="Q58" s="305"/>
      <c r="R58" s="304">
        <v>2</v>
      </c>
      <c r="S58" s="305"/>
      <c r="T58" s="304">
        <v>2</v>
      </c>
      <c r="U58" s="305"/>
      <c r="V58" s="304">
        <v>4</v>
      </c>
      <c r="W58" s="305"/>
      <c r="X58" s="304">
        <v>3</v>
      </c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267.55555555555554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117.69230769230769</v>
      </c>
      <c r="E60" s="243">
        <v>4</v>
      </c>
      <c r="F60" s="244">
        <f>P!AJ62</f>
        <v>15</v>
      </c>
      <c r="G60" s="244">
        <f t="shared" si="3"/>
        <v>19</v>
      </c>
      <c r="H60" s="276">
        <v>1</v>
      </c>
      <c r="I60" s="277">
        <v>1</v>
      </c>
      <c r="J60" s="276">
        <v>2</v>
      </c>
      <c r="K60" s="277">
        <v>2</v>
      </c>
      <c r="L60" s="304">
        <v>2</v>
      </c>
      <c r="M60" s="305"/>
      <c r="N60" s="304">
        <v>2</v>
      </c>
      <c r="O60" s="305">
        <v>2</v>
      </c>
      <c r="P60" s="304">
        <v>2</v>
      </c>
      <c r="Q60" s="305">
        <v>2</v>
      </c>
      <c r="R60" s="304">
        <v>3</v>
      </c>
      <c r="S60" s="305">
        <v>3</v>
      </c>
      <c r="T60" s="304">
        <v>2</v>
      </c>
      <c r="U60" s="305">
        <v>2</v>
      </c>
      <c r="V60" s="304">
        <v>2</v>
      </c>
      <c r="W60" s="305">
        <v>2</v>
      </c>
      <c r="X60" s="304">
        <v>2</v>
      </c>
      <c r="Y60" s="305">
        <v>3</v>
      </c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17</v>
      </c>
      <c r="AO60" s="252">
        <f>P!AK62</f>
        <v>110</v>
      </c>
      <c r="AP60" s="253">
        <f t="shared" si="5"/>
        <v>2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628.68804664723029</v>
      </c>
      <c r="E61" s="243">
        <v>0.30000000000000027</v>
      </c>
      <c r="F61" s="244">
        <f>P!AJ63</f>
        <v>3</v>
      </c>
      <c r="G61" s="244">
        <f t="shared" si="3"/>
        <v>3.3000000000000003</v>
      </c>
      <c r="H61" s="276">
        <v>0.2</v>
      </c>
      <c r="I61" s="277">
        <v>0.2</v>
      </c>
      <c r="J61" s="276">
        <v>0.3</v>
      </c>
      <c r="K61" s="277">
        <v>0.4</v>
      </c>
      <c r="L61" s="304">
        <v>0.5</v>
      </c>
      <c r="M61" s="305"/>
      <c r="N61" s="304">
        <v>0.2</v>
      </c>
      <c r="O61" s="305">
        <v>0.2</v>
      </c>
      <c r="P61" s="304">
        <v>0.2</v>
      </c>
      <c r="Q61" s="305">
        <v>0.5</v>
      </c>
      <c r="R61" s="304">
        <v>0.2</v>
      </c>
      <c r="S61" s="305">
        <v>0.5</v>
      </c>
      <c r="T61" s="304">
        <v>0.3</v>
      </c>
      <c r="U61" s="305">
        <v>0.3</v>
      </c>
      <c r="V61" s="304">
        <v>0.5</v>
      </c>
      <c r="W61" s="305">
        <v>0.5</v>
      </c>
      <c r="X61" s="304">
        <v>0.5</v>
      </c>
      <c r="Y61" s="305">
        <v>0.5</v>
      </c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3.1</v>
      </c>
      <c r="AO61" s="252">
        <f>P!AK63</f>
        <v>640</v>
      </c>
      <c r="AP61" s="253">
        <f t="shared" si="5"/>
        <v>0.20000000000000018</v>
      </c>
      <c r="AQ61" s="70" t="str">
        <f t="shared" si="6"/>
        <v>NZ</v>
      </c>
    </row>
    <row r="62" spans="1:43">
      <c r="A62" s="68">
        <v>60</v>
      </c>
      <c r="B62" s="92" t="s">
        <v>71</v>
      </c>
      <c r="C62" s="68" t="s">
        <v>9</v>
      </c>
      <c r="D62" s="243">
        <v>711.20707143892196</v>
      </c>
      <c r="E62" s="243">
        <v>0.25000000000000089</v>
      </c>
      <c r="F62" s="244">
        <f>P!AJ64</f>
        <v>3.5</v>
      </c>
      <c r="G62" s="244">
        <f t="shared" si="3"/>
        <v>3.7500000000000009</v>
      </c>
      <c r="H62" s="276">
        <v>0.3</v>
      </c>
      <c r="I62" s="277">
        <v>0.3</v>
      </c>
      <c r="J62" s="276">
        <v>0.4</v>
      </c>
      <c r="K62" s="277">
        <v>0.3</v>
      </c>
      <c r="L62" s="304">
        <v>1</v>
      </c>
      <c r="M62" s="305"/>
      <c r="N62" s="304">
        <v>0.3</v>
      </c>
      <c r="O62" s="305">
        <v>0.3</v>
      </c>
      <c r="P62" s="304">
        <v>0.3</v>
      </c>
      <c r="Q62" s="305">
        <v>0.3</v>
      </c>
      <c r="R62" s="304">
        <v>0.3</v>
      </c>
      <c r="S62" s="305">
        <v>0.3</v>
      </c>
      <c r="T62" s="304">
        <v>0.4</v>
      </c>
      <c r="U62" s="305">
        <v>0.4</v>
      </c>
      <c r="V62" s="304">
        <v>1</v>
      </c>
      <c r="W62" s="305">
        <v>0.5</v>
      </c>
      <c r="X62" s="304">
        <v>0.5</v>
      </c>
      <c r="Y62" s="305">
        <v>0.5</v>
      </c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2.9</v>
      </c>
      <c r="AO62" s="252">
        <f>P!AK64</f>
        <v>651.42857142857144</v>
      </c>
      <c r="AP62" s="253">
        <f t="shared" si="5"/>
        <v>0.85000000000000098</v>
      </c>
      <c r="AQ62" s="70" t="str">
        <f t="shared" si="6"/>
        <v>NZ</v>
      </c>
    </row>
    <row r="63" spans="1:43">
      <c r="A63" s="68">
        <v>61</v>
      </c>
      <c r="B63" s="92" t="s">
        <v>72</v>
      </c>
      <c r="C63" s="68" t="s">
        <v>9</v>
      </c>
      <c r="D63" s="243">
        <v>353.0612244897959</v>
      </c>
      <c r="E63" s="243">
        <v>0.49999999999999994</v>
      </c>
      <c r="F63" s="244">
        <f>P!AJ65</f>
        <v>0.1</v>
      </c>
      <c r="G63" s="244">
        <f t="shared" si="3"/>
        <v>0.6</v>
      </c>
      <c r="H63" s="276"/>
      <c r="I63" s="277"/>
      <c r="J63" s="276"/>
      <c r="K63" s="277"/>
      <c r="L63" s="304">
        <v>0.1</v>
      </c>
      <c r="M63" s="305"/>
      <c r="N63" s="304"/>
      <c r="O63" s="305"/>
      <c r="P63" s="304"/>
      <c r="Q63" s="305"/>
      <c r="R63" s="304"/>
      <c r="S63" s="305"/>
      <c r="T63" s="304"/>
      <c r="U63" s="305">
        <v>0.1</v>
      </c>
      <c r="V63" s="304"/>
      <c r="W63" s="305">
        <v>0.2</v>
      </c>
      <c r="X63" s="304"/>
      <c r="Y63" s="305">
        <v>0.3</v>
      </c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0.60000000000000009</v>
      </c>
      <c r="AO63" s="252">
        <f>P!AK65</f>
        <v>400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852.33887733887741</v>
      </c>
      <c r="E65" s="243">
        <v>0</v>
      </c>
      <c r="F65" s="244">
        <f>P!AJ67</f>
        <v>0.9</v>
      </c>
      <c r="G65" s="244">
        <f t="shared" si="3"/>
        <v>0.9</v>
      </c>
      <c r="H65" s="276">
        <v>0.1</v>
      </c>
      <c r="I65" s="277">
        <v>0.1</v>
      </c>
      <c r="J65" s="276">
        <v>0.05</v>
      </c>
      <c r="K65" s="277">
        <v>0.1</v>
      </c>
      <c r="L65" s="304">
        <v>0.3</v>
      </c>
      <c r="M65" s="305"/>
      <c r="N65" s="304">
        <v>0.1</v>
      </c>
      <c r="O65" s="305">
        <v>0.2</v>
      </c>
      <c r="P65" s="304">
        <v>0.1</v>
      </c>
      <c r="Q65" s="305">
        <v>0.1</v>
      </c>
      <c r="R65" s="304">
        <v>0.1</v>
      </c>
      <c r="S65" s="305">
        <v>0.3</v>
      </c>
      <c r="T65" s="304">
        <v>0.1</v>
      </c>
      <c r="U65" s="305"/>
      <c r="V65" s="304">
        <v>0.2</v>
      </c>
      <c r="W65" s="305"/>
      <c r="X65" s="304">
        <v>0.1</v>
      </c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0.8</v>
      </c>
      <c r="AO65" s="252">
        <f>P!AK67</f>
        <v>872.22222222222217</v>
      </c>
      <c r="AP65" s="253">
        <f>G65-AN65</f>
        <v>9.9999999999999978E-2</v>
      </c>
      <c r="AQ65" s="70" t="str">
        <f>IF(AND(AP65&gt;=0, AP65&lt;1),IF(AP65=0,"০","NZ")," ")</f>
        <v>NZ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1</v>
      </c>
      <c r="F66" s="244">
        <f>P!AJ68</f>
        <v>4</v>
      </c>
      <c r="G66" s="244">
        <f t="shared" si="3"/>
        <v>5</v>
      </c>
      <c r="H66" s="276"/>
      <c r="I66" s="277"/>
      <c r="J66" s="276"/>
      <c r="K66" s="277"/>
      <c r="L66" s="304">
        <v>2</v>
      </c>
      <c r="M66" s="305"/>
      <c r="N66" s="304"/>
      <c r="O66" s="305"/>
      <c r="P66" s="304"/>
      <c r="Q66" s="305"/>
      <c r="R66" s="304"/>
      <c r="S66" s="305"/>
      <c r="T66" s="304"/>
      <c r="U66" s="305"/>
      <c r="V66" s="304">
        <v>5</v>
      </c>
      <c r="W66" s="305">
        <v>5</v>
      </c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5</v>
      </c>
      <c r="AO66" s="252">
        <f>P!AK68</f>
        <v>18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1</v>
      </c>
      <c r="F67" s="244">
        <f>P!AJ69</f>
        <v>4</v>
      </c>
      <c r="G67" s="244">
        <f t="shared" si="3"/>
        <v>5</v>
      </c>
      <c r="H67" s="276"/>
      <c r="I67" s="277"/>
      <c r="J67" s="276"/>
      <c r="K67" s="277"/>
      <c r="L67" s="304">
        <v>2</v>
      </c>
      <c r="M67" s="305"/>
      <c r="N67" s="304"/>
      <c r="O67" s="305"/>
      <c r="P67" s="304"/>
      <c r="Q67" s="305"/>
      <c r="R67" s="304"/>
      <c r="S67" s="305"/>
      <c r="T67" s="304"/>
      <c r="U67" s="305"/>
      <c r="V67" s="304">
        <v>5</v>
      </c>
      <c r="W67" s="305">
        <v>5</v>
      </c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5</v>
      </c>
      <c r="AO67" s="252">
        <f>P!AK69</f>
        <v>18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>
        <v>5784.346056623458</v>
      </c>
      <c r="E68" s="243">
        <v>7.8714285709999721E-2</v>
      </c>
      <c r="F68" s="244">
        <f>P!AJ70</f>
        <v>0.39999999999999997</v>
      </c>
      <c r="G68" s="244">
        <f t="shared" ref="G68:G133" si="8">E68+F68</f>
        <v>0.47871428570999969</v>
      </c>
      <c r="H68" s="276">
        <v>2.5000000000000001E-2</v>
      </c>
      <c r="I68" s="277">
        <v>0.02</v>
      </c>
      <c r="J68" s="276">
        <v>0.02</v>
      </c>
      <c r="K68" s="277">
        <v>0</v>
      </c>
      <c r="L68" s="304">
        <v>0.1</v>
      </c>
      <c r="M68" s="305">
        <v>0.2</v>
      </c>
      <c r="N68" s="304">
        <v>2.5000000000000001E-2</v>
      </c>
      <c r="O68" s="305">
        <v>3.5000000000000003E-2</v>
      </c>
      <c r="P68" s="304">
        <v>2.5000000000000001E-2</v>
      </c>
      <c r="Q68" s="305">
        <v>1.4999999999999999E-2</v>
      </c>
      <c r="R68" s="304">
        <v>0.03</v>
      </c>
      <c r="S68" s="305">
        <v>0.02</v>
      </c>
      <c r="T68" s="304">
        <v>0.1</v>
      </c>
      <c r="U68" s="305">
        <v>0.02</v>
      </c>
      <c r="V68" s="304">
        <v>0.1</v>
      </c>
      <c r="W68" s="305">
        <v>0.1</v>
      </c>
      <c r="X68" s="304">
        <v>0.05</v>
      </c>
      <c r="Y68" s="305">
        <v>0.05</v>
      </c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0.46</v>
      </c>
      <c r="AO68" s="252">
        <f>P!AK70</f>
        <v>5750.0000000000009</v>
      </c>
      <c r="AP68" s="253">
        <f t="shared" si="7"/>
        <v>1.8714285709999667E-2</v>
      </c>
      <c r="AQ68" s="70" t="str">
        <f t="shared" ref="AQ68:AQ131" si="10">IF(AND(AP68&gt;=0, AP68&lt;1),IF(AP68=0,"০","NZ")," ")</f>
        <v>NZ</v>
      </c>
    </row>
    <row r="69" spans="1:44">
      <c r="A69" s="68">
        <v>67</v>
      </c>
      <c r="B69" s="92" t="s">
        <v>78</v>
      </c>
      <c r="C69" s="68" t="s">
        <v>9</v>
      </c>
      <c r="D69" s="243">
        <v>592.19044853947457</v>
      </c>
      <c r="E69" s="243">
        <v>0.369999999999999</v>
      </c>
      <c r="F69" s="244">
        <f>P!AJ71</f>
        <v>0.8</v>
      </c>
      <c r="G69" s="244">
        <f t="shared" si="8"/>
        <v>1.169999999999999</v>
      </c>
      <c r="H69" s="276">
        <v>0.05</v>
      </c>
      <c r="I69" s="277">
        <v>0.09</v>
      </c>
      <c r="J69" s="276">
        <v>0.05</v>
      </c>
      <c r="K69" s="277">
        <v>0.05</v>
      </c>
      <c r="L69" s="304">
        <v>0.2</v>
      </c>
      <c r="M69" s="305">
        <v>0.2</v>
      </c>
      <c r="N69" s="304">
        <v>0.05</v>
      </c>
      <c r="O69" s="305">
        <v>0.05</v>
      </c>
      <c r="P69" s="304">
        <v>0.05</v>
      </c>
      <c r="Q69" s="305">
        <v>0.04</v>
      </c>
      <c r="R69" s="304">
        <v>0.1</v>
      </c>
      <c r="S69" s="305">
        <v>0.06</v>
      </c>
      <c r="T69" s="304">
        <v>0.05</v>
      </c>
      <c r="U69" s="305">
        <v>0.05</v>
      </c>
      <c r="V69" s="304">
        <v>0.3</v>
      </c>
      <c r="W69" s="305">
        <v>0.3</v>
      </c>
      <c r="X69" s="304">
        <v>0.1</v>
      </c>
      <c r="Y69" s="305">
        <v>0.1</v>
      </c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0.94000000000000006</v>
      </c>
      <c r="AO69" s="252">
        <f>P!AK71</f>
        <v>600</v>
      </c>
      <c r="AP69" s="253">
        <f t="shared" si="7"/>
        <v>0.22999999999999898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1823.8095238095236</v>
      </c>
      <c r="E70" s="243">
        <v>3.999999999999998E-2</v>
      </c>
      <c r="F70" s="244">
        <f>P!AJ72</f>
        <v>0.2</v>
      </c>
      <c r="G70" s="244">
        <f t="shared" si="8"/>
        <v>0.24</v>
      </c>
      <c r="H70" s="276">
        <v>0.01</v>
      </c>
      <c r="I70" s="277">
        <v>0.01</v>
      </c>
      <c r="J70" s="276">
        <v>0.01</v>
      </c>
      <c r="K70" s="277">
        <v>0.01</v>
      </c>
      <c r="L70" s="304">
        <v>0.05</v>
      </c>
      <c r="M70" s="305"/>
      <c r="N70" s="304">
        <v>0.02</v>
      </c>
      <c r="O70" s="305">
        <v>0.03</v>
      </c>
      <c r="P70" s="304">
        <v>0.01</v>
      </c>
      <c r="Q70" s="305">
        <v>0.01</v>
      </c>
      <c r="R70" s="304">
        <v>2.5000000000000001E-2</v>
      </c>
      <c r="S70" s="305">
        <v>0.01</v>
      </c>
      <c r="T70" s="304">
        <v>0.01</v>
      </c>
      <c r="U70" s="305">
        <v>0.01</v>
      </c>
      <c r="V70" s="304">
        <v>0.05</v>
      </c>
      <c r="W70" s="305">
        <v>0.15999999999999998</v>
      </c>
      <c r="X70" s="304">
        <v>0.02</v>
      </c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0.24</v>
      </c>
      <c r="AO70" s="252">
        <f>P!AK72</f>
        <v>1825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>
        <v>8.125</v>
      </c>
      <c r="E71" s="243">
        <v>0</v>
      </c>
      <c r="F71" s="244">
        <f>P!AJ73</f>
        <v>17</v>
      </c>
      <c r="G71" s="244">
        <f t="shared" si="8"/>
        <v>17</v>
      </c>
      <c r="H71" s="276"/>
      <c r="I71" s="277"/>
      <c r="J71" s="276">
        <v>2</v>
      </c>
      <c r="K71" s="277">
        <v>2</v>
      </c>
      <c r="L71" s="304">
        <v>12</v>
      </c>
      <c r="M71" s="305">
        <v>12</v>
      </c>
      <c r="N71" s="304"/>
      <c r="O71" s="305"/>
      <c r="P71" s="304"/>
      <c r="Q71" s="305"/>
      <c r="R71" s="304"/>
      <c r="S71" s="305"/>
      <c r="T71" s="304"/>
      <c r="U71" s="305"/>
      <c r="V71" s="304">
        <v>2</v>
      </c>
      <c r="W71" s="305">
        <v>2</v>
      </c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16</v>
      </c>
      <c r="AO71" s="252">
        <f>P!AK73</f>
        <v>8</v>
      </c>
      <c r="AP71" s="253">
        <f t="shared" si="7"/>
        <v>1</v>
      </c>
      <c r="AQ71" s="70" t="str">
        <f t="shared" si="10"/>
        <v xml:space="preserve"> 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822.16050961447365</v>
      </c>
      <c r="E72" s="243">
        <v>0.10000000000000142</v>
      </c>
      <c r="F72" s="244">
        <f>P!AJ74</f>
        <v>1.2</v>
      </c>
      <c r="G72" s="244">
        <f t="shared" si="8"/>
        <v>1.3000000000000014</v>
      </c>
      <c r="H72" s="276"/>
      <c r="I72" s="277"/>
      <c r="J72" s="276"/>
      <c r="K72" s="277"/>
      <c r="L72" s="304">
        <v>0.7</v>
      </c>
      <c r="M72" s="305">
        <v>0.7</v>
      </c>
      <c r="N72" s="304"/>
      <c r="O72" s="305"/>
      <c r="P72" s="304"/>
      <c r="Q72" s="305"/>
      <c r="R72" s="304"/>
      <c r="S72" s="305"/>
      <c r="T72" s="304"/>
      <c r="U72" s="305"/>
      <c r="V72" s="304">
        <v>0.5</v>
      </c>
      <c r="W72" s="305">
        <v>0.5</v>
      </c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1.2</v>
      </c>
      <c r="AO72" s="252">
        <f>P!AK74</f>
        <v>845.83333333333337</v>
      </c>
      <c r="AP72" s="253">
        <f t="shared" si="7"/>
        <v>0.10000000000000142</v>
      </c>
      <c r="AQ72" s="70" t="str">
        <f t="shared" si="10"/>
        <v>NZ</v>
      </c>
    </row>
    <row r="73" spans="1:44">
      <c r="A73" s="68">
        <v>71</v>
      </c>
      <c r="B73" s="92" t="s">
        <v>82</v>
      </c>
      <c r="C73" s="68" t="s">
        <v>9</v>
      </c>
      <c r="D73" s="243">
        <v>679.67560410460112</v>
      </c>
      <c r="E73" s="243">
        <v>0.10000000000000053</v>
      </c>
      <c r="F73" s="244">
        <f>P!AJ75</f>
        <v>1.2</v>
      </c>
      <c r="G73" s="244">
        <f t="shared" si="8"/>
        <v>1.3000000000000005</v>
      </c>
      <c r="H73" s="276"/>
      <c r="I73" s="277"/>
      <c r="J73" s="276"/>
      <c r="K73" s="277"/>
      <c r="L73" s="304">
        <v>0.7</v>
      </c>
      <c r="M73" s="305">
        <v>0.7</v>
      </c>
      <c r="N73" s="304"/>
      <c r="O73" s="305"/>
      <c r="P73" s="304"/>
      <c r="Q73" s="305"/>
      <c r="R73" s="304"/>
      <c r="S73" s="305"/>
      <c r="T73" s="304"/>
      <c r="U73" s="305"/>
      <c r="V73" s="304">
        <v>0.5</v>
      </c>
      <c r="W73" s="305">
        <v>0.5</v>
      </c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1.2</v>
      </c>
      <c r="AO73" s="252">
        <f>P!AK75</f>
        <v>680</v>
      </c>
      <c r="AP73" s="253">
        <f t="shared" si="7"/>
        <v>0.10000000000000053</v>
      </c>
      <c r="AQ73" s="70" t="str">
        <f t="shared" si="10"/>
        <v>NZ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280</v>
      </c>
      <c r="C75" s="68" t="s">
        <v>9</v>
      </c>
      <c r="D75" s="243">
        <v>1707.3889265897569</v>
      </c>
      <c r="E75" s="243">
        <v>0.35000000000000053</v>
      </c>
      <c r="F75" s="244">
        <f>P!AJ77</f>
        <v>7.4</v>
      </c>
      <c r="G75" s="244">
        <f t="shared" si="8"/>
        <v>7.7500000000000009</v>
      </c>
      <c r="H75" s="276"/>
      <c r="I75" s="277"/>
      <c r="J75" s="276">
        <v>0.4</v>
      </c>
      <c r="K75" s="277">
        <v>4</v>
      </c>
      <c r="L75" s="304">
        <v>2</v>
      </c>
      <c r="M75" s="305"/>
      <c r="N75" s="304">
        <v>0.3</v>
      </c>
      <c r="O75" s="305">
        <v>0.4</v>
      </c>
      <c r="P75" s="304"/>
      <c r="Q75" s="305"/>
      <c r="R75" s="304">
        <v>0.25</v>
      </c>
      <c r="S75" s="305">
        <v>0.25</v>
      </c>
      <c r="T75" s="304"/>
      <c r="U75" s="305"/>
      <c r="V75" s="304">
        <v>2</v>
      </c>
      <c r="W75" s="305">
        <v>2</v>
      </c>
      <c r="X75" s="304">
        <v>0.5</v>
      </c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6.65</v>
      </c>
      <c r="AO75" s="252">
        <f>P!AK77</f>
        <v>1605.4054054054054</v>
      </c>
      <c r="AP75" s="253">
        <f t="shared" si="7"/>
        <v>1.1000000000000005</v>
      </c>
      <c r="AQ75" s="70" t="str">
        <f t="shared" si="10"/>
        <v xml:space="preserve"> 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3574.2124229492838</v>
      </c>
      <c r="E77" s="243">
        <v>0</v>
      </c>
      <c r="F77" s="244">
        <f>P!AJ79</f>
        <v>7.5000000000000011E-2</v>
      </c>
      <c r="G77" s="244">
        <f t="shared" si="8"/>
        <v>7.5000000000000011E-2</v>
      </c>
      <c r="H77" s="276"/>
      <c r="I77" s="277"/>
      <c r="J77" s="276">
        <v>0.02</v>
      </c>
      <c r="K77" s="277">
        <v>0.02</v>
      </c>
      <c r="L77" s="304">
        <v>2.5000000000000001E-2</v>
      </c>
      <c r="M77" s="305"/>
      <c r="N77" s="304"/>
      <c r="O77" s="305"/>
      <c r="P77" s="304"/>
      <c r="Q77" s="305"/>
      <c r="R77" s="304"/>
      <c r="S77" s="305"/>
      <c r="T77" s="304"/>
      <c r="U77" s="305"/>
      <c r="V77" s="304">
        <v>0.05</v>
      </c>
      <c r="W77" s="305">
        <v>0.05</v>
      </c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7.0000000000000007E-2</v>
      </c>
      <c r="AO77" s="252">
        <f>P!AK79</f>
        <v>3599.9999999999995</v>
      </c>
      <c r="AP77" s="254">
        <f t="shared" si="7"/>
        <v>5.0000000000000044E-3</v>
      </c>
      <c r="AQ77" s="70" t="str">
        <f t="shared" si="10"/>
        <v>NZ</v>
      </c>
    </row>
    <row r="78" spans="1:44">
      <c r="A78" s="68">
        <v>76</v>
      </c>
      <c r="B78" s="92" t="s">
        <v>86</v>
      </c>
      <c r="C78" s="68" t="s">
        <v>9</v>
      </c>
      <c r="D78" s="243">
        <v>533.90756302521004</v>
      </c>
      <c r="E78" s="243">
        <v>3.999999999999998E-2</v>
      </c>
      <c r="F78" s="244">
        <f>P!AJ80</f>
        <v>0.30000000000000004</v>
      </c>
      <c r="G78" s="244">
        <f t="shared" si="8"/>
        <v>0.34</v>
      </c>
      <c r="H78" s="276">
        <v>0.05</v>
      </c>
      <c r="I78" s="277">
        <v>0.05</v>
      </c>
      <c r="J78" s="276">
        <v>0.1</v>
      </c>
      <c r="K78" s="277">
        <v>0.02</v>
      </c>
      <c r="L78" s="304">
        <v>0.1</v>
      </c>
      <c r="M78" s="305"/>
      <c r="N78" s="304">
        <v>0.05</v>
      </c>
      <c r="O78" s="305"/>
      <c r="P78" s="304">
        <v>0.1</v>
      </c>
      <c r="Q78" s="305">
        <v>0.15</v>
      </c>
      <c r="R78" s="304">
        <v>0.1</v>
      </c>
      <c r="S78" s="305">
        <v>0.05</v>
      </c>
      <c r="T78" s="304">
        <v>0.1</v>
      </c>
      <c r="U78" s="305"/>
      <c r="V78" s="304">
        <v>0.1</v>
      </c>
      <c r="W78" s="305"/>
      <c r="X78" s="304">
        <v>0.1</v>
      </c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0.27</v>
      </c>
      <c r="AO78" s="252">
        <f>P!AK80</f>
        <v>599.99999999999989</v>
      </c>
      <c r="AP78" s="253">
        <f t="shared" si="7"/>
        <v>7.0000000000000007E-2</v>
      </c>
      <c r="AQ78" s="70" t="str">
        <f>IF(AND(AP78&gt;=0, AP78&lt;1),IF(AP78=0,"০","NZ")," ")</f>
        <v>NZ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400</v>
      </c>
      <c r="AP79" s="253">
        <f t="shared" si="7"/>
        <v>5.0000000000000044E-3</v>
      </c>
      <c r="AQ79" s="70" t="str">
        <f t="shared" si="10"/>
        <v>NZ</v>
      </c>
    </row>
    <row r="80" spans="1:44">
      <c r="A80" s="68">
        <v>78</v>
      </c>
      <c r="B80" s="92" t="s">
        <v>88</v>
      </c>
      <c r="C80" s="68" t="s">
        <v>9</v>
      </c>
      <c r="D80" s="243">
        <v>179.99994755267818</v>
      </c>
      <c r="E80" s="243">
        <v>4.9999999999998934E-2</v>
      </c>
      <c r="F80" s="244">
        <f>P!AJ82</f>
        <v>7</v>
      </c>
      <c r="G80" s="244">
        <f t="shared" si="8"/>
        <v>7.0499999999999989</v>
      </c>
      <c r="H80" s="276">
        <v>0.5</v>
      </c>
      <c r="I80" s="277">
        <v>0.5</v>
      </c>
      <c r="J80" s="276">
        <v>1</v>
      </c>
      <c r="K80" s="277">
        <v>0.7</v>
      </c>
      <c r="L80" s="304">
        <v>2.5</v>
      </c>
      <c r="M80" s="305">
        <v>2.3499999999999988</v>
      </c>
      <c r="N80" s="304">
        <v>0.5</v>
      </c>
      <c r="O80" s="305"/>
      <c r="P80" s="304">
        <v>1</v>
      </c>
      <c r="Q80" s="305">
        <v>0.5</v>
      </c>
      <c r="R80" s="304">
        <v>1</v>
      </c>
      <c r="S80" s="305">
        <v>0.5</v>
      </c>
      <c r="T80" s="304">
        <v>1</v>
      </c>
      <c r="U80" s="305">
        <v>0.5</v>
      </c>
      <c r="V80" s="304">
        <v>1</v>
      </c>
      <c r="W80" s="305">
        <v>1</v>
      </c>
      <c r="X80" s="304">
        <v>1</v>
      </c>
      <c r="Y80" s="305">
        <v>1</v>
      </c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7.0499999999999989</v>
      </c>
      <c r="AO80" s="252">
        <f>P!AK82</f>
        <v>177.14285714285714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261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230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2811.8032786885246</v>
      </c>
      <c r="E84" s="243">
        <v>1.9999999999999934E-2</v>
      </c>
      <c r="F84" s="244">
        <f>P!AJ86</f>
        <v>0</v>
      </c>
      <c r="G84" s="244">
        <f t="shared" si="8"/>
        <v>1.9999999999999934E-2</v>
      </c>
      <c r="H84" s="276"/>
      <c r="I84" s="277"/>
      <c r="J84" s="276"/>
      <c r="K84" s="277"/>
      <c r="L84" s="304" t="s">
        <v>308</v>
      </c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2811.8032786885246</v>
      </c>
      <c r="AP84" s="253">
        <f t="shared" si="7"/>
        <v>1.9999999999999934E-2</v>
      </c>
      <c r="AQ84" s="70" t="str">
        <f t="shared" si="10"/>
        <v>NZ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0</v>
      </c>
      <c r="G85" s="244">
        <f t="shared" si="8"/>
        <v>4.9999999999999989E-2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202</v>
      </c>
      <c r="AP85" s="253">
        <f t="shared" si="7"/>
        <v>4.9999999999999989E-2</v>
      </c>
      <c r="AQ85" s="70" t="str">
        <f t="shared" si="10"/>
        <v>NZ</v>
      </c>
    </row>
    <row r="86" spans="1:43">
      <c r="A86" s="68">
        <v>84</v>
      </c>
      <c r="B86" s="92" t="s">
        <v>266</v>
      </c>
      <c r="C86" s="68" t="s">
        <v>9</v>
      </c>
      <c r="D86" s="243">
        <v>1247.8260869565215</v>
      </c>
      <c r="E86" s="243">
        <v>0.24999999999999989</v>
      </c>
      <c r="F86" s="244">
        <f>P!AJ88</f>
        <v>0.2</v>
      </c>
      <c r="G86" s="244">
        <f t="shared" si="8"/>
        <v>0.4499999999999999</v>
      </c>
      <c r="H86" s="276">
        <v>2.5000000000000001E-2</v>
      </c>
      <c r="I86" s="277">
        <v>0.05</v>
      </c>
      <c r="J86" s="276">
        <v>0.05</v>
      </c>
      <c r="K86" s="277">
        <v>0.05</v>
      </c>
      <c r="L86" s="304">
        <v>0.2</v>
      </c>
      <c r="M86" s="305"/>
      <c r="N86" s="304"/>
      <c r="O86" s="305"/>
      <c r="P86" s="304"/>
      <c r="Q86" s="305"/>
      <c r="R86" s="304"/>
      <c r="S86" s="305"/>
      <c r="T86" s="304"/>
      <c r="U86" s="305"/>
      <c r="V86" s="304">
        <v>0.1</v>
      </c>
      <c r="W86" s="305">
        <v>0.1</v>
      </c>
      <c r="X86" s="304">
        <v>0.05</v>
      </c>
      <c r="Y86" s="305">
        <v>0.05</v>
      </c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0.25</v>
      </c>
      <c r="AO86" s="252">
        <f>P!AK88</f>
        <v>1800</v>
      </c>
      <c r="AP86" s="254">
        <f t="shared" si="7"/>
        <v>0.1999999999999999</v>
      </c>
      <c r="AQ86" s="70" t="str">
        <f t="shared" si="10"/>
        <v>NZ</v>
      </c>
    </row>
    <row r="87" spans="1:43">
      <c r="A87" s="68">
        <v>85</v>
      </c>
      <c r="B87" s="92" t="s">
        <v>92</v>
      </c>
      <c r="C87" s="68" t="s">
        <v>9</v>
      </c>
      <c r="D87" s="243">
        <v>67.39999999999641</v>
      </c>
      <c r="E87" s="243">
        <v>6</v>
      </c>
      <c r="F87" s="244">
        <f>P!AJ89</f>
        <v>96</v>
      </c>
      <c r="G87" s="244">
        <f t="shared" si="8"/>
        <v>102</v>
      </c>
      <c r="H87" s="276">
        <v>2.5</v>
      </c>
      <c r="I87" s="277">
        <v>6</v>
      </c>
      <c r="J87" s="276">
        <v>2</v>
      </c>
      <c r="K87" s="277">
        <v>12.6</v>
      </c>
      <c r="L87" s="304">
        <v>13</v>
      </c>
      <c r="M87" s="305"/>
      <c r="N87" s="304">
        <v>5</v>
      </c>
      <c r="O87" s="305">
        <v>4</v>
      </c>
      <c r="P87" s="304">
        <v>24</v>
      </c>
      <c r="Q87" s="305">
        <v>26</v>
      </c>
      <c r="R87" s="304">
        <v>3</v>
      </c>
      <c r="S87" s="305">
        <v>3</v>
      </c>
      <c r="T87" s="304">
        <v>3</v>
      </c>
      <c r="U87" s="305">
        <v>3</v>
      </c>
      <c r="V87" s="304">
        <v>40</v>
      </c>
      <c r="W87" s="305">
        <v>37.4</v>
      </c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92</v>
      </c>
      <c r="AO87" s="252">
        <f>P!AK89</f>
        <v>67</v>
      </c>
      <c r="AP87" s="253">
        <f t="shared" si="7"/>
        <v>10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112.18559404677514</v>
      </c>
      <c r="E88" s="243">
        <v>3.25</v>
      </c>
      <c r="F88" s="244">
        <f>P!AJ90</f>
        <v>40</v>
      </c>
      <c r="G88" s="244">
        <f t="shared" si="8"/>
        <v>43.25</v>
      </c>
      <c r="H88" s="276">
        <v>1</v>
      </c>
      <c r="I88" s="277">
        <v>0.9</v>
      </c>
      <c r="J88" s="276">
        <v>2</v>
      </c>
      <c r="K88" s="277">
        <v>1.2</v>
      </c>
      <c r="L88" s="304">
        <v>4</v>
      </c>
      <c r="M88" s="305">
        <v>4</v>
      </c>
      <c r="N88" s="304">
        <v>0.5</v>
      </c>
      <c r="O88" s="305">
        <v>2</v>
      </c>
      <c r="P88" s="304">
        <v>0.5</v>
      </c>
      <c r="Q88" s="305">
        <v>0.5</v>
      </c>
      <c r="R88" s="304">
        <v>3</v>
      </c>
      <c r="S88" s="305">
        <v>4</v>
      </c>
      <c r="T88" s="304">
        <v>1</v>
      </c>
      <c r="U88" s="305">
        <v>2</v>
      </c>
      <c r="V88" s="304">
        <v>20</v>
      </c>
      <c r="W88" s="305">
        <v>22</v>
      </c>
      <c r="X88" s="304">
        <v>2</v>
      </c>
      <c r="Y88" s="305">
        <v>3</v>
      </c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39.6</v>
      </c>
      <c r="AO88" s="252">
        <f>P!AK90</f>
        <v>102.5</v>
      </c>
      <c r="AP88" s="253">
        <f t="shared" si="7"/>
        <v>3.6499999999999986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11.628721521222579</v>
      </c>
      <c r="E89" s="243">
        <v>88</v>
      </c>
      <c r="F89" s="244">
        <f>P!AJ91</f>
        <v>1347</v>
      </c>
      <c r="G89" s="244">
        <f t="shared" si="8"/>
        <v>1435</v>
      </c>
      <c r="H89" s="276">
        <v>45</v>
      </c>
      <c r="I89" s="277">
        <v>46</v>
      </c>
      <c r="J89" s="276">
        <v>100</v>
      </c>
      <c r="K89" s="277">
        <v>96</v>
      </c>
      <c r="L89" s="304">
        <v>170</v>
      </c>
      <c r="M89" s="277">
        <v>170</v>
      </c>
      <c r="N89" s="304">
        <v>0.1</v>
      </c>
      <c r="O89" s="277">
        <v>67</v>
      </c>
      <c r="P89" s="304">
        <v>40</v>
      </c>
      <c r="Q89" s="277">
        <v>46</v>
      </c>
      <c r="R89" s="304">
        <v>50</v>
      </c>
      <c r="S89" s="277">
        <v>46</v>
      </c>
      <c r="T89" s="304">
        <v>50</v>
      </c>
      <c r="U89" s="277">
        <v>58</v>
      </c>
      <c r="V89" s="304">
        <v>700</v>
      </c>
      <c r="W89" s="277">
        <v>786</v>
      </c>
      <c r="X89" s="304">
        <v>120</v>
      </c>
      <c r="Y89" s="277">
        <v>120</v>
      </c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1435</v>
      </c>
      <c r="AO89" s="252">
        <f>P!AK91</f>
        <v>11.461024498886415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315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220.00000000000003</v>
      </c>
      <c r="E92" s="243">
        <v>0.90000000000000036</v>
      </c>
      <c r="F92" s="244">
        <f>P!AJ94</f>
        <v>18</v>
      </c>
      <c r="G92" s="244">
        <f t="shared" si="8"/>
        <v>18.899999999999999</v>
      </c>
      <c r="H92" s="276"/>
      <c r="I92" s="277">
        <v>2</v>
      </c>
      <c r="J92" s="276">
        <v>0.5</v>
      </c>
      <c r="K92" s="277">
        <v>2.5</v>
      </c>
      <c r="L92" s="304">
        <v>1.5</v>
      </c>
      <c r="M92" s="305"/>
      <c r="N92" s="304">
        <v>0.5</v>
      </c>
      <c r="O92" s="305">
        <v>1.5</v>
      </c>
      <c r="P92" s="304"/>
      <c r="Q92" s="305"/>
      <c r="R92" s="304">
        <v>1</v>
      </c>
      <c r="S92" s="305">
        <v>1</v>
      </c>
      <c r="T92" s="304"/>
      <c r="U92" s="305"/>
      <c r="V92" s="304">
        <v>12</v>
      </c>
      <c r="W92" s="305">
        <v>11.899999999999999</v>
      </c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18.899999999999999</v>
      </c>
      <c r="AO92" s="252">
        <f>P!AK94</f>
        <v>215.55555555555554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85.050323693795988</v>
      </c>
      <c r="E95" s="243">
        <v>2.5</v>
      </c>
      <c r="F95" s="244">
        <f>P!AJ97</f>
        <v>20</v>
      </c>
      <c r="G95" s="244">
        <f t="shared" si="8"/>
        <v>22.5</v>
      </c>
      <c r="H95" s="276">
        <v>1</v>
      </c>
      <c r="I95" s="277">
        <v>1.5</v>
      </c>
      <c r="J95" s="276">
        <v>2</v>
      </c>
      <c r="K95" s="277">
        <v>0.1</v>
      </c>
      <c r="L95" s="304">
        <v>3</v>
      </c>
      <c r="M95" s="305">
        <v>4</v>
      </c>
      <c r="N95" s="304">
        <v>1</v>
      </c>
      <c r="O95" s="305">
        <v>2</v>
      </c>
      <c r="P95" s="304">
        <v>2</v>
      </c>
      <c r="Q95" s="305">
        <v>2.5</v>
      </c>
      <c r="R95" s="304">
        <v>2</v>
      </c>
      <c r="S95" s="305">
        <v>2</v>
      </c>
      <c r="T95" s="304">
        <v>2</v>
      </c>
      <c r="U95" s="305">
        <v>2.4</v>
      </c>
      <c r="V95" s="304">
        <v>4</v>
      </c>
      <c r="W95" s="305">
        <v>4</v>
      </c>
      <c r="X95" s="304"/>
      <c r="Y95" s="305">
        <v>3</v>
      </c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21.5</v>
      </c>
      <c r="AO95" s="252">
        <f>P!AK97</f>
        <v>85</v>
      </c>
      <c r="AP95" s="253">
        <f t="shared" si="7"/>
        <v>1</v>
      </c>
      <c r="AQ95" s="70" t="str">
        <f t="shared" si="10"/>
        <v xml:space="preserve"> 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520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324</v>
      </c>
      <c r="C98" s="68" t="s">
        <v>9</v>
      </c>
      <c r="D98" s="243">
        <v>200</v>
      </c>
      <c r="E98" s="243">
        <v>0</v>
      </c>
      <c r="F98" s="244">
        <f>P!AJ100</f>
        <v>4</v>
      </c>
      <c r="G98" s="244">
        <f t="shared" si="8"/>
        <v>4</v>
      </c>
      <c r="H98" s="276">
        <v>1</v>
      </c>
      <c r="I98" s="277">
        <v>1</v>
      </c>
      <c r="J98" s="276"/>
      <c r="K98" s="277"/>
      <c r="L98" s="304"/>
      <c r="M98" s="305"/>
      <c r="N98" s="304"/>
      <c r="O98" s="305"/>
      <c r="P98" s="304"/>
      <c r="Q98" s="305"/>
      <c r="R98" s="304">
        <v>1</v>
      </c>
      <c r="S98" s="305">
        <v>1</v>
      </c>
      <c r="T98" s="304"/>
      <c r="U98" s="305"/>
      <c r="V98" s="304">
        <v>1</v>
      </c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2</v>
      </c>
      <c r="AO98" s="252">
        <f>P!AK100</f>
        <v>177.5</v>
      </c>
      <c r="AP98" s="253">
        <f t="shared" si="7"/>
        <v>2</v>
      </c>
      <c r="AQ98" s="70" t="str">
        <f t="shared" si="10"/>
        <v xml:space="preserve"> 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591.76871235090846</v>
      </c>
      <c r="E99" s="243">
        <v>0.29999999999999982</v>
      </c>
      <c r="F99" s="244">
        <f>P!AJ101</f>
        <v>0</v>
      </c>
      <c r="G99" s="244">
        <f t="shared" si="8"/>
        <v>0.29999999999999982</v>
      </c>
      <c r="H99" s="276"/>
      <c r="I99" s="277"/>
      <c r="J99" s="276"/>
      <c r="K99" s="277"/>
      <c r="L99" s="304">
        <v>0.1</v>
      </c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591.76871235090846</v>
      </c>
      <c r="AP99" s="254">
        <f t="shared" si="7"/>
        <v>0.29999999999999982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170</v>
      </c>
      <c r="E100" s="243">
        <v>0</v>
      </c>
      <c r="F100" s="244">
        <f>P!AJ102</f>
        <v>1</v>
      </c>
      <c r="G100" s="244">
        <f t="shared" si="8"/>
        <v>1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>
        <v>1</v>
      </c>
      <c r="U100" s="305">
        <v>1</v>
      </c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1</v>
      </c>
      <c r="AO100" s="252">
        <f>P!AK102</f>
        <v>170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291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295</v>
      </c>
      <c r="C102" s="68" t="s">
        <v>31</v>
      </c>
      <c r="D102" s="243">
        <v>0</v>
      </c>
      <c r="E102" s="243">
        <v>0</v>
      </c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293</v>
      </c>
      <c r="C103" s="68" t="s">
        <v>31</v>
      </c>
      <c r="D103" s="243">
        <v>220</v>
      </c>
      <c r="E103" s="243">
        <v>0</v>
      </c>
      <c r="F103" s="244">
        <f>P!AJ105</f>
        <v>2</v>
      </c>
      <c r="G103" s="244">
        <f t="shared" si="8"/>
        <v>2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>
        <v>2</v>
      </c>
      <c r="W103" s="305">
        <v>2</v>
      </c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2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1</v>
      </c>
      <c r="F104" s="244">
        <f>P!AJ106</f>
        <v>14</v>
      </c>
      <c r="G104" s="244">
        <f t="shared" si="8"/>
        <v>15</v>
      </c>
      <c r="H104" s="276"/>
      <c r="I104" s="277"/>
      <c r="J104" s="276"/>
      <c r="K104" s="277">
        <v>3</v>
      </c>
      <c r="L104" s="304"/>
      <c r="M104" s="305"/>
      <c r="N104" s="304"/>
      <c r="O104" s="305">
        <v>3</v>
      </c>
      <c r="P104" s="304"/>
      <c r="Q104" s="305"/>
      <c r="R104" s="304"/>
      <c r="S104" s="305"/>
      <c r="T104" s="304"/>
      <c r="U104" s="305"/>
      <c r="V104" s="304"/>
      <c r="W104" s="305"/>
      <c r="X104" s="304">
        <v>8</v>
      </c>
      <c r="Y104" s="305">
        <v>8</v>
      </c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14</v>
      </c>
      <c r="AO104" s="252">
        <f>P!AK106</f>
        <v>160</v>
      </c>
      <c r="AP104" s="253">
        <f t="shared" si="7"/>
        <v>1</v>
      </c>
      <c r="AQ104" s="70" t="str">
        <f t="shared" si="10"/>
        <v xml:space="preserve"> 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0</v>
      </c>
      <c r="G105" s="244">
        <f t="shared" si="8"/>
        <v>0</v>
      </c>
      <c r="H105" s="276"/>
      <c r="I105" s="277"/>
      <c r="J105" s="276">
        <v>3</v>
      </c>
      <c r="K105" s="277"/>
      <c r="L105" s="304"/>
      <c r="M105" s="305"/>
      <c r="N105" s="304">
        <v>3</v>
      </c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168.33333333333334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366</v>
      </c>
      <c r="C106" s="68" t="s">
        <v>107</v>
      </c>
      <c r="D106" s="243">
        <v>170</v>
      </c>
      <c r="E106" s="243">
        <v>0.5</v>
      </c>
      <c r="F106" s="244">
        <f>P!AJ108</f>
        <v>4</v>
      </c>
      <c r="G106" s="244">
        <f t="shared" si="8"/>
        <v>4.5</v>
      </c>
      <c r="H106" s="276">
        <v>0.5</v>
      </c>
      <c r="I106" s="277">
        <v>0.5</v>
      </c>
      <c r="J106" s="276"/>
      <c r="K106" s="277"/>
      <c r="L106" s="304">
        <v>0.5</v>
      </c>
      <c r="M106" s="305">
        <v>0.5</v>
      </c>
      <c r="N106" s="304"/>
      <c r="O106" s="305">
        <v>1.5</v>
      </c>
      <c r="P106" s="304"/>
      <c r="Q106" s="305"/>
      <c r="R106" s="304"/>
      <c r="S106" s="305"/>
      <c r="T106" s="304"/>
      <c r="U106" s="305"/>
      <c r="V106" s="304"/>
      <c r="W106" s="305"/>
      <c r="X106" s="304">
        <v>1</v>
      </c>
      <c r="Y106" s="305">
        <v>1</v>
      </c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3.5</v>
      </c>
      <c r="AO106" s="252">
        <f>P!AK108</f>
        <v>160</v>
      </c>
      <c r="AP106" s="253">
        <f t="shared" si="7"/>
        <v>1</v>
      </c>
      <c r="AQ106" s="70" t="str">
        <f t="shared" si="10"/>
        <v xml:space="preserve"> </v>
      </c>
    </row>
    <row r="107" spans="1:45">
      <c r="A107" s="68">
        <v>105</v>
      </c>
      <c r="B107" s="92" t="s">
        <v>108</v>
      </c>
      <c r="C107" s="68" t="s">
        <v>9</v>
      </c>
      <c r="D107" s="243">
        <v>302.23613053033381</v>
      </c>
      <c r="E107" s="243">
        <v>0</v>
      </c>
      <c r="F107" s="244">
        <f>P!AJ109</f>
        <v>1.6</v>
      </c>
      <c r="G107" s="244">
        <f t="shared" si="8"/>
        <v>1.6</v>
      </c>
      <c r="H107" s="276"/>
      <c r="I107" s="277"/>
      <c r="J107" s="276"/>
      <c r="K107" s="277"/>
      <c r="L107" s="304">
        <v>0.2</v>
      </c>
      <c r="M107" s="305"/>
      <c r="N107" s="304"/>
      <c r="O107" s="305"/>
      <c r="P107" s="304"/>
      <c r="Q107" s="305"/>
      <c r="R107" s="304"/>
      <c r="S107" s="305"/>
      <c r="T107" s="304"/>
      <c r="U107" s="305"/>
      <c r="V107" s="304">
        <v>1</v>
      </c>
      <c r="W107" s="305">
        <v>1</v>
      </c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1</v>
      </c>
      <c r="AO107" s="252">
        <f>P!AK109</f>
        <v>850</v>
      </c>
      <c r="AP107" s="253">
        <f t="shared" si="7"/>
        <v>0.60000000000000009</v>
      </c>
      <c r="AQ107" s="70" t="str">
        <f t="shared" si="10"/>
        <v>NZ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271.42857142857144</v>
      </c>
      <c r="E109" s="243">
        <v>1</v>
      </c>
      <c r="F109" s="244">
        <f>P!AJ111</f>
        <v>1</v>
      </c>
      <c r="G109" s="244">
        <f t="shared" si="8"/>
        <v>2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>
        <v>1</v>
      </c>
      <c r="S109" s="305"/>
      <c r="T109" s="304"/>
      <c r="U109" s="305"/>
      <c r="V109" s="304">
        <v>1</v>
      </c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270</v>
      </c>
      <c r="AP109" s="253">
        <f t="shared" si="7"/>
        <v>2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427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296</v>
      </c>
      <c r="C112" s="68" t="s">
        <v>9</v>
      </c>
      <c r="D112" s="243">
        <v>1675</v>
      </c>
      <c r="E112" s="243">
        <v>0.30000000000000004</v>
      </c>
      <c r="F112" s="244">
        <f>P!AJ114</f>
        <v>3.3</v>
      </c>
      <c r="G112" s="244">
        <f t="shared" si="8"/>
        <v>3.5999999999999996</v>
      </c>
      <c r="H112" s="276"/>
      <c r="I112" s="277">
        <f>P!D114</f>
        <v>0</v>
      </c>
      <c r="J112" s="276">
        <v>1</v>
      </c>
      <c r="K112" s="277">
        <f>P!F114</f>
        <v>1</v>
      </c>
      <c r="L112" s="304"/>
      <c r="M112" s="277">
        <f>P!H114</f>
        <v>0</v>
      </c>
      <c r="N112" s="304"/>
      <c r="O112" s="277">
        <f>P!J114</f>
        <v>0.9</v>
      </c>
      <c r="P112" s="304"/>
      <c r="Q112" s="277">
        <f>P!L114</f>
        <v>0</v>
      </c>
      <c r="R112" s="304"/>
      <c r="S112" s="277">
        <f>P!N114</f>
        <v>0</v>
      </c>
      <c r="T112" s="304"/>
      <c r="U112" s="277">
        <f>P!P114</f>
        <v>0</v>
      </c>
      <c r="V112" s="304"/>
      <c r="W112" s="277">
        <f>P!R114</f>
        <v>0.4</v>
      </c>
      <c r="X112" s="304">
        <v>1</v>
      </c>
      <c r="Y112" s="277">
        <v>1.3</v>
      </c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3.5999999999999996</v>
      </c>
      <c r="AO112" s="252">
        <f>P!AK114</f>
        <v>2124.2424242424245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>
        <v>3250</v>
      </c>
      <c r="E113" s="243">
        <v>0</v>
      </c>
      <c r="F113" s="244">
        <f>P!AJ115</f>
        <v>0.25</v>
      </c>
      <c r="G113" s="244">
        <f t="shared" si="8"/>
        <v>0.25</v>
      </c>
      <c r="H113" s="276"/>
      <c r="I113" s="277">
        <f>P!D115</f>
        <v>0</v>
      </c>
      <c r="J113" s="276"/>
      <c r="K113" s="277">
        <f>P!F115</f>
        <v>0</v>
      </c>
      <c r="L113" s="304"/>
      <c r="M113" s="277">
        <f>P!H115</f>
        <v>0</v>
      </c>
      <c r="N113" s="304"/>
      <c r="O113" s="277">
        <f>P!J115</f>
        <v>0.25</v>
      </c>
      <c r="P113" s="304"/>
      <c r="Q113" s="277">
        <f>P!L115</f>
        <v>0</v>
      </c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0.25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>
        <v>30</v>
      </c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330</v>
      </c>
      <c r="C116" s="68" t="s">
        <v>31</v>
      </c>
      <c r="D116" s="243">
        <v>9.5822015841321573</v>
      </c>
      <c r="E116" s="243">
        <v>36</v>
      </c>
      <c r="F116" s="244">
        <f>P!AJ118</f>
        <v>432</v>
      </c>
      <c r="G116" s="244">
        <f t="shared" si="8"/>
        <v>468</v>
      </c>
      <c r="H116" s="276"/>
      <c r="I116" s="277">
        <v>22</v>
      </c>
      <c r="J116" s="276">
        <v>40</v>
      </c>
      <c r="K116" s="277">
        <v>34</v>
      </c>
      <c r="L116" s="304">
        <v>110</v>
      </c>
      <c r="M116" s="305">
        <v>110</v>
      </c>
      <c r="N116" s="304"/>
      <c r="O116" s="305">
        <v>92</v>
      </c>
      <c r="P116" s="304">
        <v>25</v>
      </c>
      <c r="Q116" s="305">
        <v>24</v>
      </c>
      <c r="R116" s="304"/>
      <c r="S116" s="305">
        <v>10</v>
      </c>
      <c r="T116" s="304"/>
      <c r="U116" s="305">
        <v>15</v>
      </c>
      <c r="V116" s="304"/>
      <c r="W116" s="305">
        <v>10</v>
      </c>
      <c r="X116" s="304"/>
      <c r="Y116" s="305">
        <v>15</v>
      </c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332</v>
      </c>
      <c r="AO116" s="252">
        <f>P!AK118</f>
        <v>8.7962962962962958</v>
      </c>
      <c r="AP116" s="253">
        <f t="shared" si="7"/>
        <v>136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180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262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140</v>
      </c>
      <c r="E120" s="243">
        <v>0</v>
      </c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140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>
        <v>113.81194022010349</v>
      </c>
      <c r="E121" s="243">
        <v>0</v>
      </c>
      <c r="F121" s="244">
        <f>P!AJ123</f>
        <v>2.5</v>
      </c>
      <c r="G121" s="244">
        <f t="shared" si="8"/>
        <v>2.5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>
        <v>2.5</v>
      </c>
      <c r="Y121" s="305">
        <v>2.5</v>
      </c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2.5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>
        <v>1.5</v>
      </c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6.583333333333333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381</v>
      </c>
      <c r="C123" s="68" t="s">
        <v>9</v>
      </c>
      <c r="D123" s="243">
        <v>982.25806451612902</v>
      </c>
      <c r="E123" s="243">
        <v>0</v>
      </c>
      <c r="F123" s="244">
        <f>P!AJ125</f>
        <v>1.038</v>
      </c>
      <c r="G123" s="244">
        <f t="shared" si="8"/>
        <v>1.038</v>
      </c>
      <c r="H123" s="276"/>
      <c r="I123" s="277"/>
      <c r="J123" s="276">
        <v>45</v>
      </c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1151.252408477842</v>
      </c>
      <c r="AP123" s="313">
        <f t="shared" si="7"/>
        <v>1.038</v>
      </c>
      <c r="AQ123" s="70" t="str">
        <f t="shared" si="10"/>
        <v xml:space="preserve"> </v>
      </c>
    </row>
    <row r="124" spans="1:43">
      <c r="A124" s="68">
        <v>122</v>
      </c>
      <c r="B124" s="92" t="s">
        <v>123</v>
      </c>
      <c r="C124" s="68" t="s">
        <v>31</v>
      </c>
      <c r="D124" s="243">
        <v>10.048991354466859</v>
      </c>
      <c r="E124" s="243">
        <v>0</v>
      </c>
      <c r="F124" s="244">
        <f>P!AJ126</f>
        <v>465</v>
      </c>
      <c r="G124" s="244">
        <f t="shared" si="8"/>
        <v>465</v>
      </c>
      <c r="H124" s="317"/>
      <c r="I124" s="316">
        <f>P!D126</f>
        <v>28</v>
      </c>
      <c r="J124" s="317">
        <v>60</v>
      </c>
      <c r="K124" s="316">
        <f>P!F126</f>
        <v>46</v>
      </c>
      <c r="L124" s="317"/>
      <c r="M124" s="316">
        <f>P!H126</f>
        <v>52</v>
      </c>
      <c r="N124" s="317">
        <v>30</v>
      </c>
      <c r="O124" s="316">
        <f>P!J126</f>
        <v>40</v>
      </c>
      <c r="P124" s="317">
        <v>30</v>
      </c>
      <c r="Q124" s="316">
        <f>P!L126</f>
        <v>27</v>
      </c>
      <c r="R124" s="317">
        <v>55</v>
      </c>
      <c r="S124" s="316">
        <f>P!N126</f>
        <v>62</v>
      </c>
      <c r="T124" s="317">
        <v>30</v>
      </c>
      <c r="U124" s="316">
        <f>P!P126</f>
        <v>45</v>
      </c>
      <c r="V124" s="317">
        <v>80</v>
      </c>
      <c r="W124" s="316">
        <f>P!R126</f>
        <v>85</v>
      </c>
      <c r="X124" s="317">
        <v>80</v>
      </c>
      <c r="Y124" s="316">
        <f>P!T126</f>
        <v>80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465</v>
      </c>
      <c r="AO124" s="324">
        <f>P!AK126</f>
        <v>9.5956989247311828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265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312</v>
      </c>
      <c r="C126" s="68" t="s">
        <v>9</v>
      </c>
      <c r="D126" s="243">
        <v>97.890909090909076</v>
      </c>
      <c r="E126" s="243">
        <v>0</v>
      </c>
      <c r="F126" s="244">
        <f>P!AJ128</f>
        <v>32.400000000000006</v>
      </c>
      <c r="G126" s="244">
        <f t="shared" si="8"/>
        <v>32.400000000000006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1.6</v>
      </c>
      <c r="P126" s="317"/>
      <c r="Q126" s="316">
        <f>P!L128</f>
        <v>10</v>
      </c>
      <c r="R126" s="317">
        <v>7</v>
      </c>
      <c r="S126" s="316">
        <f>P!N128</f>
        <v>7.3</v>
      </c>
      <c r="T126" s="317"/>
      <c r="U126" s="316">
        <f>P!P128</f>
        <v>0</v>
      </c>
      <c r="V126" s="317">
        <v>8</v>
      </c>
      <c r="W126" s="316">
        <f>P!R128</f>
        <v>8</v>
      </c>
      <c r="X126" s="317">
        <v>5</v>
      </c>
      <c r="Y126" s="316">
        <f>P!T128</f>
        <v>5.5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32.4</v>
      </c>
      <c r="AO126" s="324">
        <f>P!AK128</f>
        <v>90.246913580246897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263</v>
      </c>
      <c r="C127" s="68" t="s">
        <v>9</v>
      </c>
      <c r="D127" s="243">
        <v>363.28358208955223</v>
      </c>
      <c r="E127" s="243">
        <v>0</v>
      </c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363.28358208955223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267</v>
      </c>
      <c r="C128" s="68" t="s">
        <v>9</v>
      </c>
      <c r="D128" s="243">
        <v>350</v>
      </c>
      <c r="E128" s="243">
        <v>0</v>
      </c>
      <c r="F128" s="244">
        <f>P!AJ130</f>
        <v>6.4</v>
      </c>
      <c r="G128" s="244">
        <f t="shared" si="8"/>
        <v>6.4</v>
      </c>
      <c r="H128" s="317"/>
      <c r="I128" s="316">
        <f>P!D130</f>
        <v>0</v>
      </c>
      <c r="J128" s="317">
        <v>2.5</v>
      </c>
      <c r="K128" s="316">
        <f>P!F130</f>
        <v>2.5</v>
      </c>
      <c r="L128" s="317">
        <v>2.5</v>
      </c>
      <c r="M128" s="316">
        <f>P!H130</f>
        <v>2.5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1.4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6.4</v>
      </c>
      <c r="AO128" s="324">
        <f>P!AK130</f>
        <v>410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264</v>
      </c>
      <c r="C129" s="68" t="s">
        <v>9</v>
      </c>
      <c r="D129" s="243">
        <v>300</v>
      </c>
      <c r="E129" s="243">
        <v>0</v>
      </c>
      <c r="F129" s="244">
        <f>P!AJ131</f>
        <v>4.4000000000000004</v>
      </c>
      <c r="G129" s="244">
        <f t="shared" si="8"/>
        <v>4.4000000000000004</v>
      </c>
      <c r="H129" s="317"/>
      <c r="I129" s="316">
        <f>P!D131</f>
        <v>4.4000000000000004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4.4000000000000004</v>
      </c>
      <c r="AO129" s="324">
        <f>P!AK131</f>
        <v>249.99999999999997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105.00000000000001</v>
      </c>
      <c r="E130" s="243">
        <v>0</v>
      </c>
      <c r="F130" s="244">
        <f>P!AJ132</f>
        <v>29.2</v>
      </c>
      <c r="G130" s="244">
        <f t="shared" si="8"/>
        <v>29.2</v>
      </c>
      <c r="H130" s="317"/>
      <c r="I130" s="316">
        <f>P!D132</f>
        <v>4</v>
      </c>
      <c r="J130" s="317"/>
      <c r="K130" s="316">
        <f>P!F132</f>
        <v>0</v>
      </c>
      <c r="L130" s="317">
        <v>4</v>
      </c>
      <c r="M130" s="316">
        <f>P!H132</f>
        <v>4.2</v>
      </c>
      <c r="N130" s="317"/>
      <c r="O130" s="316">
        <f>P!J132</f>
        <v>4</v>
      </c>
      <c r="P130" s="317"/>
      <c r="Q130" s="316">
        <f>P!L132</f>
        <v>0</v>
      </c>
      <c r="R130" s="317">
        <v>5</v>
      </c>
      <c r="S130" s="316">
        <f>P!N132</f>
        <v>5</v>
      </c>
      <c r="T130" s="317">
        <v>2</v>
      </c>
      <c r="U130" s="316">
        <f>P!P132</f>
        <v>2</v>
      </c>
      <c r="V130" s="317">
        <v>10</v>
      </c>
      <c r="W130" s="316">
        <f>P!R132</f>
        <v>10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29.2</v>
      </c>
      <c r="AO130" s="324">
        <f>P!AK132</f>
        <v>101.36986301369863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370</v>
      </c>
      <c r="C131" s="68" t="s">
        <v>9</v>
      </c>
      <c r="D131" s="243">
        <v>150</v>
      </c>
      <c r="E131" s="243">
        <v>0</v>
      </c>
      <c r="F131" s="244">
        <f>P!AJ133</f>
        <v>12</v>
      </c>
      <c r="G131" s="244">
        <f t="shared" si="8"/>
        <v>12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10</v>
      </c>
      <c r="N131" s="317"/>
      <c r="O131" s="316">
        <f>P!J133</f>
        <v>2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12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382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286</v>
      </c>
      <c r="C133" s="68" t="s">
        <v>9</v>
      </c>
      <c r="D133" s="243">
        <v>200</v>
      </c>
      <c r="E133" s="243">
        <v>0</v>
      </c>
      <c r="F133" s="244">
        <f>P!AJ135</f>
        <v>13.1</v>
      </c>
      <c r="G133" s="244">
        <f t="shared" si="8"/>
        <v>13.1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>
        <v>10</v>
      </c>
      <c r="O133" s="316">
        <f>P!J135</f>
        <v>0</v>
      </c>
      <c r="P133" s="317"/>
      <c r="Q133" s="316">
        <f>P!L135</f>
        <v>10</v>
      </c>
      <c r="R133" s="317"/>
      <c r="S133" s="316">
        <f>P!N135</f>
        <v>0</v>
      </c>
      <c r="T133" s="317">
        <v>3</v>
      </c>
      <c r="U133" s="316">
        <f>P!P135</f>
        <v>3.1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13.1</v>
      </c>
      <c r="AO133" s="324">
        <f>P!AK135</f>
        <v>202.90076335877862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371</v>
      </c>
      <c r="C134" s="68" t="s">
        <v>31</v>
      </c>
      <c r="D134" s="243">
        <v>60</v>
      </c>
      <c r="E134" s="243">
        <v>0</v>
      </c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>
        <v>4</v>
      </c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395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388</v>
      </c>
      <c r="C136" s="68" t="s">
        <v>9</v>
      </c>
      <c r="D136" s="243">
        <v>460</v>
      </c>
      <c r="E136" s="243">
        <v>0</v>
      </c>
      <c r="F136" s="244">
        <f>P!AJ138</f>
        <v>3.1739999999999999</v>
      </c>
      <c r="G136" s="244">
        <f t="shared" ref="G136:G196" si="14">E136+F136</f>
        <v>3.1739999999999999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>
        <v>10</v>
      </c>
      <c r="W136" s="316">
        <f>P!R138</f>
        <v>3.1739999999999999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3.1739999999999999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290</v>
      </c>
      <c r="C137" s="68" t="s">
        <v>9</v>
      </c>
      <c r="D137" s="243">
        <v>70</v>
      </c>
      <c r="E137" s="243">
        <v>0</v>
      </c>
      <c r="F137" s="244">
        <f>P!AJ139</f>
        <v>5.3</v>
      </c>
      <c r="G137" s="244">
        <f t="shared" si="14"/>
        <v>5.3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>
        <v>50</v>
      </c>
      <c r="Y137" s="316">
        <f>P!T139</f>
        <v>5.3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5.3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361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391</v>
      </c>
      <c r="C141" s="68" t="s">
        <v>31</v>
      </c>
      <c r="D141" s="243">
        <v>20.040788245122613</v>
      </c>
      <c r="E141" s="243">
        <v>0</v>
      </c>
      <c r="F141" s="244">
        <f>P!AJ143</f>
        <v>44</v>
      </c>
      <c r="G141" s="244">
        <f t="shared" si="14"/>
        <v>44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>
        <v>44</v>
      </c>
      <c r="W141" s="305">
        <v>44</v>
      </c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44</v>
      </c>
      <c r="AO141" s="252">
        <f>P!AK143</f>
        <v>20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>
        <v>62.8</v>
      </c>
      <c r="E142" s="243">
        <v>0</v>
      </c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62.8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268</v>
      </c>
      <c r="C143" s="68" t="s">
        <v>9</v>
      </c>
      <c r="D143" s="243">
        <v>1100</v>
      </c>
      <c r="E143" s="243">
        <v>0</v>
      </c>
      <c r="F143" s="244">
        <f>P!AJ145</f>
        <v>29</v>
      </c>
      <c r="G143" s="244">
        <f t="shared" si="14"/>
        <v>29</v>
      </c>
      <c r="H143" s="276"/>
      <c r="I143" s="277"/>
      <c r="J143" s="304">
        <v>7</v>
      </c>
      <c r="K143" s="277">
        <v>7</v>
      </c>
      <c r="L143" s="304">
        <v>25</v>
      </c>
      <c r="M143" s="277">
        <v>18</v>
      </c>
      <c r="N143" s="304"/>
      <c r="O143" s="277"/>
      <c r="P143" s="304"/>
      <c r="Q143" s="277"/>
      <c r="R143" s="304"/>
      <c r="S143" s="277"/>
      <c r="T143" s="304"/>
      <c r="U143" s="277"/>
      <c r="V143" s="304">
        <v>4</v>
      </c>
      <c r="W143" s="277">
        <v>4</v>
      </c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29</v>
      </c>
      <c r="AO143" s="252">
        <f>P!AK145</f>
        <v>1100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>
        <v>0.7</v>
      </c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700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3</v>
      </c>
      <c r="G146" s="244">
        <f t="shared" si="14"/>
        <v>3</v>
      </c>
      <c r="H146" s="276"/>
      <c r="I146" s="305"/>
      <c r="J146" s="304"/>
      <c r="K146" s="305"/>
      <c r="L146" s="304">
        <v>3</v>
      </c>
      <c r="M146" s="305">
        <v>3</v>
      </c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3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7</v>
      </c>
      <c r="G147" s="244">
        <f t="shared" si="14"/>
        <v>7</v>
      </c>
      <c r="H147" s="276"/>
      <c r="I147" s="305"/>
      <c r="J147" s="304"/>
      <c r="K147" s="305"/>
      <c r="L147" s="304">
        <v>7</v>
      </c>
      <c r="M147" s="305">
        <v>7</v>
      </c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7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379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225.93890999557178</v>
      </c>
      <c r="E150" s="243">
        <v>34.390000000000214</v>
      </c>
      <c r="F150" s="297">
        <f>P!AJ152</f>
        <v>223</v>
      </c>
      <c r="G150" s="297">
        <f t="shared" si="14"/>
        <v>257.39000000000021</v>
      </c>
      <c r="H150" s="406">
        <v>14</v>
      </c>
      <c r="I150" s="305">
        <v>17</v>
      </c>
      <c r="J150" s="304">
        <v>16</v>
      </c>
      <c r="K150" s="305">
        <v>5</v>
      </c>
      <c r="L150" s="304">
        <v>45</v>
      </c>
      <c r="M150" s="305">
        <v>51</v>
      </c>
      <c r="N150" s="304">
        <v>14</v>
      </c>
      <c r="O150" s="305">
        <v>14</v>
      </c>
      <c r="P150" s="304">
        <v>8</v>
      </c>
      <c r="Q150" s="305">
        <v>7</v>
      </c>
      <c r="R150" s="304">
        <v>20</v>
      </c>
      <c r="S150" s="305">
        <v>23</v>
      </c>
      <c r="T150" s="304">
        <v>14</v>
      </c>
      <c r="U150" s="305">
        <v>14</v>
      </c>
      <c r="V150" s="304">
        <v>85</v>
      </c>
      <c r="W150" s="305">
        <v>89</v>
      </c>
      <c r="X150" s="304">
        <v>22</v>
      </c>
      <c r="Y150" s="305">
        <v>22</v>
      </c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242</v>
      </c>
      <c r="AO150" s="251">
        <f>P!AK152</f>
        <v>227.57847533632287</v>
      </c>
      <c r="AP150" s="407">
        <f t="shared" si="11"/>
        <v>15.390000000000214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440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329</v>
      </c>
      <c r="C152" s="68" t="s">
        <v>9</v>
      </c>
      <c r="D152" s="243">
        <v>225.98668664631265</v>
      </c>
      <c r="E152" s="243">
        <v>2.0000000000000107</v>
      </c>
      <c r="F152" s="244">
        <f>P!AJ154</f>
        <v>45.3</v>
      </c>
      <c r="G152" s="244">
        <f t="shared" si="14"/>
        <v>47.300000000000011</v>
      </c>
      <c r="H152" s="276">
        <v>1.5</v>
      </c>
      <c r="I152" s="277">
        <v>2.5</v>
      </c>
      <c r="J152" s="304"/>
      <c r="K152" s="277"/>
      <c r="L152" s="304"/>
      <c r="M152" s="277">
        <v>6</v>
      </c>
      <c r="N152" s="304"/>
      <c r="O152" s="277"/>
      <c r="P152" s="304"/>
      <c r="Q152" s="277"/>
      <c r="R152" s="304"/>
      <c r="S152" s="277"/>
      <c r="T152" s="304">
        <v>1.5</v>
      </c>
      <c r="U152" s="277">
        <v>2.8</v>
      </c>
      <c r="V152" s="304">
        <v>30</v>
      </c>
      <c r="W152" s="277">
        <v>33</v>
      </c>
      <c r="X152" s="304">
        <v>3</v>
      </c>
      <c r="Y152" s="305">
        <v>3</v>
      </c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47.3</v>
      </c>
      <c r="AO152" s="252">
        <f>P!AK154</f>
        <v>220.72847682119206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>
        <v>374.60342512745865</v>
      </c>
      <c r="E153" s="243">
        <v>8.5700000000000074</v>
      </c>
      <c r="F153" s="244">
        <f>P!AJ155</f>
        <v>14.9</v>
      </c>
      <c r="G153" s="244">
        <f t="shared" si="14"/>
        <v>23.470000000000006</v>
      </c>
      <c r="H153" s="276"/>
      <c r="I153" s="277"/>
      <c r="J153" s="304"/>
      <c r="K153" s="277"/>
      <c r="L153" s="304"/>
      <c r="M153" s="277">
        <v>5</v>
      </c>
      <c r="N153" s="304">
        <v>5</v>
      </c>
      <c r="O153" s="277">
        <v>2.7</v>
      </c>
      <c r="P153" s="304"/>
      <c r="Q153" s="277"/>
      <c r="R153" s="304">
        <v>5</v>
      </c>
      <c r="S153" s="277">
        <v>5</v>
      </c>
      <c r="T153" s="304"/>
      <c r="U153" s="277"/>
      <c r="V153" s="304">
        <v>4</v>
      </c>
      <c r="W153" s="277">
        <v>4</v>
      </c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16.7</v>
      </c>
      <c r="AO153" s="252">
        <f>P!AK155</f>
        <v>363.42281879194633</v>
      </c>
      <c r="AP153" s="253">
        <f t="shared" si="11"/>
        <v>6.7700000000000067</v>
      </c>
      <c r="AQ153" s="70" t="str">
        <f t="shared" si="13"/>
        <v xml:space="preserve"> </v>
      </c>
    </row>
    <row r="154" spans="1:53">
      <c r="A154" s="68">
        <v>152</v>
      </c>
      <c r="B154" s="92" t="s">
        <v>269</v>
      </c>
      <c r="C154" s="68" t="s">
        <v>9</v>
      </c>
      <c r="D154" s="243">
        <v>370.01567398119124</v>
      </c>
      <c r="E154" s="243">
        <v>0</v>
      </c>
      <c r="F154" s="244">
        <f>P!AJ156</f>
        <v>13.1</v>
      </c>
      <c r="G154" s="244">
        <f t="shared" si="14"/>
        <v>13.1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>
        <v>12</v>
      </c>
      <c r="Y154" s="305">
        <v>13.1</v>
      </c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13.1</v>
      </c>
      <c r="AO154" s="252">
        <f>P!AK156</f>
        <v>350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2253.7623762376234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427.14285714285717</v>
      </c>
      <c r="E160" s="243">
        <v>0</v>
      </c>
      <c r="F160" s="244">
        <f>P!AJ162</f>
        <v>6</v>
      </c>
      <c r="G160" s="244">
        <f t="shared" si="14"/>
        <v>6</v>
      </c>
      <c r="H160" s="276"/>
      <c r="I160" s="305"/>
      <c r="J160" s="304">
        <v>4</v>
      </c>
      <c r="K160" s="305">
        <v>4</v>
      </c>
      <c r="L160" s="304"/>
      <c r="M160" s="305"/>
      <c r="N160" s="304"/>
      <c r="O160" s="305"/>
      <c r="P160" s="304"/>
      <c r="Q160" s="305"/>
      <c r="R160" s="304">
        <v>2</v>
      </c>
      <c r="S160" s="305">
        <v>2</v>
      </c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6</v>
      </c>
      <c r="AO160" s="252">
        <f>P!AK162</f>
        <v>363.33333333333331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>
        <v>675</v>
      </c>
      <c r="E161" s="243">
        <v>0</v>
      </c>
      <c r="F161" s="244">
        <f>P!AJ163</f>
        <v>3</v>
      </c>
      <c r="G161" s="244">
        <f t="shared" si="14"/>
        <v>3</v>
      </c>
      <c r="H161" s="276">
        <v>1</v>
      </c>
      <c r="I161" s="305">
        <v>1</v>
      </c>
      <c r="J161" s="304"/>
      <c r="K161" s="305"/>
      <c r="L161" s="304"/>
      <c r="M161" s="305"/>
      <c r="N161" s="304"/>
      <c r="O161" s="305"/>
      <c r="P161" s="304"/>
      <c r="Q161" s="305"/>
      <c r="R161" s="304">
        <v>2</v>
      </c>
      <c r="S161" s="305">
        <v>2</v>
      </c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3</v>
      </c>
      <c r="AO161" s="252">
        <f>P!AK163</f>
        <v>670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190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507.01388888888891</v>
      </c>
      <c r="E168" s="243">
        <v>0</v>
      </c>
      <c r="F168" s="244">
        <f>P!AJ170</f>
        <v>6</v>
      </c>
      <c r="G168" s="244">
        <f t="shared" si="14"/>
        <v>6</v>
      </c>
      <c r="H168" s="276">
        <v>3</v>
      </c>
      <c r="I168" s="305">
        <v>2.5</v>
      </c>
      <c r="J168" s="304"/>
      <c r="K168" s="305"/>
      <c r="L168" s="304"/>
      <c r="M168" s="305"/>
      <c r="N168" s="304"/>
      <c r="O168" s="305"/>
      <c r="P168" s="304"/>
      <c r="Q168" s="305">
        <v>1</v>
      </c>
      <c r="R168" s="304"/>
      <c r="S168" s="305"/>
      <c r="T168" s="304"/>
      <c r="U168" s="305"/>
      <c r="V168" s="304">
        <v>3</v>
      </c>
      <c r="W168" s="305">
        <v>2.5</v>
      </c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6</v>
      </c>
      <c r="AO168" s="252">
        <f>P!AK170</f>
        <v>700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>
        <v>416.66666666666669</v>
      </c>
      <c r="E169" s="243">
        <v>0</v>
      </c>
      <c r="F169" s="244">
        <f>P!AJ171</f>
        <v>5</v>
      </c>
      <c r="G169" s="244">
        <f t="shared" si="14"/>
        <v>5</v>
      </c>
      <c r="H169" s="276"/>
      <c r="I169" s="277"/>
      <c r="J169" s="304"/>
      <c r="K169" s="277"/>
      <c r="L169" s="304"/>
      <c r="M169" s="277"/>
      <c r="N169" s="304"/>
      <c r="O169" s="277"/>
      <c r="P169" s="304">
        <v>5</v>
      </c>
      <c r="Q169" s="277">
        <v>5</v>
      </c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5</v>
      </c>
      <c r="AO169" s="252">
        <f>P!AK171</f>
        <v>370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>
        <v>512.24798530661542</v>
      </c>
      <c r="E170" s="243">
        <v>0.99999999999999645</v>
      </c>
      <c r="F170" s="244">
        <f>P!AJ172</f>
        <v>20.100000000000001</v>
      </c>
      <c r="G170" s="244">
        <f t="shared" si="14"/>
        <v>21.099999999999998</v>
      </c>
      <c r="H170" s="276"/>
      <c r="I170" s="305"/>
      <c r="J170" s="304">
        <v>5</v>
      </c>
      <c r="K170" s="305">
        <v>3.9</v>
      </c>
      <c r="L170" s="304"/>
      <c r="M170" s="305"/>
      <c r="N170" s="304"/>
      <c r="O170" s="305"/>
      <c r="P170" s="304"/>
      <c r="Q170" s="305"/>
      <c r="R170" s="304"/>
      <c r="S170" s="305"/>
      <c r="T170" s="304">
        <v>14</v>
      </c>
      <c r="U170" s="305">
        <v>14</v>
      </c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17.899999999999999</v>
      </c>
      <c r="AO170" s="252">
        <f>P!AK172</f>
        <v>459.85074626865668</v>
      </c>
      <c r="AP170" s="253">
        <f t="shared" si="11"/>
        <v>3.1999999999999993</v>
      </c>
      <c r="AQ170" s="70" t="str">
        <f t="shared" si="13"/>
        <v xml:space="preserve"> 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336</v>
      </c>
      <c r="C173" s="68" t="s">
        <v>9</v>
      </c>
      <c r="D173" s="243">
        <v>739.60396039603961</v>
      </c>
      <c r="E173" s="243">
        <v>0</v>
      </c>
      <c r="F173" s="244">
        <f>P!AJ175</f>
        <v>13.5</v>
      </c>
      <c r="G173" s="244">
        <f t="shared" si="14"/>
        <v>13.5</v>
      </c>
      <c r="H173" s="276"/>
      <c r="I173" s="277"/>
      <c r="J173" s="304"/>
      <c r="K173" s="277"/>
      <c r="L173" s="304"/>
      <c r="M173" s="277">
        <v>5</v>
      </c>
      <c r="N173" s="304"/>
      <c r="O173" s="277"/>
      <c r="P173" s="304"/>
      <c r="Q173" s="277"/>
      <c r="R173" s="304"/>
      <c r="S173" s="277"/>
      <c r="T173" s="304"/>
      <c r="U173" s="277"/>
      <c r="V173" s="304">
        <v>8</v>
      </c>
      <c r="W173" s="305">
        <v>8.5</v>
      </c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13.5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298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23.666666666666668</v>
      </c>
      <c r="E177" s="243">
        <v>0</v>
      </c>
      <c r="F177" s="244">
        <f>P!AJ179</f>
        <v>53</v>
      </c>
      <c r="G177" s="289">
        <f t="shared" si="14"/>
        <v>53</v>
      </c>
      <c r="H177" s="311">
        <v>2</v>
      </c>
      <c r="I177" s="316">
        <f>P!D179</f>
        <v>2</v>
      </c>
      <c r="J177" s="317">
        <v>7</v>
      </c>
      <c r="K177" s="316">
        <f>P!F179</f>
        <v>7</v>
      </c>
      <c r="L177" s="317"/>
      <c r="M177" s="316">
        <f>P!H179</f>
        <v>15</v>
      </c>
      <c r="N177" s="317">
        <v>3</v>
      </c>
      <c r="O177" s="316">
        <f>P!J179</f>
        <v>3</v>
      </c>
      <c r="P177" s="317"/>
      <c r="Q177" s="316">
        <f>P!L179</f>
        <v>2</v>
      </c>
      <c r="R177" s="317">
        <v>8</v>
      </c>
      <c r="S177" s="316">
        <f>P!N179</f>
        <v>8</v>
      </c>
      <c r="T177" s="317">
        <v>5</v>
      </c>
      <c r="U177" s="316">
        <f>P!P179</f>
        <v>5</v>
      </c>
      <c r="V177" s="317">
        <v>3</v>
      </c>
      <c r="W177" s="316">
        <f>P!R179</f>
        <v>3</v>
      </c>
      <c r="X177" s="317">
        <v>5</v>
      </c>
      <c r="Y177" s="316">
        <f>P!T179</f>
        <v>8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53</v>
      </c>
      <c r="AO177" s="324">
        <f>P!AK179</f>
        <v>23.528301886792452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310</v>
      </c>
      <c r="C178" s="68" t="s">
        <v>9</v>
      </c>
      <c r="D178" s="243">
        <v>81.008474576271183</v>
      </c>
      <c r="E178" s="243">
        <v>0</v>
      </c>
      <c r="F178" s="244">
        <f>P!AJ180</f>
        <v>65</v>
      </c>
      <c r="G178" s="289">
        <f t="shared" si="14"/>
        <v>65</v>
      </c>
      <c r="H178" s="311">
        <v>5</v>
      </c>
      <c r="I178" s="316">
        <f>P!D180</f>
        <v>5</v>
      </c>
      <c r="J178" s="317">
        <v>8</v>
      </c>
      <c r="K178" s="316">
        <f>P!F180</f>
        <v>8</v>
      </c>
      <c r="L178" s="317"/>
      <c r="M178" s="316">
        <f>P!H180</f>
        <v>20</v>
      </c>
      <c r="N178" s="317">
        <v>5</v>
      </c>
      <c r="O178" s="316">
        <f>P!J180</f>
        <v>5</v>
      </c>
      <c r="P178" s="317">
        <v>5</v>
      </c>
      <c r="Q178" s="316">
        <f>P!L180</f>
        <v>0</v>
      </c>
      <c r="R178" s="317">
        <v>7</v>
      </c>
      <c r="S178" s="316">
        <f>P!N180</f>
        <v>7</v>
      </c>
      <c r="T178" s="317">
        <v>5</v>
      </c>
      <c r="U178" s="316">
        <f>P!P180</f>
        <v>0</v>
      </c>
      <c r="V178" s="317">
        <v>20</v>
      </c>
      <c r="W178" s="316">
        <f>P!R180</f>
        <v>20</v>
      </c>
      <c r="X178" s="317">
        <v>10</v>
      </c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65</v>
      </c>
      <c r="AO178" s="324">
        <f>P!AK180</f>
        <v>80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184.85714285714286</v>
      </c>
      <c r="E179" s="243">
        <v>0</v>
      </c>
      <c r="F179" s="244">
        <f>P!AJ181</f>
        <v>9</v>
      </c>
      <c r="G179" s="289">
        <f t="shared" si="14"/>
        <v>9</v>
      </c>
      <c r="H179" s="311">
        <v>0.5</v>
      </c>
      <c r="I179" s="316">
        <f>P!D181</f>
        <v>0.5</v>
      </c>
      <c r="J179" s="317">
        <v>1</v>
      </c>
      <c r="K179" s="316">
        <f>P!F181</f>
        <v>1</v>
      </c>
      <c r="L179" s="317"/>
      <c r="M179" s="316">
        <f>P!H181</f>
        <v>2</v>
      </c>
      <c r="N179" s="317">
        <v>0.5</v>
      </c>
      <c r="O179" s="316">
        <f>P!J181</f>
        <v>0.5</v>
      </c>
      <c r="P179" s="317">
        <v>0.5</v>
      </c>
      <c r="Q179" s="316">
        <f>P!L181</f>
        <v>0.5</v>
      </c>
      <c r="R179" s="317">
        <v>0.5</v>
      </c>
      <c r="S179" s="316">
        <f>P!N181</f>
        <v>0.5</v>
      </c>
      <c r="T179" s="317">
        <v>1</v>
      </c>
      <c r="U179" s="316">
        <f>P!P181</f>
        <v>1</v>
      </c>
      <c r="V179" s="317">
        <v>3</v>
      </c>
      <c r="W179" s="316">
        <f>P!R181</f>
        <v>3</v>
      </c>
      <c r="X179" s="317">
        <v>1.5</v>
      </c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9</v>
      </c>
      <c r="AO179" s="324">
        <f>P!AK181</f>
        <v>193.88888888888889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396</v>
      </c>
      <c r="C180" s="68" t="s">
        <v>9</v>
      </c>
      <c r="D180" s="243">
        <v>165.5</v>
      </c>
      <c r="E180" s="243">
        <v>0</v>
      </c>
      <c r="F180" s="244">
        <f>P!AJ182</f>
        <v>6.5</v>
      </c>
      <c r="G180" s="289">
        <f t="shared" si="14"/>
        <v>6.5</v>
      </c>
      <c r="H180" s="311">
        <v>0.5</v>
      </c>
      <c r="I180" s="316">
        <f>P!D182</f>
        <v>0.5</v>
      </c>
      <c r="J180" s="317">
        <v>0.5</v>
      </c>
      <c r="K180" s="316">
        <f>P!F182</f>
        <v>0.5</v>
      </c>
      <c r="L180" s="317"/>
      <c r="M180" s="316">
        <f>P!H182</f>
        <v>1</v>
      </c>
      <c r="N180" s="317">
        <v>0.5</v>
      </c>
      <c r="O180" s="316">
        <f>P!J182</f>
        <v>0.5</v>
      </c>
      <c r="P180" s="317">
        <v>0.5</v>
      </c>
      <c r="Q180" s="316">
        <f>P!L182</f>
        <v>0.5</v>
      </c>
      <c r="R180" s="317">
        <v>0.5</v>
      </c>
      <c r="S180" s="316">
        <f>P!N182</f>
        <v>0.5</v>
      </c>
      <c r="T180" s="317">
        <v>0.5</v>
      </c>
      <c r="U180" s="316">
        <f>P!P182</f>
        <v>0.5</v>
      </c>
      <c r="V180" s="317">
        <v>1.5</v>
      </c>
      <c r="W180" s="316">
        <f>P!R182</f>
        <v>1.5</v>
      </c>
      <c r="X180" s="317">
        <v>1</v>
      </c>
      <c r="Y180" s="316">
        <f>P!T182</f>
        <v>1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6.5</v>
      </c>
      <c r="AO180" s="324">
        <f>P!AK182</f>
        <v>164.61538461538461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319</v>
      </c>
      <c r="C181" s="68" t="s">
        <v>9</v>
      </c>
      <c r="D181" s="243">
        <v>156.31578947368422</v>
      </c>
      <c r="E181" s="243">
        <v>0</v>
      </c>
      <c r="F181" s="244">
        <f>P!AJ183</f>
        <v>17.5</v>
      </c>
      <c r="G181" s="289">
        <f t="shared" si="14"/>
        <v>17.5</v>
      </c>
      <c r="H181" s="311">
        <v>1</v>
      </c>
      <c r="I181" s="316">
        <f>P!D183</f>
        <v>1</v>
      </c>
      <c r="J181" s="317">
        <v>1</v>
      </c>
      <c r="K181" s="316">
        <f>P!F183</f>
        <v>1</v>
      </c>
      <c r="L181" s="317"/>
      <c r="M181" s="316">
        <f>P!H183</f>
        <v>3</v>
      </c>
      <c r="N181" s="317">
        <v>1</v>
      </c>
      <c r="O181" s="316">
        <f>P!J183</f>
        <v>1</v>
      </c>
      <c r="P181" s="317">
        <v>1</v>
      </c>
      <c r="Q181" s="316">
        <f>P!L183</f>
        <v>1</v>
      </c>
      <c r="R181" s="317">
        <v>1.5</v>
      </c>
      <c r="S181" s="316">
        <f>P!N183</f>
        <v>1.5</v>
      </c>
      <c r="T181" s="317">
        <v>1</v>
      </c>
      <c r="U181" s="316">
        <f>P!P183</f>
        <v>2</v>
      </c>
      <c r="V181" s="317">
        <v>5</v>
      </c>
      <c r="W181" s="316">
        <f>P!R183</f>
        <v>5</v>
      </c>
      <c r="X181" s="317">
        <v>2</v>
      </c>
      <c r="Y181" s="316">
        <f>P!T183</f>
        <v>2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17.5</v>
      </c>
      <c r="AO181" s="324">
        <f>P!AK183</f>
        <v>147.71428571428572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8.279069767441861</v>
      </c>
      <c r="E182" s="243">
        <v>0</v>
      </c>
      <c r="F182" s="244">
        <f>P!AJ184</f>
        <v>231</v>
      </c>
      <c r="G182" s="289">
        <f t="shared" si="14"/>
        <v>231</v>
      </c>
      <c r="H182" s="311">
        <v>15</v>
      </c>
      <c r="I182" s="316">
        <f>P!D184</f>
        <v>15</v>
      </c>
      <c r="J182" s="317">
        <v>25</v>
      </c>
      <c r="K182" s="316">
        <f>P!F184</f>
        <v>26</v>
      </c>
      <c r="L182" s="317"/>
      <c r="M182" s="316">
        <f>P!H184</f>
        <v>35</v>
      </c>
      <c r="N182" s="317">
        <v>15</v>
      </c>
      <c r="O182" s="316">
        <f>P!J184</f>
        <v>15</v>
      </c>
      <c r="P182" s="317">
        <v>15</v>
      </c>
      <c r="Q182" s="316">
        <f>P!L184</f>
        <v>15</v>
      </c>
      <c r="R182" s="317">
        <v>20</v>
      </c>
      <c r="S182" s="316">
        <f>P!N184</f>
        <v>20</v>
      </c>
      <c r="T182" s="317">
        <v>20</v>
      </c>
      <c r="U182" s="316">
        <f>P!P184</f>
        <v>40</v>
      </c>
      <c r="V182" s="317">
        <v>40</v>
      </c>
      <c r="W182" s="316">
        <f>P!R184</f>
        <v>40</v>
      </c>
      <c r="X182" s="317">
        <v>25</v>
      </c>
      <c r="Y182" s="316">
        <f>P!T184</f>
        <v>25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231</v>
      </c>
      <c r="AO182" s="324">
        <f>P!AK184</f>
        <v>6.6969696969696972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55</v>
      </c>
      <c r="E183" s="243">
        <v>0</v>
      </c>
      <c r="F183" s="244">
        <f>P!AJ185</f>
        <v>50</v>
      </c>
      <c r="G183" s="289">
        <f t="shared" si="14"/>
        <v>50</v>
      </c>
      <c r="H183" s="311">
        <v>3</v>
      </c>
      <c r="I183" s="316">
        <f>P!D185</f>
        <v>3</v>
      </c>
      <c r="J183" s="317">
        <v>5</v>
      </c>
      <c r="K183" s="316">
        <f>P!F185</f>
        <v>5</v>
      </c>
      <c r="L183" s="317"/>
      <c r="M183" s="316">
        <f>P!H185</f>
        <v>8</v>
      </c>
      <c r="N183" s="317">
        <v>3</v>
      </c>
      <c r="O183" s="316">
        <f>P!J185</f>
        <v>3</v>
      </c>
      <c r="P183" s="317">
        <v>3</v>
      </c>
      <c r="Q183" s="316">
        <f>P!L185</f>
        <v>3</v>
      </c>
      <c r="R183" s="317">
        <v>4</v>
      </c>
      <c r="S183" s="316">
        <f>P!N185</f>
        <v>4</v>
      </c>
      <c r="T183" s="317">
        <v>4</v>
      </c>
      <c r="U183" s="316">
        <f>P!P185</f>
        <v>4</v>
      </c>
      <c r="V183" s="317">
        <v>15</v>
      </c>
      <c r="W183" s="316">
        <f>P!R185</f>
        <v>15</v>
      </c>
      <c r="X183" s="317">
        <v>5</v>
      </c>
      <c r="Y183" s="316">
        <f>P!T185</f>
        <v>5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50</v>
      </c>
      <c r="AO183" s="324">
        <f>P!AK185</f>
        <v>56.4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88.918918918918919</v>
      </c>
      <c r="E184" s="243">
        <v>0</v>
      </c>
      <c r="F184" s="244">
        <f>P!AJ186</f>
        <v>13</v>
      </c>
      <c r="G184" s="289">
        <f t="shared" si="14"/>
        <v>13</v>
      </c>
      <c r="H184" s="311">
        <v>1</v>
      </c>
      <c r="I184" s="316">
        <f>P!D186</f>
        <v>1</v>
      </c>
      <c r="J184" s="317">
        <v>2</v>
      </c>
      <c r="K184" s="316">
        <f>P!F186</f>
        <v>2</v>
      </c>
      <c r="L184" s="317"/>
      <c r="M184" s="316">
        <f>P!H186</f>
        <v>3</v>
      </c>
      <c r="N184" s="317">
        <v>1</v>
      </c>
      <c r="O184" s="316">
        <f>P!J186</f>
        <v>1</v>
      </c>
      <c r="P184" s="317">
        <v>1</v>
      </c>
      <c r="Q184" s="316">
        <f>P!L186</f>
        <v>1</v>
      </c>
      <c r="R184" s="317">
        <v>1</v>
      </c>
      <c r="S184" s="316">
        <f>P!N186</f>
        <v>1</v>
      </c>
      <c r="T184" s="317">
        <v>1</v>
      </c>
      <c r="U184" s="316">
        <f>P!P186</f>
        <v>1</v>
      </c>
      <c r="V184" s="317">
        <v>2</v>
      </c>
      <c r="W184" s="316">
        <f>P!R186</f>
        <v>2</v>
      </c>
      <c r="X184" s="317">
        <v>1</v>
      </c>
      <c r="Y184" s="316">
        <f>P!T186</f>
        <v>1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13</v>
      </c>
      <c r="AO184" s="324">
        <f>P!AK186</f>
        <v>90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77.368421052631575</v>
      </c>
      <c r="E185" s="243">
        <v>0</v>
      </c>
      <c r="F185" s="244">
        <f>P!AJ187</f>
        <v>16</v>
      </c>
      <c r="G185" s="289">
        <f t="shared" si="14"/>
        <v>16</v>
      </c>
      <c r="H185" s="311">
        <v>5</v>
      </c>
      <c r="I185" s="316">
        <f>P!D187</f>
        <v>5</v>
      </c>
      <c r="J185" s="317"/>
      <c r="K185" s="316">
        <f>P!F187</f>
        <v>0</v>
      </c>
      <c r="L185" s="317"/>
      <c r="M185" s="316">
        <f>P!H187</f>
        <v>3</v>
      </c>
      <c r="N185" s="317">
        <v>3</v>
      </c>
      <c r="O185" s="316">
        <f>P!J187</f>
        <v>3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5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16</v>
      </c>
      <c r="AO185" s="324">
        <f>P!AK187</f>
        <v>54.375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270</v>
      </c>
      <c r="C186" s="68" t="s">
        <v>9</v>
      </c>
      <c r="D186" s="243">
        <v>100</v>
      </c>
      <c r="E186" s="243">
        <v>0</v>
      </c>
      <c r="F186" s="244">
        <f>P!AJ188</f>
        <v>20</v>
      </c>
      <c r="G186" s="289">
        <f t="shared" si="14"/>
        <v>20</v>
      </c>
      <c r="H186" s="311"/>
      <c r="I186" s="316">
        <f>P!D188</f>
        <v>0</v>
      </c>
      <c r="J186" s="317">
        <v>10</v>
      </c>
      <c r="K186" s="316">
        <f>P!F188</f>
        <v>10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>
        <v>10</v>
      </c>
      <c r="Y186" s="316">
        <f>P!T188</f>
        <v>10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20</v>
      </c>
      <c r="AO186" s="324">
        <f>P!AK188</f>
        <v>57.5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50</v>
      </c>
      <c r="E187" s="243">
        <v>0</v>
      </c>
      <c r="F187" s="244">
        <f>P!AJ189</f>
        <v>36</v>
      </c>
      <c r="G187" s="289">
        <f t="shared" si="14"/>
        <v>36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>
        <v>15</v>
      </c>
      <c r="O187" s="316">
        <f>P!J189</f>
        <v>18</v>
      </c>
      <c r="P187" s="317"/>
      <c r="Q187" s="316">
        <f>P!L189</f>
        <v>0</v>
      </c>
      <c r="R187" s="317">
        <v>18</v>
      </c>
      <c r="S187" s="316">
        <f>P!N189</f>
        <v>18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36</v>
      </c>
      <c r="AO187" s="324">
        <f>P!AK189</f>
        <v>37.5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318</v>
      </c>
      <c r="C188" s="68" t="s">
        <v>31</v>
      </c>
      <c r="D188" s="243">
        <v>5.7635467980295569</v>
      </c>
      <c r="E188" s="243">
        <v>0</v>
      </c>
      <c r="F188" s="244">
        <f>P!AJ190</f>
        <v>145</v>
      </c>
      <c r="G188" s="289">
        <f t="shared" si="14"/>
        <v>145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32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1</v>
      </c>
      <c r="T188" s="317"/>
      <c r="U188" s="316">
        <f>P!P190</f>
        <v>0</v>
      </c>
      <c r="V188" s="317">
        <v>110</v>
      </c>
      <c r="W188" s="316">
        <f>P!R190</f>
        <v>112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145</v>
      </c>
      <c r="AO188" s="324">
        <f>P!AK190</f>
        <v>6.1310344827586203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25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18</v>
      </c>
      <c r="E190" s="243">
        <v>0</v>
      </c>
      <c r="F190" s="244">
        <f>P!AJ192</f>
        <v>90</v>
      </c>
      <c r="G190" s="289">
        <f t="shared" si="14"/>
        <v>90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>
        <v>30</v>
      </c>
      <c r="Y190" s="316">
        <f>P!T192</f>
        <v>90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90</v>
      </c>
      <c r="AO190" s="324">
        <f>P!AK192</f>
        <v>12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40</v>
      </c>
      <c r="E191" s="243">
        <v>0</v>
      </c>
      <c r="F191" s="244">
        <f>P!AJ193</f>
        <v>31</v>
      </c>
      <c r="G191" s="289">
        <f t="shared" si="14"/>
        <v>31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>
        <v>5</v>
      </c>
      <c r="Q191" s="316">
        <f>P!L193</f>
        <v>6</v>
      </c>
      <c r="R191" s="317"/>
      <c r="S191" s="316">
        <f>P!N193</f>
        <v>0</v>
      </c>
      <c r="T191" s="317"/>
      <c r="U191" s="316">
        <f>P!P193</f>
        <v>0</v>
      </c>
      <c r="V191" s="317">
        <v>20</v>
      </c>
      <c r="W191" s="316">
        <f>P!R193</f>
        <v>25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31</v>
      </c>
      <c r="AO191" s="324">
        <f>P!AK193</f>
        <v>23.548387096774192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43.4</v>
      </c>
      <c r="E193" s="243">
        <v>0</v>
      </c>
      <c r="F193" s="244">
        <f>P!AJ195</f>
        <v>8</v>
      </c>
      <c r="G193" s="289">
        <f t="shared" si="14"/>
        <v>8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>
        <v>8</v>
      </c>
      <c r="Q193" s="316">
        <f>P!L195</f>
        <v>8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8</v>
      </c>
      <c r="AO193" s="324">
        <f>P!AK195</f>
        <v>40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34.527059579251649</v>
      </c>
      <c r="E194" s="243">
        <v>0</v>
      </c>
      <c r="F194" s="244">
        <f>P!AJ196</f>
        <v>64.400000000000006</v>
      </c>
      <c r="G194" s="289">
        <f t="shared" si="14"/>
        <v>64.400000000000006</v>
      </c>
      <c r="H194" s="311">
        <v>15</v>
      </c>
      <c r="I194" s="316">
        <f>P!D196</f>
        <v>14</v>
      </c>
      <c r="J194" s="317">
        <v>4</v>
      </c>
      <c r="K194" s="316">
        <f>P!F196</f>
        <v>5</v>
      </c>
      <c r="L194" s="317"/>
      <c r="M194" s="316">
        <f>P!H196</f>
        <v>10</v>
      </c>
      <c r="N194" s="317"/>
      <c r="O194" s="316">
        <f>P!J196</f>
        <v>0</v>
      </c>
      <c r="P194" s="317">
        <v>15</v>
      </c>
      <c r="Q194" s="316">
        <f>P!L196</f>
        <v>15.1</v>
      </c>
      <c r="R194" s="317"/>
      <c r="S194" s="316">
        <f>P!N196</f>
        <v>0</v>
      </c>
      <c r="T194" s="317"/>
      <c r="U194" s="316">
        <f>P!P196</f>
        <v>0</v>
      </c>
      <c r="V194" s="317">
        <v>20</v>
      </c>
      <c r="W194" s="316">
        <f>P!R196</f>
        <v>20.3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64.400000000000006</v>
      </c>
      <c r="AO194" s="324">
        <f>P!AK196</f>
        <v>34.984472049689437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320</v>
      </c>
      <c r="C195" s="68" t="s">
        <v>9</v>
      </c>
      <c r="D195" s="243">
        <v>25.35</v>
      </c>
      <c r="E195" s="243">
        <v>0</v>
      </c>
      <c r="F195" s="244">
        <f>P!AJ197</f>
        <v>58</v>
      </c>
      <c r="G195" s="289">
        <f t="shared" si="14"/>
        <v>58</v>
      </c>
      <c r="H195" s="311">
        <v>3</v>
      </c>
      <c r="I195" s="316">
        <f>P!D197</f>
        <v>3</v>
      </c>
      <c r="J195" s="317">
        <v>10</v>
      </c>
      <c r="K195" s="316">
        <f>P!F197</f>
        <v>10</v>
      </c>
      <c r="L195" s="317"/>
      <c r="M195" s="316">
        <f>P!H197</f>
        <v>30</v>
      </c>
      <c r="N195" s="317">
        <v>1</v>
      </c>
      <c r="O195" s="316">
        <f>P!J197</f>
        <v>1</v>
      </c>
      <c r="P195" s="317">
        <v>3</v>
      </c>
      <c r="Q195" s="316">
        <f>P!L197</f>
        <v>3</v>
      </c>
      <c r="R195" s="317">
        <v>1</v>
      </c>
      <c r="S195" s="316">
        <f>P!N197</f>
        <v>0</v>
      </c>
      <c r="T195" s="317">
        <v>7</v>
      </c>
      <c r="U195" s="316">
        <f>P!P197</f>
        <v>7</v>
      </c>
      <c r="V195" s="317">
        <v>4</v>
      </c>
      <c r="W195" s="316">
        <f>P!R197</f>
        <v>4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58</v>
      </c>
      <c r="AO195" s="324">
        <f>P!AK197</f>
        <v>20.603448275862068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321</v>
      </c>
      <c r="C196" s="68" t="s">
        <v>9</v>
      </c>
      <c r="D196" s="243">
        <v>110</v>
      </c>
      <c r="E196" s="243">
        <v>0</v>
      </c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110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271</v>
      </c>
      <c r="C197" s="68" t="s">
        <v>9</v>
      </c>
      <c r="D197" s="243">
        <v>114.375</v>
      </c>
      <c r="E197" s="243">
        <v>0</v>
      </c>
      <c r="F197" s="244">
        <f>P!AJ199</f>
        <v>13</v>
      </c>
      <c r="G197" s="289">
        <f t="shared" ref="G197:G252" si="18">E197+F197</f>
        <v>13</v>
      </c>
      <c r="H197" s="311">
        <v>1</v>
      </c>
      <c r="I197" s="316">
        <f>P!D199</f>
        <v>1</v>
      </c>
      <c r="J197" s="317">
        <v>1</v>
      </c>
      <c r="K197" s="316">
        <f>P!F199</f>
        <v>1</v>
      </c>
      <c r="L197" s="317"/>
      <c r="M197" s="316">
        <f>P!H199</f>
        <v>3</v>
      </c>
      <c r="N197" s="317">
        <v>1</v>
      </c>
      <c r="O197" s="316">
        <f>P!J199</f>
        <v>1</v>
      </c>
      <c r="P197" s="317">
        <v>2</v>
      </c>
      <c r="Q197" s="316">
        <f>P!L199</f>
        <v>2</v>
      </c>
      <c r="R197" s="317">
        <v>1</v>
      </c>
      <c r="S197" s="316">
        <f>P!N199</f>
        <v>1</v>
      </c>
      <c r="T197" s="317">
        <v>1</v>
      </c>
      <c r="U197" s="316">
        <f>P!P199</f>
        <v>1</v>
      </c>
      <c r="V197" s="317">
        <v>2</v>
      </c>
      <c r="W197" s="316">
        <f>P!R199</f>
        <v>2</v>
      </c>
      <c r="X197" s="317">
        <v>1</v>
      </c>
      <c r="Y197" s="316">
        <f>P!T199</f>
        <v>1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13</v>
      </c>
      <c r="AO197" s="324">
        <f>P!AK199</f>
        <v>106.92307692307692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272</v>
      </c>
      <c r="C198" s="68" t="s">
        <v>9</v>
      </c>
      <c r="D198" s="243">
        <v>135.23809523809524</v>
      </c>
      <c r="E198" s="243">
        <v>0</v>
      </c>
      <c r="F198" s="244">
        <f>P!AJ200</f>
        <v>6.5</v>
      </c>
      <c r="G198" s="289">
        <f t="shared" si="18"/>
        <v>6.5</v>
      </c>
      <c r="H198" s="311">
        <v>0.5</v>
      </c>
      <c r="I198" s="316">
        <f>P!D200</f>
        <v>0.5</v>
      </c>
      <c r="J198" s="317">
        <v>0.5</v>
      </c>
      <c r="K198" s="316">
        <f>P!F200</f>
        <v>0.5</v>
      </c>
      <c r="L198" s="317"/>
      <c r="M198" s="316">
        <f>P!H200</f>
        <v>2.5</v>
      </c>
      <c r="N198" s="317">
        <v>0.5</v>
      </c>
      <c r="O198" s="316">
        <f>P!J200</f>
        <v>0.5</v>
      </c>
      <c r="P198" s="317">
        <v>0.5</v>
      </c>
      <c r="Q198" s="316">
        <f>P!L200</f>
        <v>0.5</v>
      </c>
      <c r="R198" s="317">
        <v>0.5</v>
      </c>
      <c r="S198" s="316">
        <f>P!N200</f>
        <v>0.5</v>
      </c>
      <c r="T198" s="317">
        <v>0.5</v>
      </c>
      <c r="U198" s="316">
        <f>P!P200</f>
        <v>0.5</v>
      </c>
      <c r="V198" s="317">
        <v>0.5</v>
      </c>
      <c r="W198" s="316">
        <f>P!R200</f>
        <v>0.5</v>
      </c>
      <c r="X198" s="317">
        <v>0.5</v>
      </c>
      <c r="Y198" s="316">
        <f>P!T200</f>
        <v>0.5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6.5</v>
      </c>
      <c r="AO198" s="324">
        <f>P!AK200</f>
        <v>114.61538461538461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273</v>
      </c>
      <c r="C199" s="68" t="s">
        <v>9</v>
      </c>
      <c r="D199" s="243">
        <v>145</v>
      </c>
      <c r="E199" s="243">
        <v>0</v>
      </c>
      <c r="F199" s="244">
        <f>P!AJ201</f>
        <v>1</v>
      </c>
      <c r="G199" s="289">
        <f t="shared" si="18"/>
        <v>1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1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1</v>
      </c>
      <c r="AO199" s="324">
        <f>P!AK201</f>
        <v>120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317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316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60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75.454545454545453</v>
      </c>
      <c r="E203" s="243">
        <v>0</v>
      </c>
      <c r="F203" s="244">
        <f>P!AJ205</f>
        <v>22</v>
      </c>
      <c r="G203" s="289">
        <f t="shared" si="18"/>
        <v>22</v>
      </c>
      <c r="H203" s="311">
        <v>5</v>
      </c>
      <c r="I203" s="316">
        <f>P!D205</f>
        <v>5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5</v>
      </c>
      <c r="P203" s="317"/>
      <c r="Q203" s="316">
        <f>P!L205</f>
        <v>0</v>
      </c>
      <c r="R203" s="317"/>
      <c r="S203" s="316">
        <f>P!N205</f>
        <v>5</v>
      </c>
      <c r="T203" s="317"/>
      <c r="U203" s="316">
        <f>P!P205</f>
        <v>0</v>
      </c>
      <c r="V203" s="317">
        <v>7</v>
      </c>
      <c r="W203" s="316">
        <f>P!R205</f>
        <v>7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22</v>
      </c>
      <c r="AO203" s="324">
        <f>P!AK205</f>
        <v>44.090909090909093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43.75</v>
      </c>
      <c r="E204" s="243">
        <v>0</v>
      </c>
      <c r="F204" s="244">
        <f>P!AJ206</f>
        <v>8</v>
      </c>
      <c r="G204" s="289">
        <f t="shared" si="18"/>
        <v>8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4</v>
      </c>
      <c r="N204" s="317">
        <v>1</v>
      </c>
      <c r="O204" s="316">
        <f>P!J206</f>
        <v>2</v>
      </c>
      <c r="P204" s="317"/>
      <c r="Q204" s="316">
        <f>P!L206</f>
        <v>0</v>
      </c>
      <c r="R204" s="317">
        <v>2</v>
      </c>
      <c r="S204" s="316">
        <f>P!N206</f>
        <v>2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8</v>
      </c>
      <c r="AO204" s="324">
        <f>P!AK206</f>
        <v>42.5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56</v>
      </c>
      <c r="E205" s="243">
        <v>0</v>
      </c>
      <c r="F205" s="244">
        <f>P!AJ207</f>
        <v>2</v>
      </c>
      <c r="G205" s="289">
        <f t="shared" si="18"/>
        <v>2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2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2</v>
      </c>
      <c r="AO205" s="324">
        <f>P!AK207</f>
        <v>50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46.25</v>
      </c>
      <c r="E206" s="243">
        <v>0</v>
      </c>
      <c r="F206" s="244">
        <f>P!AJ208</f>
        <v>49</v>
      </c>
      <c r="G206" s="289">
        <f t="shared" si="18"/>
        <v>49</v>
      </c>
      <c r="H206" s="311"/>
      <c r="I206" s="316">
        <f>P!D208</f>
        <v>0</v>
      </c>
      <c r="J206" s="317">
        <v>5</v>
      </c>
      <c r="K206" s="316">
        <f>P!F208</f>
        <v>5</v>
      </c>
      <c r="L206" s="317"/>
      <c r="M206" s="316">
        <f>P!H208</f>
        <v>30</v>
      </c>
      <c r="N206" s="317">
        <v>1</v>
      </c>
      <c r="O206" s="316">
        <f>P!J208</f>
        <v>1</v>
      </c>
      <c r="P206" s="317"/>
      <c r="Q206" s="316">
        <f>P!L208</f>
        <v>0</v>
      </c>
      <c r="R206" s="317">
        <v>1</v>
      </c>
      <c r="S206" s="316">
        <f>P!N208</f>
        <v>1</v>
      </c>
      <c r="T206" s="317">
        <v>5</v>
      </c>
      <c r="U206" s="316">
        <f>P!P208</f>
        <v>12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49</v>
      </c>
      <c r="AO206" s="324">
        <f>P!AK208</f>
        <v>42.346938775510203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67.18518518518519</v>
      </c>
      <c r="E207" s="243">
        <v>0</v>
      </c>
      <c r="F207" s="244">
        <f>P!AJ209</f>
        <v>15</v>
      </c>
      <c r="G207" s="289">
        <f t="shared" si="18"/>
        <v>15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>
        <v>5</v>
      </c>
      <c r="S207" s="316">
        <f>P!N209</f>
        <v>0</v>
      </c>
      <c r="T207" s="317">
        <v>15</v>
      </c>
      <c r="U207" s="316">
        <f>P!P209</f>
        <v>15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15</v>
      </c>
      <c r="AO207" s="324">
        <f>P!AK209</f>
        <v>35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397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40</v>
      </c>
      <c r="E209" s="243">
        <v>0</v>
      </c>
      <c r="F209" s="244">
        <f>P!AJ211</f>
        <v>8</v>
      </c>
      <c r="G209" s="289">
        <f t="shared" si="18"/>
        <v>8</v>
      </c>
      <c r="H209" s="311"/>
      <c r="I209" s="316">
        <f>P!D211</f>
        <v>0</v>
      </c>
      <c r="J209" s="317">
        <v>3</v>
      </c>
      <c r="K209" s="316">
        <f>P!F211</f>
        <v>3</v>
      </c>
      <c r="L209" s="317"/>
      <c r="M209" s="316">
        <f>P!H211</f>
        <v>0</v>
      </c>
      <c r="N209" s="317"/>
      <c r="O209" s="316">
        <f>P!J211</f>
        <v>0</v>
      </c>
      <c r="P209" s="317">
        <v>5</v>
      </c>
      <c r="Q209" s="316">
        <f>P!L211</f>
        <v>5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8</v>
      </c>
      <c r="AO209" s="324">
        <f>P!AK211</f>
        <v>36.875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323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282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274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311</v>
      </c>
      <c r="C214" s="68" t="s">
        <v>9</v>
      </c>
      <c r="D214" s="243">
        <v>83.75</v>
      </c>
      <c r="E214" s="243">
        <v>0</v>
      </c>
      <c r="F214" s="244">
        <f>P!AJ216</f>
        <v>46</v>
      </c>
      <c r="G214" s="244">
        <f t="shared" si="18"/>
        <v>46</v>
      </c>
      <c r="H214" s="276"/>
      <c r="I214" s="305"/>
      <c r="J214" s="304"/>
      <c r="K214" s="305"/>
      <c r="L214" s="304"/>
      <c r="M214" s="305">
        <v>5</v>
      </c>
      <c r="N214" s="304">
        <v>1</v>
      </c>
      <c r="O214" s="305">
        <v>1</v>
      </c>
      <c r="P214" s="304"/>
      <c r="Q214" s="305"/>
      <c r="R214" s="304">
        <v>1</v>
      </c>
      <c r="S214" s="305">
        <v>1</v>
      </c>
      <c r="T214" s="304">
        <v>1</v>
      </c>
      <c r="U214" s="305">
        <v>1</v>
      </c>
      <c r="V214" s="304">
        <v>35</v>
      </c>
      <c r="W214" s="305">
        <v>38</v>
      </c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46</v>
      </c>
      <c r="AO214" s="314">
        <f>P!AK216</f>
        <v>83.478260869565219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353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275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500</v>
      </c>
      <c r="E228" s="243">
        <v>0</v>
      </c>
      <c r="F228" s="244">
        <f>P!AJ230</f>
        <v>4</v>
      </c>
      <c r="G228" s="244">
        <f t="shared" si="18"/>
        <v>4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2.4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1.6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4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281</v>
      </c>
      <c r="C229" s="68" t="s">
        <v>9</v>
      </c>
      <c r="D229" s="243">
        <v>685.20461699895066</v>
      </c>
      <c r="E229" s="243">
        <v>0</v>
      </c>
      <c r="F229" s="244">
        <f>P!AJ231</f>
        <v>23.099999999999998</v>
      </c>
      <c r="G229" s="244">
        <f t="shared" si="18"/>
        <v>23.099999999999998</v>
      </c>
      <c r="H229" s="311">
        <v>36</v>
      </c>
      <c r="I229" s="316">
        <f>P!D231</f>
        <v>2.6</v>
      </c>
      <c r="J229" s="317">
        <v>50</v>
      </c>
      <c r="K229" s="316">
        <f>P!F231</f>
        <v>3.8</v>
      </c>
      <c r="L229" s="317"/>
      <c r="M229" s="316">
        <f>P!H231</f>
        <v>0</v>
      </c>
      <c r="N229" s="317"/>
      <c r="O229" s="316">
        <f>P!J231</f>
        <v>1.1000000000000001</v>
      </c>
      <c r="P229" s="317"/>
      <c r="Q229" s="316">
        <f>P!L231</f>
        <v>5.9</v>
      </c>
      <c r="R229" s="317">
        <v>4</v>
      </c>
      <c r="S229" s="316">
        <f>P!N231</f>
        <v>4</v>
      </c>
      <c r="T229" s="317"/>
      <c r="U229" s="316">
        <f>P!P231</f>
        <v>0</v>
      </c>
      <c r="V229" s="317">
        <v>3.3</v>
      </c>
      <c r="W229" s="316">
        <f>P!R231</f>
        <v>3.3</v>
      </c>
      <c r="X229" s="317">
        <v>30</v>
      </c>
      <c r="Y229" s="316">
        <f>P!T231</f>
        <v>2.4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23.099999999999998</v>
      </c>
      <c r="AO229" s="324">
        <f>P!AK231</f>
        <v>687.79220779220782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294</v>
      </c>
      <c r="C230" s="68" t="s">
        <v>9</v>
      </c>
      <c r="D230" s="243">
        <v>860.10352720086416</v>
      </c>
      <c r="E230" s="243">
        <v>32.024999999999991</v>
      </c>
      <c r="F230" s="244">
        <f>P!AJ232</f>
        <v>24</v>
      </c>
      <c r="G230" s="244">
        <f>E230+F230</f>
        <v>56.024999999999991</v>
      </c>
      <c r="H230" s="276">
        <v>0.5</v>
      </c>
      <c r="I230" s="305">
        <v>2</v>
      </c>
      <c r="J230" s="304"/>
      <c r="K230" s="305">
        <v>4</v>
      </c>
      <c r="L230" s="304"/>
      <c r="M230" s="305">
        <v>6.5</v>
      </c>
      <c r="N230" s="304">
        <v>0.5</v>
      </c>
      <c r="O230" s="305">
        <v>2</v>
      </c>
      <c r="P230" s="304">
        <v>0.5</v>
      </c>
      <c r="Q230" s="305">
        <v>3</v>
      </c>
      <c r="R230" s="304">
        <v>2</v>
      </c>
      <c r="S230" s="305">
        <v>2</v>
      </c>
      <c r="T230" s="304">
        <v>1.5</v>
      </c>
      <c r="U230" s="305">
        <v>2</v>
      </c>
      <c r="V230" s="304">
        <v>4</v>
      </c>
      <c r="W230" s="305">
        <v>3.3</v>
      </c>
      <c r="X230" s="304">
        <v>4</v>
      </c>
      <c r="Y230" s="305">
        <v>4.2</v>
      </c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29</v>
      </c>
      <c r="AO230" s="314">
        <f>P!AK232</f>
        <v>950</v>
      </c>
      <c r="AP230" s="315">
        <f t="shared" si="15"/>
        <v>27.024999999999991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1.4000000618479078</v>
      </c>
      <c r="E231" s="243">
        <v>1476</v>
      </c>
      <c r="F231" s="244">
        <f>P!AJ233</f>
        <v>3000</v>
      </c>
      <c r="G231" s="244">
        <f>E231+F231</f>
        <v>4476</v>
      </c>
      <c r="H231" s="276">
        <v>65</v>
      </c>
      <c r="I231" s="305">
        <v>173</v>
      </c>
      <c r="J231" s="304">
        <v>110</v>
      </c>
      <c r="K231" s="305">
        <v>250</v>
      </c>
      <c r="L231" s="304"/>
      <c r="M231" s="305">
        <v>370</v>
      </c>
      <c r="N231" s="304">
        <v>30</v>
      </c>
      <c r="O231" s="305">
        <v>120</v>
      </c>
      <c r="P231" s="304">
        <v>30</v>
      </c>
      <c r="Q231" s="305">
        <v>150</v>
      </c>
      <c r="R231" s="304">
        <v>150</v>
      </c>
      <c r="S231" s="305">
        <v>50</v>
      </c>
      <c r="T231" s="304">
        <v>80</v>
      </c>
      <c r="U231" s="305">
        <v>80</v>
      </c>
      <c r="V231" s="304">
        <v>220</v>
      </c>
      <c r="W231" s="305">
        <v>230</v>
      </c>
      <c r="X231" s="304">
        <v>230</v>
      </c>
      <c r="Y231" s="305">
        <v>260</v>
      </c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1683</v>
      </c>
      <c r="AO231" s="252">
        <f>P!AK233</f>
        <v>1.4</v>
      </c>
      <c r="AP231" s="253">
        <f t="shared" si="15"/>
        <v>2793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66.477780388401257</v>
      </c>
      <c r="E232" s="243">
        <v>29.800000000000011</v>
      </c>
      <c r="F232" s="244">
        <f>P!AJ234</f>
        <v>594</v>
      </c>
      <c r="G232" s="244">
        <f t="shared" si="18"/>
        <v>623.79999999999995</v>
      </c>
      <c r="H232" s="276">
        <v>30</v>
      </c>
      <c r="I232" s="305">
        <v>29</v>
      </c>
      <c r="J232" s="304">
        <v>30</v>
      </c>
      <c r="K232" s="305">
        <v>63</v>
      </c>
      <c r="L232" s="304"/>
      <c r="M232" s="305">
        <v>130</v>
      </c>
      <c r="N232" s="304">
        <v>30</v>
      </c>
      <c r="O232" s="305">
        <v>30</v>
      </c>
      <c r="P232" s="304">
        <v>30</v>
      </c>
      <c r="Q232" s="305">
        <v>27</v>
      </c>
      <c r="R232" s="304"/>
      <c r="S232" s="305"/>
      <c r="T232" s="304">
        <v>54</v>
      </c>
      <c r="U232" s="305">
        <v>54</v>
      </c>
      <c r="V232" s="304">
        <v>194</v>
      </c>
      <c r="W232" s="305">
        <v>194</v>
      </c>
      <c r="X232" s="304">
        <v>80</v>
      </c>
      <c r="Y232" s="305">
        <v>80</v>
      </c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607</v>
      </c>
      <c r="AO232" s="252">
        <f>P!AK234</f>
        <v>25</v>
      </c>
      <c r="AP232" s="253">
        <f t="shared" si="15"/>
        <v>16.799999999999955</v>
      </c>
      <c r="AQ232" s="70" t="str">
        <f t="shared" si="17"/>
        <v xml:space="preserve"> </v>
      </c>
    </row>
    <row r="233" spans="1:43">
      <c r="A233" s="68">
        <v>231</v>
      </c>
      <c r="B233" s="92" t="s">
        <v>276</v>
      </c>
      <c r="C233" s="68" t="s">
        <v>9</v>
      </c>
      <c r="D233" s="243">
        <v>500</v>
      </c>
      <c r="E233" s="243">
        <v>0</v>
      </c>
      <c r="F233" s="244">
        <f>P!AJ235</f>
        <v>3.6</v>
      </c>
      <c r="G233" s="244">
        <f t="shared" si="18"/>
        <v>3.6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>
        <v>50</v>
      </c>
      <c r="W233" s="305">
        <v>3.6</v>
      </c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3.6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283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285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284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277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278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279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394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384</v>
      </c>
      <c r="C242" s="68" t="s">
        <v>31</v>
      </c>
      <c r="D242" s="243">
        <v>280</v>
      </c>
      <c r="E242" s="243">
        <v>0</v>
      </c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280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9.4663043478260871</v>
      </c>
      <c r="E243" s="243">
        <v>0</v>
      </c>
      <c r="F243" s="244">
        <f>P!AJ245</f>
        <v>1025</v>
      </c>
      <c r="G243" s="293">
        <f t="shared" si="18"/>
        <v>1025</v>
      </c>
      <c r="H243" s="292"/>
      <c r="I243" s="316">
        <f>P!D245</f>
        <v>70</v>
      </c>
      <c r="J243" s="317"/>
      <c r="K243" s="316">
        <f>P!F245</f>
        <v>118</v>
      </c>
      <c r="L243" s="317"/>
      <c r="M243" s="316">
        <f>P!H245</f>
        <v>158</v>
      </c>
      <c r="N243" s="317"/>
      <c r="O243" s="316">
        <f>P!J245</f>
        <v>0</v>
      </c>
      <c r="P243" s="317"/>
      <c r="Q243" s="316">
        <f>P!L245</f>
        <v>85</v>
      </c>
      <c r="R243" s="317"/>
      <c r="S243" s="316">
        <f>P!N245</f>
        <v>99</v>
      </c>
      <c r="T243" s="317"/>
      <c r="U243" s="316">
        <f>P!P245</f>
        <v>216</v>
      </c>
      <c r="V243" s="317"/>
      <c r="W243" s="316">
        <f>P!R245</f>
        <v>224</v>
      </c>
      <c r="X243" s="317"/>
      <c r="Y243" s="316">
        <f>P!T245</f>
        <v>55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1025</v>
      </c>
      <c r="AO243" s="322">
        <f>P!AK245</f>
        <v>8.6926829268292689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393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349.99999465430227</v>
      </c>
      <c r="E245" s="243">
        <v>15</v>
      </c>
      <c r="F245" s="244">
        <f>P!AJ247</f>
        <v>30</v>
      </c>
      <c r="G245" s="244">
        <f t="shared" si="18"/>
        <v>45</v>
      </c>
      <c r="H245" s="276"/>
      <c r="I245" s="305">
        <v>2</v>
      </c>
      <c r="J245" s="304">
        <v>1</v>
      </c>
      <c r="K245" s="305">
        <v>1.5</v>
      </c>
      <c r="L245" s="304"/>
      <c r="M245" s="305">
        <v>3</v>
      </c>
      <c r="N245" s="304">
        <v>0.5</v>
      </c>
      <c r="O245" s="305"/>
      <c r="P245" s="304"/>
      <c r="Q245" s="305"/>
      <c r="R245" s="304">
        <v>1</v>
      </c>
      <c r="S245" s="305">
        <v>1</v>
      </c>
      <c r="T245" s="304"/>
      <c r="U245" s="305"/>
      <c r="V245" s="304">
        <v>28</v>
      </c>
      <c r="W245" s="305">
        <v>21</v>
      </c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28.5</v>
      </c>
      <c r="AO245" s="314">
        <f>P!AK247</f>
        <v>350</v>
      </c>
      <c r="AP245" s="315">
        <f t="shared" si="15"/>
        <v>16.5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25</v>
      </c>
      <c r="E246" s="243">
        <v>0</v>
      </c>
      <c r="F246" s="244">
        <f>P!AJ248</f>
        <v>4240</v>
      </c>
      <c r="G246" s="293">
        <f>E246+F246</f>
        <v>4240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100</v>
      </c>
      <c r="N246" s="317"/>
      <c r="O246" s="316">
        <f>P!J248</f>
        <v>4000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140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4240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403</v>
      </c>
      <c r="C247" s="68" t="s">
        <v>31</v>
      </c>
      <c r="D247" s="243">
        <v>1</v>
      </c>
      <c r="E247" s="243">
        <v>0</v>
      </c>
      <c r="F247" s="297">
        <f>P!AJ249</f>
        <v>31040</v>
      </c>
      <c r="G247" s="298">
        <f t="shared" si="18"/>
        <v>31040</v>
      </c>
      <c r="H247" s="292"/>
      <c r="I247" s="316">
        <f>P!D249</f>
        <v>840</v>
      </c>
      <c r="J247" s="317"/>
      <c r="K247" s="316">
        <f>P!F249</f>
        <v>1175</v>
      </c>
      <c r="L247" s="317"/>
      <c r="M247" s="316">
        <f>P!H249</f>
        <v>1065</v>
      </c>
      <c r="N247" s="317"/>
      <c r="O247" s="316">
        <f>P!J249</f>
        <v>0</v>
      </c>
      <c r="P247" s="317"/>
      <c r="Q247" s="316">
        <f>P!L249</f>
        <v>14860</v>
      </c>
      <c r="R247" s="317"/>
      <c r="S247" s="316">
        <f>P!N249</f>
        <v>1000</v>
      </c>
      <c r="T247" s="317"/>
      <c r="U247" s="316">
        <f>P!P249</f>
        <v>3600</v>
      </c>
      <c r="V247" s="317"/>
      <c r="W247" s="316">
        <f>P!R249</f>
        <v>7530</v>
      </c>
      <c r="X247" s="317"/>
      <c r="Y247" s="316">
        <f>P!T249</f>
        <v>970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31040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240</v>
      </c>
      <c r="G248" s="289">
        <f t="shared" si="18"/>
        <v>240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60</v>
      </c>
      <c r="R248" s="317"/>
      <c r="S248" s="316">
        <f>P!N250</f>
        <v>60</v>
      </c>
      <c r="T248" s="317"/>
      <c r="U248" s="316">
        <f>P!P250</f>
        <v>0</v>
      </c>
      <c r="V248" s="317"/>
      <c r="W248" s="316">
        <f>P!R250</f>
        <v>60</v>
      </c>
      <c r="X248" s="317"/>
      <c r="Y248" s="316">
        <f>P!T250</f>
        <v>60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240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322</v>
      </c>
      <c r="C249" s="68" t="s">
        <v>10</v>
      </c>
      <c r="D249" s="243">
        <v>1</v>
      </c>
      <c r="E249" s="243">
        <v>0</v>
      </c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920</v>
      </c>
      <c r="G250" s="289">
        <f t="shared" si="18"/>
        <v>920</v>
      </c>
      <c r="H250" s="311"/>
      <c r="I250" s="316">
        <f>P!D252</f>
        <v>100</v>
      </c>
      <c r="J250" s="317"/>
      <c r="K250" s="316">
        <f>P!F252</f>
        <v>60</v>
      </c>
      <c r="L250" s="317"/>
      <c r="M250" s="316">
        <f>P!H252</f>
        <v>50</v>
      </c>
      <c r="N250" s="317"/>
      <c r="O250" s="316">
        <f>P!J252</f>
        <v>50</v>
      </c>
      <c r="P250" s="317"/>
      <c r="Q250" s="316">
        <f>P!L252</f>
        <v>100</v>
      </c>
      <c r="R250" s="317"/>
      <c r="S250" s="316">
        <f>P!N252</f>
        <v>50</v>
      </c>
      <c r="T250" s="317"/>
      <c r="U250" s="316">
        <f>P!P252</f>
        <v>150</v>
      </c>
      <c r="V250" s="317"/>
      <c r="W250" s="316">
        <f>P!R252</f>
        <v>230</v>
      </c>
      <c r="X250" s="317"/>
      <c r="Y250" s="316">
        <f>P!T252</f>
        <v>130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920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4370</v>
      </c>
      <c r="G251" s="289">
        <f t="shared" si="18"/>
        <v>4370</v>
      </c>
      <c r="H251" s="311"/>
      <c r="I251" s="316">
        <f>P!D253</f>
        <v>270</v>
      </c>
      <c r="J251" s="317"/>
      <c r="K251" s="316">
        <f>P!F253</f>
        <v>410</v>
      </c>
      <c r="L251" s="317"/>
      <c r="M251" s="316">
        <f>P!H253</f>
        <v>880</v>
      </c>
      <c r="N251" s="317"/>
      <c r="O251" s="316">
        <f>P!J253</f>
        <v>260</v>
      </c>
      <c r="P251" s="317"/>
      <c r="Q251" s="316">
        <f>P!L253</f>
        <v>580</v>
      </c>
      <c r="R251" s="317"/>
      <c r="S251" s="316">
        <f>P!N253</f>
        <v>440</v>
      </c>
      <c r="T251" s="317"/>
      <c r="U251" s="316">
        <f>P!P253</f>
        <v>240</v>
      </c>
      <c r="V251" s="317"/>
      <c r="W251" s="316">
        <f>P!R253</f>
        <v>860</v>
      </c>
      <c r="X251" s="317"/>
      <c r="Y251" s="316">
        <f>P!T253</f>
        <v>430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4370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34200</v>
      </c>
      <c r="G252" s="289">
        <f t="shared" si="18"/>
        <v>34200</v>
      </c>
      <c r="H252" s="311"/>
      <c r="I252" s="316">
        <f>P!D254</f>
        <v>2000</v>
      </c>
      <c r="J252" s="317"/>
      <c r="K252" s="316">
        <f>P!F254</f>
        <v>2100</v>
      </c>
      <c r="L252" s="317"/>
      <c r="M252" s="316">
        <f>P!H254</f>
        <v>5300</v>
      </c>
      <c r="N252" s="317"/>
      <c r="O252" s="316">
        <f>P!J254</f>
        <v>3300</v>
      </c>
      <c r="P252" s="317"/>
      <c r="Q252" s="316">
        <f>P!L254</f>
        <v>3100</v>
      </c>
      <c r="R252" s="317"/>
      <c r="S252" s="316">
        <f>P!N254</f>
        <v>2300</v>
      </c>
      <c r="T252" s="317"/>
      <c r="U252" s="316">
        <f>P!P254</f>
        <v>3600</v>
      </c>
      <c r="V252" s="317"/>
      <c r="W252" s="316">
        <f>P!R254</f>
        <v>9300</v>
      </c>
      <c r="X252" s="317"/>
      <c r="Y252" s="316">
        <f>P!T254</f>
        <v>3200</v>
      </c>
      <c r="Z252" s="317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34200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G1:G2"/>
    <mergeCell ref="AO1:AO2"/>
    <mergeCell ref="AP1:AP2"/>
    <mergeCell ref="AN1:AN2"/>
    <mergeCell ref="AQ1:AQ2"/>
    <mergeCell ref="F1:F2"/>
    <mergeCell ref="A1:A2"/>
    <mergeCell ref="B1:B2"/>
    <mergeCell ref="C1:C2"/>
    <mergeCell ref="D1:D2"/>
    <mergeCell ref="E1:E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49" sqref="H149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22482</v>
      </c>
      <c r="F1" s="81" t="str">
        <f>IF(G1='2'!C51,"ঠিক","×")</f>
        <v>ঠিক</v>
      </c>
      <c r="G1" s="83">
        <f>SUM(G5:G254)</f>
        <v>62408</v>
      </c>
      <c r="H1" s="81" t="str">
        <f>IF(I1='3'!C51,"ঠিক","×")</f>
        <v>ঠিক</v>
      </c>
      <c r="I1" s="84">
        <f>SUM(I5:I254)</f>
        <v>129909</v>
      </c>
      <c r="J1" s="81" t="str">
        <f>IF(K1='4'!C51,"ঠিক","×")</f>
        <v>ঠিক</v>
      </c>
      <c r="K1" s="83">
        <f>SUM(K5:K254)</f>
        <v>28628</v>
      </c>
      <c r="L1" s="81" t="str">
        <f>IF(M1='5'!C51,"ঠিক","×")</f>
        <v>ঠিক</v>
      </c>
      <c r="M1" s="84">
        <f>SUM(M5:M254)</f>
        <v>53240</v>
      </c>
      <c r="N1" s="81" t="str">
        <f>IF(O1='6'!C51,"ঠিক","×")</f>
        <v>ঠিক</v>
      </c>
      <c r="O1" s="83">
        <f>SUM(O5:O254)</f>
        <v>40534</v>
      </c>
      <c r="P1" s="81" t="str">
        <f>IF(Q1='7'!C51,"ঠিক","×")</f>
        <v>ঠিক</v>
      </c>
      <c r="Q1" s="85">
        <f>SUM(Q5:Q254)</f>
        <v>43959</v>
      </c>
      <c r="R1" s="234" t="str">
        <f>IF(S1='8'!C51,"ঠিক","×")</f>
        <v>ঠিক</v>
      </c>
      <c r="S1" s="235">
        <f>SUM(S5:S254)</f>
        <v>123511</v>
      </c>
      <c r="T1" s="234" t="str">
        <f>IF(U1='9'!C51,"ঠিক","×")</f>
        <v>ঠিক</v>
      </c>
      <c r="U1" s="258">
        <f>SUM(U5:U254)</f>
        <v>34718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70" t="s">
        <v>0</v>
      </c>
      <c r="B2" s="470" t="s">
        <v>1</v>
      </c>
      <c r="C2" s="470" t="s">
        <v>2</v>
      </c>
      <c r="D2" s="471" t="s">
        <v>245</v>
      </c>
      <c r="E2" s="467"/>
      <c r="F2" s="462" t="s">
        <v>246</v>
      </c>
      <c r="G2" s="463"/>
      <c r="H2" s="466" t="s">
        <v>247</v>
      </c>
      <c r="I2" s="467"/>
      <c r="J2" s="462" t="s">
        <v>248</v>
      </c>
      <c r="K2" s="463"/>
      <c r="L2" s="466" t="s">
        <v>249</v>
      </c>
      <c r="M2" s="467"/>
      <c r="N2" s="462" t="s">
        <v>250</v>
      </c>
      <c r="O2" s="463"/>
      <c r="P2" s="466" t="s">
        <v>251</v>
      </c>
      <c r="Q2" s="485"/>
      <c r="R2" s="487" t="s">
        <v>252</v>
      </c>
      <c r="S2" s="488"/>
      <c r="T2" s="492" t="s">
        <v>358</v>
      </c>
      <c r="U2" s="482"/>
      <c r="V2" s="493" t="s">
        <v>359</v>
      </c>
      <c r="W2" s="494"/>
      <c r="X2" s="492" t="s">
        <v>360</v>
      </c>
      <c r="Y2" s="478"/>
      <c r="Z2" s="492" t="s">
        <v>368</v>
      </c>
      <c r="AA2" s="478"/>
      <c r="AB2" s="492" t="s">
        <v>404</v>
      </c>
      <c r="AC2" s="495"/>
      <c r="AD2" s="477" t="s">
        <v>405</v>
      </c>
      <c r="AE2" s="478"/>
      <c r="AF2" s="482" t="s">
        <v>406</v>
      </c>
      <c r="AG2" s="478"/>
      <c r="AH2" s="482" t="s">
        <v>416</v>
      </c>
      <c r="AI2" s="478"/>
      <c r="AJ2" s="473" t="s">
        <v>12</v>
      </c>
      <c r="AK2" s="475" t="s">
        <v>253</v>
      </c>
      <c r="AL2" s="490" t="s">
        <v>14</v>
      </c>
      <c r="AM2" s="88">
        <f>AL256</f>
        <v>539389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70"/>
      <c r="B3" s="470"/>
      <c r="C3" s="470"/>
      <c r="D3" s="472">
        <f>H!C7</f>
        <v>45953</v>
      </c>
      <c r="E3" s="469"/>
      <c r="F3" s="464">
        <f>D3+1</f>
        <v>45954</v>
      </c>
      <c r="G3" s="465"/>
      <c r="H3" s="468">
        <f>F3+1</f>
        <v>45955</v>
      </c>
      <c r="I3" s="469"/>
      <c r="J3" s="464">
        <f>H3+1</f>
        <v>45956</v>
      </c>
      <c r="K3" s="476"/>
      <c r="L3" s="468">
        <f>J3+1</f>
        <v>45957</v>
      </c>
      <c r="M3" s="469"/>
      <c r="N3" s="464">
        <f>L3+1</f>
        <v>45958</v>
      </c>
      <c r="O3" s="476"/>
      <c r="P3" s="468">
        <f>N3+1</f>
        <v>45959</v>
      </c>
      <c r="Q3" s="486"/>
      <c r="R3" s="489">
        <f>P3+1</f>
        <v>45960</v>
      </c>
      <c r="S3" s="476"/>
      <c r="T3" s="472">
        <f>R3+1</f>
        <v>45961</v>
      </c>
      <c r="U3" s="469"/>
      <c r="V3" s="464">
        <f>T3+1</f>
        <v>45962</v>
      </c>
      <c r="W3" s="476"/>
      <c r="X3" s="472">
        <f>V3+1</f>
        <v>45963</v>
      </c>
      <c r="Y3" s="479"/>
      <c r="Z3" s="472">
        <f>X3+1</f>
        <v>45964</v>
      </c>
      <c r="AA3" s="479"/>
      <c r="AB3" s="472">
        <f>Z3+1</f>
        <v>45965</v>
      </c>
      <c r="AC3" s="480"/>
      <c r="AD3" s="481">
        <f>AB3+1</f>
        <v>45966</v>
      </c>
      <c r="AE3" s="479"/>
      <c r="AF3" s="481">
        <f>AD3+1</f>
        <v>45967</v>
      </c>
      <c r="AG3" s="479"/>
      <c r="AH3" s="481">
        <f>AF3+1</f>
        <v>45968</v>
      </c>
      <c r="AI3" s="479"/>
      <c r="AJ3" s="474"/>
      <c r="AK3" s="470"/>
      <c r="AL3" s="491"/>
      <c r="AM3" s="90" t="str">
        <f>IF(ROUND(AM2,2)=ROUND(TS!D20,2),"ঠিক আছে","ভুল")</f>
        <v>ঠিক আছে</v>
      </c>
    </row>
    <row r="4" spans="1:43" ht="21" customHeight="1" thickBot="1">
      <c r="A4" s="470"/>
      <c r="B4" s="470"/>
      <c r="C4" s="470"/>
      <c r="D4" s="327" t="s">
        <v>307</v>
      </c>
      <c r="E4" s="328" t="s">
        <v>309</v>
      </c>
      <c r="F4" s="329" t="s">
        <v>307</v>
      </c>
      <c r="G4" s="330" t="s">
        <v>309</v>
      </c>
      <c r="H4" s="331" t="s">
        <v>307</v>
      </c>
      <c r="I4" s="328" t="s">
        <v>309</v>
      </c>
      <c r="J4" s="329" t="s">
        <v>307</v>
      </c>
      <c r="K4" s="330" t="s">
        <v>309</v>
      </c>
      <c r="L4" s="331" t="s">
        <v>307</v>
      </c>
      <c r="M4" s="328" t="s">
        <v>309</v>
      </c>
      <c r="N4" s="329" t="s">
        <v>307</v>
      </c>
      <c r="O4" s="330" t="s">
        <v>309</v>
      </c>
      <c r="P4" s="331" t="s">
        <v>307</v>
      </c>
      <c r="Q4" s="332" t="s">
        <v>309</v>
      </c>
      <c r="R4" s="333" t="s">
        <v>307</v>
      </c>
      <c r="S4" s="334" t="s">
        <v>309</v>
      </c>
      <c r="T4" s="327" t="s">
        <v>307</v>
      </c>
      <c r="U4" s="328" t="s">
        <v>309</v>
      </c>
      <c r="V4" s="329" t="s">
        <v>307</v>
      </c>
      <c r="W4" s="330" t="s">
        <v>309</v>
      </c>
      <c r="X4" s="327" t="s">
        <v>307</v>
      </c>
      <c r="Y4" s="328" t="s">
        <v>309</v>
      </c>
      <c r="Z4" s="327"/>
      <c r="AA4" s="335"/>
      <c r="AB4" s="327"/>
      <c r="AC4" s="336"/>
      <c r="AD4" s="337"/>
      <c r="AE4" s="335"/>
      <c r="AF4" s="328"/>
      <c r="AG4" s="328"/>
      <c r="AH4" s="330" t="s">
        <v>307</v>
      </c>
      <c r="AI4" s="338" t="s">
        <v>309</v>
      </c>
      <c r="AJ4" s="474"/>
      <c r="AK4" s="470"/>
      <c r="AL4" s="491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>
        <v>50</v>
      </c>
      <c r="G7" s="94">
        <v>6700</v>
      </c>
      <c r="H7" s="95"/>
      <c r="I7" s="94"/>
      <c r="J7" s="93"/>
      <c r="K7" s="94"/>
      <c r="L7" s="95">
        <v>50</v>
      </c>
      <c r="M7" s="94">
        <v>4250</v>
      </c>
      <c r="N7" s="93"/>
      <c r="O7" s="94"/>
      <c r="P7" s="95"/>
      <c r="Q7" s="96"/>
      <c r="R7" s="95">
        <v>50</v>
      </c>
      <c r="S7" s="237">
        <v>4250</v>
      </c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150</v>
      </c>
      <c r="AK7" s="340">
        <f>IF(ISERR(AL7/AJ7),S!D5,(AL7/AJ7))</f>
        <v>101.33333333333333</v>
      </c>
      <c r="AL7" s="99">
        <f t="shared" si="1"/>
        <v>15200</v>
      </c>
    </row>
    <row r="8" spans="1:43">
      <c r="A8" s="91">
        <v>4</v>
      </c>
      <c r="B8" s="92" t="s">
        <v>436</v>
      </c>
      <c r="C8" s="89" t="s">
        <v>9</v>
      </c>
      <c r="D8" s="272"/>
      <c r="E8" s="94"/>
      <c r="F8" s="272"/>
      <c r="G8" s="94"/>
      <c r="H8" s="95">
        <v>50</v>
      </c>
      <c r="I8" s="94">
        <v>6100</v>
      </c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50</v>
      </c>
      <c r="AK8" s="340">
        <f>IF(ISERR(AL8/AJ8),S!D6,(AL8/AJ8))</f>
        <v>122</v>
      </c>
      <c r="AL8" s="99">
        <f t="shared" si="1"/>
        <v>6100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>
        <v>25</v>
      </c>
      <c r="U10" s="237">
        <v>3875</v>
      </c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25</v>
      </c>
      <c r="AK10" s="340">
        <f>IF(ISERR(AL10/AJ10),S!D8,(AL10/AJ10))</f>
        <v>155</v>
      </c>
      <c r="AL10" s="99">
        <f t="shared" si="1"/>
        <v>3875</v>
      </c>
    </row>
    <row r="11" spans="1:43">
      <c r="A11" s="91">
        <v>7</v>
      </c>
      <c r="B11" s="92" t="s">
        <v>21</v>
      </c>
      <c r="C11" s="100" t="s">
        <v>9</v>
      </c>
      <c r="D11" s="272">
        <v>25</v>
      </c>
      <c r="E11" s="98">
        <v>4000</v>
      </c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25</v>
      </c>
      <c r="AK11" s="340">
        <f>IF(ISERR(AL11/AJ11),S!D9,(AL11/AJ11))</f>
        <v>160</v>
      </c>
      <c r="AL11" s="99">
        <f>E11+G11+I11+K11+M11+O11+Q11+S11+U11+W11+Y11+AA11+AC11+AE11+AG11+AI11</f>
        <v>4000</v>
      </c>
    </row>
    <row r="12" spans="1:43">
      <c r="A12" s="91">
        <v>8</v>
      </c>
      <c r="B12" s="92" t="s">
        <v>362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130.05801514698564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387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58.666666666666664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>
        <v>5</v>
      </c>
      <c r="E15" s="98">
        <v>910</v>
      </c>
      <c r="F15" s="272">
        <v>10</v>
      </c>
      <c r="G15" s="94">
        <v>1820</v>
      </c>
      <c r="H15" s="95">
        <v>30</v>
      </c>
      <c r="I15" s="94">
        <v>5460</v>
      </c>
      <c r="J15" s="93">
        <v>5</v>
      </c>
      <c r="K15" s="94">
        <v>910</v>
      </c>
      <c r="L15" s="95">
        <v>15</v>
      </c>
      <c r="M15" s="94">
        <v>2730</v>
      </c>
      <c r="N15" s="93">
        <v>10</v>
      </c>
      <c r="O15" s="94">
        <v>1820</v>
      </c>
      <c r="P15" s="95">
        <v>10</v>
      </c>
      <c r="Q15" s="96">
        <v>1820</v>
      </c>
      <c r="R15" s="95">
        <v>30</v>
      </c>
      <c r="S15" s="237">
        <v>5160</v>
      </c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115</v>
      </c>
      <c r="AK15" s="340">
        <f>IF(ISERR(AL15/AJ15),S!D13,(AL15/AJ15))</f>
        <v>179.39130434782609</v>
      </c>
      <c r="AL15" s="99">
        <f t="shared" si="1"/>
        <v>20630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>
        <v>2</v>
      </c>
      <c r="I16" s="94">
        <v>640</v>
      </c>
      <c r="J16" s="93"/>
      <c r="K16" s="94"/>
      <c r="L16" s="95">
        <v>2</v>
      </c>
      <c r="M16" s="94">
        <v>640</v>
      </c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4</v>
      </c>
      <c r="AK16" s="340">
        <f>IF(ISERR(AL16/AJ16),S!D14,(AL16/AJ16))</f>
        <v>320</v>
      </c>
      <c r="AL16" s="99">
        <f t="shared" si="1"/>
        <v>1280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39.999999828149122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>
        <v>0.2</v>
      </c>
      <c r="S19" s="237">
        <v>120</v>
      </c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0.2</v>
      </c>
      <c r="AK19" s="340">
        <f>IF(ISERR(AL19/AJ19),S!D17,(AL19/AJ19))</f>
        <v>600</v>
      </c>
      <c r="AL19" s="99">
        <f t="shared" si="1"/>
        <v>120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183.33333333333334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>
        <v>63</v>
      </c>
      <c r="I21" s="94">
        <v>3780</v>
      </c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63</v>
      </c>
      <c r="AK21" s="340">
        <f>IF(ISERR(AL21/AJ21),S!D19,(AL21/AJ21))</f>
        <v>60</v>
      </c>
      <c r="AL21" s="99">
        <f t="shared" si="1"/>
        <v>3780</v>
      </c>
    </row>
    <row r="22" spans="1:38">
      <c r="A22" s="91">
        <v>18</v>
      </c>
      <c r="B22" s="92" t="s">
        <v>32</v>
      </c>
      <c r="C22" s="100" t="s">
        <v>9</v>
      </c>
      <c r="D22" s="272">
        <v>0.5</v>
      </c>
      <c r="E22" s="98">
        <v>460</v>
      </c>
      <c r="F22" s="272">
        <v>0.5</v>
      </c>
      <c r="G22" s="94">
        <v>460</v>
      </c>
      <c r="H22" s="95">
        <v>3</v>
      </c>
      <c r="I22" s="94">
        <v>2760</v>
      </c>
      <c r="J22" s="93">
        <v>0.5</v>
      </c>
      <c r="K22" s="94">
        <v>460</v>
      </c>
      <c r="L22" s="95">
        <v>0.5</v>
      </c>
      <c r="M22" s="94">
        <v>460</v>
      </c>
      <c r="N22" s="93">
        <v>2</v>
      </c>
      <c r="O22" s="94">
        <v>1840</v>
      </c>
      <c r="P22" s="95"/>
      <c r="Q22" s="96"/>
      <c r="R22" s="95">
        <v>2.5</v>
      </c>
      <c r="S22" s="237">
        <v>2300</v>
      </c>
      <c r="T22" s="227">
        <v>1</v>
      </c>
      <c r="U22" s="237">
        <v>920</v>
      </c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10.5</v>
      </c>
      <c r="AK22" s="340">
        <f>IF(ISERR(AL22/AJ22),S!D20,(AL22/AJ22))</f>
        <v>920</v>
      </c>
      <c r="AL22" s="99">
        <f t="shared" si="1"/>
        <v>9660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>
        <v>3</v>
      </c>
      <c r="I23" s="94">
        <v>650</v>
      </c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3</v>
      </c>
      <c r="AK23" s="340">
        <f>IF(ISERR(AL23/AJ23),S!D21,(AL23/AJ23))</f>
        <v>216.66666666666666</v>
      </c>
      <c r="AL23" s="99">
        <f t="shared" si="1"/>
        <v>650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>
        <v>1060</v>
      </c>
      <c r="M24" s="94">
        <v>2968</v>
      </c>
      <c r="N24" s="93"/>
      <c r="O24" s="94"/>
      <c r="P24" s="95"/>
      <c r="Q24" s="96"/>
      <c r="R24" s="95">
        <v>1000</v>
      </c>
      <c r="S24" s="237">
        <v>2800</v>
      </c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2060</v>
      </c>
      <c r="AK24" s="340">
        <f>IF(ISERR(AL24/AJ24),S!D22,(AL24/AJ24))</f>
        <v>2.8</v>
      </c>
      <c r="AL24" s="99">
        <f t="shared" si="1"/>
        <v>5768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180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380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292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100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>
        <v>1E-3</v>
      </c>
      <c r="I31" s="94">
        <v>300</v>
      </c>
      <c r="J31" s="93"/>
      <c r="K31" s="94"/>
      <c r="L31" s="101"/>
      <c r="M31" s="94"/>
      <c r="N31" s="102"/>
      <c r="O31" s="94"/>
      <c r="P31" s="101"/>
      <c r="Q31" s="96"/>
      <c r="R31" s="95">
        <v>1E-3</v>
      </c>
      <c r="S31" s="237">
        <v>300</v>
      </c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2E-3</v>
      </c>
      <c r="AK31" s="340">
        <f>IF(ISERR(AL31/AJ31),S!D29,(AL31/AJ31))</f>
        <v>300000</v>
      </c>
      <c r="AL31" s="99">
        <f t="shared" si="1"/>
        <v>600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120</v>
      </c>
      <c r="AL33" s="99">
        <f t="shared" si="1"/>
        <v>0</v>
      </c>
    </row>
    <row r="34" spans="1:38">
      <c r="A34" s="91">
        <v>30</v>
      </c>
      <c r="B34" s="92" t="s">
        <v>314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>
        <v>32</v>
      </c>
      <c r="M36" s="94">
        <v>4320</v>
      </c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32</v>
      </c>
      <c r="AK36" s="340">
        <f>IF(ISERR(AL36/AJ36),S!D34,(AL36/AJ36))</f>
        <v>135</v>
      </c>
      <c r="AL36" s="99">
        <f t="shared" si="1"/>
        <v>4320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>
        <v>2</v>
      </c>
      <c r="I37" s="94">
        <v>340</v>
      </c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2</v>
      </c>
      <c r="AK37" s="340">
        <f>IF(ISERR(AL37/AJ37),S!D35,(AL37/AJ37))</f>
        <v>170</v>
      </c>
      <c r="AL37" s="99">
        <f t="shared" si="1"/>
        <v>340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>
        <v>0.5</v>
      </c>
      <c r="I38" s="94">
        <v>250</v>
      </c>
      <c r="J38" s="93"/>
      <c r="K38" s="94"/>
      <c r="L38" s="95"/>
      <c r="M38" s="94"/>
      <c r="N38" s="93"/>
      <c r="O38" s="94"/>
      <c r="P38" s="95"/>
      <c r="Q38" s="96"/>
      <c r="R38" s="95">
        <v>0.5</v>
      </c>
      <c r="S38" s="237">
        <v>225</v>
      </c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1</v>
      </c>
      <c r="AK38" s="340">
        <f>IF(ISERR(AL38/AJ38),S!D36,(AL38/AJ38))</f>
        <v>475</v>
      </c>
      <c r="AL38" s="99">
        <f t="shared" si="1"/>
        <v>475</v>
      </c>
    </row>
    <row r="39" spans="1:38">
      <c r="A39" s="91">
        <v>35</v>
      </c>
      <c r="B39" s="92" t="s">
        <v>259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>
        <v>0.5</v>
      </c>
      <c r="M40" s="94">
        <v>120</v>
      </c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0.5</v>
      </c>
      <c r="AK40" s="340">
        <f>IF(ISERR(AL40/AJ40),S!D38,(AL40/AJ40))</f>
        <v>240</v>
      </c>
      <c r="AL40" s="99">
        <f t="shared" si="1"/>
        <v>120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>
        <v>1</v>
      </c>
      <c r="G41" s="94">
        <v>70</v>
      </c>
      <c r="H41" s="95">
        <v>15</v>
      </c>
      <c r="I41" s="94">
        <v>1125</v>
      </c>
      <c r="J41" s="93"/>
      <c r="K41" s="94"/>
      <c r="L41" s="95">
        <v>1</v>
      </c>
      <c r="M41" s="94">
        <v>70</v>
      </c>
      <c r="N41" s="93"/>
      <c r="O41" s="94"/>
      <c r="P41" s="95"/>
      <c r="Q41" s="96"/>
      <c r="R41" s="95">
        <v>1</v>
      </c>
      <c r="S41" s="237">
        <v>70</v>
      </c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18</v>
      </c>
      <c r="AK41" s="340">
        <f>IF(ISERR(AL41/AJ41),S!D39,(AL41/AJ41))</f>
        <v>74.166666666666671</v>
      </c>
      <c r="AL41" s="99">
        <f t="shared" si="1"/>
        <v>1335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>
        <v>2</v>
      </c>
      <c r="I42" s="94">
        <v>160</v>
      </c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>
        <v>6</v>
      </c>
      <c r="U42" s="237">
        <v>900</v>
      </c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8</v>
      </c>
      <c r="AK42" s="340">
        <f>IF(ISERR(AL42/AJ42),S!D40,(AL42/AJ42))</f>
        <v>132.5</v>
      </c>
      <c r="AL42" s="99">
        <f t="shared" si="1"/>
        <v>1060</v>
      </c>
    </row>
    <row r="43" spans="1:38">
      <c r="A43" s="91">
        <v>39</v>
      </c>
      <c r="B43" s="92" t="s">
        <v>300</v>
      </c>
      <c r="C43" s="100" t="s">
        <v>31</v>
      </c>
      <c r="D43" s="272"/>
      <c r="E43" s="98"/>
      <c r="F43" s="272">
        <v>1000</v>
      </c>
      <c r="G43" s="94">
        <v>8000</v>
      </c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1000</v>
      </c>
      <c r="AK43" s="340">
        <f>IF(ISERR(AL43/AJ43),S!D41,(AL43/AJ43))</f>
        <v>8</v>
      </c>
      <c r="AL43" s="99">
        <f t="shared" si="1"/>
        <v>8000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260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354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>
        <v>1500</v>
      </c>
      <c r="Q47" s="96">
        <v>15000</v>
      </c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1500</v>
      </c>
      <c r="AK47" s="340">
        <f>IF(ISERR(AL47/AJ47),S!D45,(AL47/AJ47))</f>
        <v>10</v>
      </c>
      <c r="AL47" s="99">
        <f t="shared" si="1"/>
        <v>15000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4.1449856530953326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>
        <v>2</v>
      </c>
      <c r="I52" s="94">
        <v>120</v>
      </c>
      <c r="J52" s="93"/>
      <c r="K52" s="94"/>
      <c r="L52" s="95"/>
      <c r="M52" s="94"/>
      <c r="N52" s="93"/>
      <c r="O52" s="94"/>
      <c r="P52" s="95"/>
      <c r="Q52" s="96"/>
      <c r="R52" s="95">
        <v>2</v>
      </c>
      <c r="S52" s="237">
        <v>120</v>
      </c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4</v>
      </c>
      <c r="AK52" s="340">
        <f>IF(ISERR(AL52/AJ52),S!D50,(AL52/AJ52))</f>
        <v>60</v>
      </c>
      <c r="AL52" s="99">
        <f t="shared" si="1"/>
        <v>240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>
        <v>100</v>
      </c>
      <c r="O56" s="94">
        <v>80</v>
      </c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100</v>
      </c>
      <c r="AK56" s="340">
        <f>IF(ISERR(AL56/AJ56),S!D54,(AL56/AJ56))</f>
        <v>0.8</v>
      </c>
      <c r="AL56" s="99">
        <f t="shared" si="1"/>
        <v>80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>
        <v>100</v>
      </c>
      <c r="O57" s="94">
        <v>25</v>
      </c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100</v>
      </c>
      <c r="AK57" s="340">
        <f>IF(ISERR(AL57/AJ57),S!D55,(AL57/AJ57))</f>
        <v>0.25</v>
      </c>
      <c r="AL57" s="99">
        <f t="shared" si="1"/>
        <v>25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>
        <v>10</v>
      </c>
      <c r="I58" s="94">
        <v>200</v>
      </c>
      <c r="J58" s="93">
        <v>6</v>
      </c>
      <c r="K58" s="94">
        <v>120</v>
      </c>
      <c r="L58" s="95">
        <v>10</v>
      </c>
      <c r="M58" s="94">
        <v>200</v>
      </c>
      <c r="N58" s="93"/>
      <c r="O58" s="94"/>
      <c r="P58" s="95">
        <v>6</v>
      </c>
      <c r="Q58" s="96">
        <v>120</v>
      </c>
      <c r="R58" s="95">
        <v>12</v>
      </c>
      <c r="S58" s="237">
        <v>240</v>
      </c>
      <c r="T58" s="227">
        <v>10</v>
      </c>
      <c r="U58" s="237">
        <v>200</v>
      </c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54</v>
      </c>
      <c r="AK58" s="340">
        <f>IF(ISERR(AL58/AJ58),S!D56,(AL58/AJ58))</f>
        <v>20</v>
      </c>
      <c r="AL58" s="99">
        <f t="shared" si="1"/>
        <v>1080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267.55555555555554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>
        <v>5</v>
      </c>
      <c r="G62" s="94">
        <v>550</v>
      </c>
      <c r="H62" s="95"/>
      <c r="I62" s="94"/>
      <c r="J62" s="93">
        <v>5</v>
      </c>
      <c r="K62" s="94">
        <v>550</v>
      </c>
      <c r="L62" s="95"/>
      <c r="M62" s="94"/>
      <c r="N62" s="93"/>
      <c r="O62" s="94"/>
      <c r="P62" s="95"/>
      <c r="Q62" s="96"/>
      <c r="R62" s="95"/>
      <c r="S62" s="237"/>
      <c r="T62" s="227">
        <v>5</v>
      </c>
      <c r="U62" s="237">
        <v>550</v>
      </c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15</v>
      </c>
      <c r="AK62" s="340">
        <f>IF(ISERR(AL62/AJ62),S!D60,(AL62/AJ62))</f>
        <v>110</v>
      </c>
      <c r="AL62" s="99">
        <f t="shared" si="1"/>
        <v>1650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>
        <v>0.5</v>
      </c>
      <c r="I63" s="94">
        <v>320</v>
      </c>
      <c r="J63" s="93">
        <v>0.5</v>
      </c>
      <c r="K63" s="94">
        <v>320</v>
      </c>
      <c r="L63" s="95"/>
      <c r="M63" s="94"/>
      <c r="N63" s="93">
        <v>0.5</v>
      </c>
      <c r="O63" s="94">
        <v>320</v>
      </c>
      <c r="P63" s="95">
        <v>0.5</v>
      </c>
      <c r="Q63" s="96">
        <v>320</v>
      </c>
      <c r="R63" s="95">
        <v>0.5</v>
      </c>
      <c r="S63" s="237">
        <v>320</v>
      </c>
      <c r="T63" s="227">
        <v>0.5</v>
      </c>
      <c r="U63" s="237">
        <v>320</v>
      </c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3</v>
      </c>
      <c r="AK63" s="340">
        <f>IF(ISERR(AL63/AJ63),S!D61,(AL63/AJ63))</f>
        <v>640</v>
      </c>
      <c r="AL63" s="99">
        <f t="shared" si="1"/>
        <v>1920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>
        <v>1</v>
      </c>
      <c r="I64" s="94">
        <v>650</v>
      </c>
      <c r="J64" s="93">
        <v>0.5</v>
      </c>
      <c r="K64" s="94">
        <v>330</v>
      </c>
      <c r="L64" s="95"/>
      <c r="M64" s="94"/>
      <c r="N64" s="93"/>
      <c r="O64" s="94"/>
      <c r="P64" s="95">
        <v>1</v>
      </c>
      <c r="Q64" s="96">
        <v>650</v>
      </c>
      <c r="R64" s="95">
        <v>1</v>
      </c>
      <c r="S64" s="237">
        <v>650</v>
      </c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3.5</v>
      </c>
      <c r="AK64" s="340">
        <f>IF(ISERR(AL64/AJ64),S!D62,(AL64/AJ64))</f>
        <v>651.42857142857144</v>
      </c>
      <c r="AL64" s="99">
        <f t="shared" si="1"/>
        <v>2280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>
        <v>0.1</v>
      </c>
      <c r="I65" s="94">
        <v>40</v>
      </c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0.1</v>
      </c>
      <c r="AK65" s="340">
        <f>IF(ISERR(AL65/AJ65),S!D63,(AL65/AJ65))</f>
        <v>400</v>
      </c>
      <c r="AL65" s="99">
        <f t="shared" si="1"/>
        <v>40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>
        <v>0.3</v>
      </c>
      <c r="I67" s="94">
        <v>260</v>
      </c>
      <c r="J67" s="93"/>
      <c r="K67" s="94"/>
      <c r="L67" s="95"/>
      <c r="M67" s="94"/>
      <c r="N67" s="93">
        <v>0.5</v>
      </c>
      <c r="O67" s="94">
        <v>435</v>
      </c>
      <c r="P67" s="95"/>
      <c r="Q67" s="96"/>
      <c r="R67" s="95"/>
      <c r="S67" s="237"/>
      <c r="T67" s="227">
        <v>0.1</v>
      </c>
      <c r="U67" s="237">
        <v>90</v>
      </c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0.9</v>
      </c>
      <c r="AK67" s="340">
        <f>IF(ISERR(AL67/AJ67),S!D65,(AL67/AJ67))</f>
        <v>872.22222222222217</v>
      </c>
      <c r="AL67" s="99">
        <f t="shared" si="1"/>
        <v>785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>
        <v>2</v>
      </c>
      <c r="I68" s="94">
        <v>36</v>
      </c>
      <c r="J68" s="93"/>
      <c r="K68" s="94"/>
      <c r="L68" s="95"/>
      <c r="M68" s="94"/>
      <c r="N68" s="93"/>
      <c r="O68" s="94"/>
      <c r="P68" s="95"/>
      <c r="Q68" s="96"/>
      <c r="R68" s="95">
        <v>2</v>
      </c>
      <c r="S68" s="237">
        <v>36</v>
      </c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4</v>
      </c>
      <c r="AK68" s="340">
        <f>IF(ISERR(AL68/AJ68),S!D66,(AL68/AJ68))</f>
        <v>18</v>
      </c>
      <c r="AL68" s="99">
        <f t="shared" si="1"/>
        <v>72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>
        <v>2</v>
      </c>
      <c r="I69" s="94">
        <v>36</v>
      </c>
      <c r="J69" s="93"/>
      <c r="K69" s="94"/>
      <c r="L69" s="95"/>
      <c r="M69" s="94"/>
      <c r="N69" s="93"/>
      <c r="O69" s="94"/>
      <c r="P69" s="95"/>
      <c r="Q69" s="96"/>
      <c r="R69" s="95">
        <v>2</v>
      </c>
      <c r="S69" s="237">
        <v>36</v>
      </c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4</v>
      </c>
      <c r="AK69" s="340">
        <f>IF(ISERR(AL69/AJ69),S!D67,(AL69/AJ69))</f>
        <v>18</v>
      </c>
      <c r="AL69" s="99">
        <f t="shared" si="1"/>
        <v>72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>
        <v>0.1</v>
      </c>
      <c r="I70" s="94">
        <v>580</v>
      </c>
      <c r="J70" s="93"/>
      <c r="K70" s="94"/>
      <c r="L70" s="95"/>
      <c r="M70" s="94"/>
      <c r="N70" s="93">
        <v>0.05</v>
      </c>
      <c r="O70" s="94">
        <v>290</v>
      </c>
      <c r="P70" s="95">
        <v>0.1</v>
      </c>
      <c r="Q70" s="96">
        <v>580</v>
      </c>
      <c r="R70" s="95">
        <v>0.1</v>
      </c>
      <c r="S70" s="237">
        <v>560</v>
      </c>
      <c r="T70" s="227">
        <v>0.05</v>
      </c>
      <c r="U70" s="237">
        <v>290</v>
      </c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0.39999999999999997</v>
      </c>
      <c r="AK70" s="340">
        <f>IF(ISERR(AL70/AJ70),S!D68,(AL70/AJ70))</f>
        <v>5750.0000000000009</v>
      </c>
      <c r="AL70" s="99">
        <f t="shared" ref="AL70:AL133" si="3">E70+G70+I70+K70+M70+O70+Q70+S70+U70+W70+Y70+AA70+AC70+AE70+AG70+AI70</f>
        <v>2300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>
        <v>0.5</v>
      </c>
      <c r="M71" s="94">
        <v>300</v>
      </c>
      <c r="N71" s="93"/>
      <c r="O71" s="94"/>
      <c r="P71" s="95"/>
      <c r="Q71" s="96"/>
      <c r="R71" s="95">
        <v>0.3</v>
      </c>
      <c r="S71" s="237">
        <v>180</v>
      </c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0.8</v>
      </c>
      <c r="AK71" s="340">
        <f>IF(ISERR(AL71/AJ71),S!D69,(AL71/AJ71))</f>
        <v>600</v>
      </c>
      <c r="AL71" s="99">
        <f t="shared" si="3"/>
        <v>480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>
        <v>0.05</v>
      </c>
      <c r="G72" s="94">
        <v>90</v>
      </c>
      <c r="H72" s="95">
        <v>0.05</v>
      </c>
      <c r="I72" s="94">
        <v>90</v>
      </c>
      <c r="J72" s="93"/>
      <c r="K72" s="94"/>
      <c r="L72" s="95"/>
      <c r="M72" s="94"/>
      <c r="N72" s="93">
        <v>0.05</v>
      </c>
      <c r="O72" s="94">
        <v>95</v>
      </c>
      <c r="P72" s="95"/>
      <c r="Q72" s="96"/>
      <c r="R72" s="95">
        <v>0.05</v>
      </c>
      <c r="S72" s="237">
        <v>90</v>
      </c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0.2</v>
      </c>
      <c r="AK72" s="340">
        <f>IF(ISERR(AL72/AJ72),S!D70,(AL72/AJ72))</f>
        <v>1825</v>
      </c>
      <c r="AL72" s="99">
        <f t="shared" si="3"/>
        <v>365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>
        <v>3</v>
      </c>
      <c r="G73" s="94">
        <v>24</v>
      </c>
      <c r="H73" s="95">
        <v>12</v>
      </c>
      <c r="I73" s="94">
        <v>96</v>
      </c>
      <c r="J73" s="93"/>
      <c r="K73" s="94"/>
      <c r="L73" s="95"/>
      <c r="M73" s="94"/>
      <c r="N73" s="93"/>
      <c r="O73" s="94"/>
      <c r="P73" s="95"/>
      <c r="Q73" s="96"/>
      <c r="R73" s="95">
        <v>2</v>
      </c>
      <c r="S73" s="237">
        <v>16</v>
      </c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17</v>
      </c>
      <c r="AK73" s="340">
        <f>IF(ISERR(AL73/AJ73),S!D71,(AL73/AJ73))</f>
        <v>8</v>
      </c>
      <c r="AL73" s="99">
        <f t="shared" si="3"/>
        <v>136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>
        <v>0.7</v>
      </c>
      <c r="I74" s="94">
        <v>595</v>
      </c>
      <c r="J74" s="93"/>
      <c r="K74" s="94"/>
      <c r="L74" s="95"/>
      <c r="M74" s="94"/>
      <c r="N74" s="93"/>
      <c r="O74" s="94"/>
      <c r="P74" s="95"/>
      <c r="Q74" s="96"/>
      <c r="R74" s="95">
        <v>0.5</v>
      </c>
      <c r="S74" s="237">
        <v>420</v>
      </c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1.2</v>
      </c>
      <c r="AK74" s="340">
        <f>IF(ISERR(AL74/AJ74),S!D72,(AL74/AJ74))</f>
        <v>845.83333333333337</v>
      </c>
      <c r="AL74" s="99">
        <f t="shared" si="3"/>
        <v>1015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>
        <v>0.7</v>
      </c>
      <c r="I75" s="94">
        <v>476</v>
      </c>
      <c r="J75" s="93"/>
      <c r="K75" s="94"/>
      <c r="L75" s="95"/>
      <c r="M75" s="94"/>
      <c r="N75" s="93"/>
      <c r="O75" s="94"/>
      <c r="P75" s="95"/>
      <c r="Q75" s="96"/>
      <c r="R75" s="95">
        <v>0.5</v>
      </c>
      <c r="S75" s="237">
        <v>340</v>
      </c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1.2</v>
      </c>
      <c r="AK75" s="340">
        <f>IF(ISERR(AL75/AJ75),S!D73,(AL75/AJ75))</f>
        <v>680</v>
      </c>
      <c r="AL75" s="99">
        <f t="shared" si="3"/>
        <v>816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443</v>
      </c>
      <c r="C77" s="100" t="s">
        <v>9</v>
      </c>
      <c r="D77" s="272"/>
      <c r="E77" s="98"/>
      <c r="F77" s="272">
        <v>5.4</v>
      </c>
      <c r="G77" s="94">
        <v>8460</v>
      </c>
      <c r="H77" s="95">
        <v>2</v>
      </c>
      <c r="I77" s="94">
        <v>3420</v>
      </c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7.4</v>
      </c>
      <c r="AK77" s="340">
        <f>IF(ISERR(AL77/AJ77),S!D75,(AL77/AJ77))</f>
        <v>1605.4054054054054</v>
      </c>
      <c r="AL77" s="99">
        <f t="shared" si="3"/>
        <v>11880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>
        <v>2.5000000000000001E-2</v>
      </c>
      <c r="I79" s="94">
        <v>90</v>
      </c>
      <c r="J79" s="93"/>
      <c r="K79" s="94"/>
      <c r="L79" s="101"/>
      <c r="M79" s="94"/>
      <c r="N79" s="102"/>
      <c r="O79" s="94"/>
      <c r="P79" s="101"/>
      <c r="Q79" s="96"/>
      <c r="R79" s="95">
        <v>0.05</v>
      </c>
      <c r="S79" s="237">
        <v>180</v>
      </c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7.5000000000000011E-2</v>
      </c>
      <c r="AK79" s="340">
        <f>IF(ISERR(AL79/AJ79),S!D77,(AL79/AJ79))</f>
        <v>3599.9999999999995</v>
      </c>
      <c r="AL79" s="99">
        <f t="shared" si="3"/>
        <v>270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>
        <v>0.1</v>
      </c>
      <c r="I80" s="94">
        <v>60</v>
      </c>
      <c r="J80" s="93"/>
      <c r="K80" s="94"/>
      <c r="L80" s="95"/>
      <c r="M80" s="94"/>
      <c r="N80" s="93">
        <v>0.1</v>
      </c>
      <c r="O80" s="94">
        <v>60</v>
      </c>
      <c r="P80" s="95"/>
      <c r="Q80" s="96"/>
      <c r="R80" s="95">
        <v>0.1</v>
      </c>
      <c r="S80" s="237">
        <v>60</v>
      </c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0.30000000000000004</v>
      </c>
      <c r="AK80" s="340">
        <f>IF(ISERR(AL80/AJ80),S!D78,(AL80/AJ80))</f>
        <v>599.99999999999989</v>
      </c>
      <c r="AL80" s="99">
        <f t="shared" si="3"/>
        <v>180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>
        <v>1</v>
      </c>
      <c r="E82" s="98">
        <v>180</v>
      </c>
      <c r="F82" s="272"/>
      <c r="G82" s="94"/>
      <c r="H82" s="95">
        <v>3</v>
      </c>
      <c r="I82" s="94">
        <v>540</v>
      </c>
      <c r="J82" s="93"/>
      <c r="K82" s="94"/>
      <c r="L82" s="95"/>
      <c r="M82" s="94"/>
      <c r="N82" s="93">
        <v>1</v>
      </c>
      <c r="O82" s="94">
        <v>180</v>
      </c>
      <c r="P82" s="95"/>
      <c r="Q82" s="96"/>
      <c r="R82" s="95">
        <v>2</v>
      </c>
      <c r="S82" s="237">
        <v>340</v>
      </c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7</v>
      </c>
      <c r="AK82" s="340">
        <f>IF(ISERR(AL82/AJ82),S!D80,(AL82/AJ82))</f>
        <v>177.14285714285714</v>
      </c>
      <c r="AL82" s="99">
        <f t="shared" si="3"/>
        <v>1240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261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230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2811.8032786885246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202</v>
      </c>
      <c r="AL87" s="99">
        <f t="shared" si="3"/>
        <v>0</v>
      </c>
    </row>
    <row r="88" spans="1:38">
      <c r="A88" s="91">
        <v>84</v>
      </c>
      <c r="B88" s="92" t="s">
        <v>266</v>
      </c>
      <c r="C88" s="100" t="s">
        <v>9</v>
      </c>
      <c r="D88" s="272"/>
      <c r="E88" s="98"/>
      <c r="F88" s="272"/>
      <c r="G88" s="94"/>
      <c r="H88" s="95">
        <v>0.2</v>
      </c>
      <c r="I88" s="94">
        <v>360</v>
      </c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0.2</v>
      </c>
      <c r="AK88" s="340">
        <f>IF(ISERR(AL88/AJ88),S!D86,(AL88/AJ88))</f>
        <v>1800</v>
      </c>
      <c r="AL88" s="99">
        <f t="shared" si="3"/>
        <v>360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>
        <v>24</v>
      </c>
      <c r="G89" s="94">
        <v>1608</v>
      </c>
      <c r="H89" s="95"/>
      <c r="I89" s="94"/>
      <c r="J89" s="93"/>
      <c r="K89" s="94"/>
      <c r="L89" s="95">
        <v>24</v>
      </c>
      <c r="M89" s="94">
        <v>1608</v>
      </c>
      <c r="N89" s="93"/>
      <c r="O89" s="94"/>
      <c r="P89" s="95"/>
      <c r="Q89" s="96"/>
      <c r="R89" s="95">
        <v>48</v>
      </c>
      <c r="S89" s="237">
        <v>3216</v>
      </c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96</v>
      </c>
      <c r="AK89" s="340">
        <f>IF(ISERR(AL89/AJ89),S!D87,(AL89/AJ89))</f>
        <v>67</v>
      </c>
      <c r="AL89" s="99">
        <f t="shared" si="3"/>
        <v>6432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>
        <v>20</v>
      </c>
      <c r="G90" s="94">
        <v>2050</v>
      </c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>
        <v>20</v>
      </c>
      <c r="S90" s="237">
        <v>2050</v>
      </c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40</v>
      </c>
      <c r="AK90" s="340">
        <f>IF(ISERR(AL90/AJ90),S!D88,(AL90/AJ90))</f>
        <v>102.5</v>
      </c>
      <c r="AL90" s="99">
        <f t="shared" si="3"/>
        <v>4100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>
        <v>60</v>
      </c>
      <c r="G91" s="94">
        <v>696</v>
      </c>
      <c r="H91" s="95">
        <v>180</v>
      </c>
      <c r="I91" s="94">
        <v>2088</v>
      </c>
      <c r="J91" s="93">
        <v>90</v>
      </c>
      <c r="K91" s="94">
        <v>1044</v>
      </c>
      <c r="L91" s="95">
        <v>60</v>
      </c>
      <c r="M91" s="94">
        <v>690</v>
      </c>
      <c r="N91" s="93">
        <v>50</v>
      </c>
      <c r="O91" s="94">
        <v>575</v>
      </c>
      <c r="P91" s="95">
        <v>60</v>
      </c>
      <c r="Q91" s="96">
        <v>690</v>
      </c>
      <c r="R91" s="95">
        <v>727</v>
      </c>
      <c r="S91" s="237">
        <v>8287</v>
      </c>
      <c r="T91" s="227">
        <v>120</v>
      </c>
      <c r="U91" s="237">
        <v>1368</v>
      </c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1347</v>
      </c>
      <c r="AK91" s="340">
        <f>IF(ISERR(AL91/AJ91),S!D89,(AL91/AJ91))</f>
        <v>11.461024498886415</v>
      </c>
      <c r="AL91" s="99">
        <f t="shared" si="3"/>
        <v>15438</v>
      </c>
    </row>
    <row r="92" spans="1:38">
      <c r="A92" s="91">
        <v>88</v>
      </c>
      <c r="B92" s="92" t="s">
        <v>315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>
        <v>2</v>
      </c>
      <c r="G94" s="94">
        <v>440</v>
      </c>
      <c r="H94" s="95"/>
      <c r="I94" s="94"/>
      <c r="J94" s="93"/>
      <c r="K94" s="94"/>
      <c r="L94" s="95"/>
      <c r="M94" s="94"/>
      <c r="N94" s="93">
        <v>16</v>
      </c>
      <c r="O94" s="94">
        <v>3440</v>
      </c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18</v>
      </c>
      <c r="AK94" s="340">
        <f>IF(ISERR(AL94/AJ94),S!D92,(AL94/AJ94))</f>
        <v>215.55555555555554</v>
      </c>
      <c r="AL94" s="99">
        <f t="shared" si="3"/>
        <v>3880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>
        <v>1</v>
      </c>
      <c r="E97" s="98">
        <v>85</v>
      </c>
      <c r="F97" s="272"/>
      <c r="G97" s="94"/>
      <c r="H97" s="95">
        <v>2</v>
      </c>
      <c r="I97" s="94">
        <v>170</v>
      </c>
      <c r="J97" s="93">
        <v>4</v>
      </c>
      <c r="K97" s="94">
        <v>340</v>
      </c>
      <c r="L97" s="95">
        <v>4</v>
      </c>
      <c r="M97" s="94">
        <v>340</v>
      </c>
      <c r="N97" s="93"/>
      <c r="O97" s="94"/>
      <c r="P97" s="95">
        <v>5</v>
      </c>
      <c r="Q97" s="96">
        <v>425</v>
      </c>
      <c r="R97" s="95">
        <v>4</v>
      </c>
      <c r="S97" s="237">
        <v>340</v>
      </c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20</v>
      </c>
      <c r="AK97" s="340">
        <f>IF(ISERR(AL97/AJ97),S!D95,(AL97/AJ97))</f>
        <v>85</v>
      </c>
      <c r="AL97" s="99">
        <f t="shared" si="3"/>
        <v>1700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520</v>
      </c>
      <c r="AL99" s="99">
        <f t="shared" si="3"/>
        <v>0</v>
      </c>
    </row>
    <row r="100" spans="1:38">
      <c r="A100" s="91">
        <v>96</v>
      </c>
      <c r="B100" s="92" t="s">
        <v>324</v>
      </c>
      <c r="C100" s="100" t="s">
        <v>31</v>
      </c>
      <c r="D100" s="272">
        <v>1</v>
      </c>
      <c r="E100" s="98">
        <v>200</v>
      </c>
      <c r="F100" s="272"/>
      <c r="G100" s="94"/>
      <c r="H100" s="95"/>
      <c r="I100" s="94"/>
      <c r="J100" s="93">
        <v>1</v>
      </c>
      <c r="K100" s="94">
        <v>110</v>
      </c>
      <c r="L100" s="95"/>
      <c r="M100" s="94"/>
      <c r="N100" s="93">
        <v>1</v>
      </c>
      <c r="O100" s="94">
        <v>200</v>
      </c>
      <c r="P100" s="95"/>
      <c r="Q100" s="96"/>
      <c r="R100" s="95">
        <v>1</v>
      </c>
      <c r="S100" s="237">
        <v>200</v>
      </c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4</v>
      </c>
      <c r="AK100" s="340">
        <f>IF(ISERR(AL100/AJ100),S!D98,(AL100/AJ100))</f>
        <v>177.5</v>
      </c>
      <c r="AL100" s="99">
        <f t="shared" si="3"/>
        <v>710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591.76871235090846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>
        <v>1</v>
      </c>
      <c r="Q102" s="96">
        <v>170</v>
      </c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1</v>
      </c>
      <c r="AK102" s="340">
        <f>IF(ISERR(AL102/AJ102),S!D100,(AL102/AJ102))</f>
        <v>170</v>
      </c>
      <c r="AL102" s="99">
        <f t="shared" si="3"/>
        <v>170</v>
      </c>
    </row>
    <row r="103" spans="1:38">
      <c r="A103" s="91">
        <v>99</v>
      </c>
      <c r="B103" s="92" t="s">
        <v>291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295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293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>
        <v>2</v>
      </c>
      <c r="S105" s="237">
        <v>360</v>
      </c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2</v>
      </c>
      <c r="AK105" s="340">
        <f>IF(ISERR(AL105/AJ105),S!D103,(AL105/AJ105))</f>
        <v>180</v>
      </c>
      <c r="AL105" s="99">
        <f t="shared" si="3"/>
        <v>360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>
        <v>12</v>
      </c>
      <c r="G106" s="94">
        <v>1920</v>
      </c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>
        <v>2</v>
      </c>
      <c r="U106" s="237">
        <v>320</v>
      </c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14</v>
      </c>
      <c r="AK106" s="340">
        <f>IF(ISERR(AL106/AJ106),S!D104,(AL106/AJ106))</f>
        <v>160</v>
      </c>
      <c r="AL106" s="99">
        <f t="shared" si="3"/>
        <v>2240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168.33333333333334</v>
      </c>
      <c r="AL107" s="99">
        <f t="shared" si="3"/>
        <v>0</v>
      </c>
    </row>
    <row r="108" spans="1:38">
      <c r="A108" s="91">
        <v>104</v>
      </c>
      <c r="B108" s="92" t="s">
        <v>366</v>
      </c>
      <c r="C108" s="100" t="s">
        <v>363</v>
      </c>
      <c r="D108" s="272"/>
      <c r="E108" s="98"/>
      <c r="F108" s="272"/>
      <c r="G108" s="94"/>
      <c r="H108" s="95">
        <v>3</v>
      </c>
      <c r="I108" s="94">
        <v>480</v>
      </c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>
        <v>1</v>
      </c>
      <c r="U108" s="237">
        <v>160</v>
      </c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4</v>
      </c>
      <c r="AK108" s="340">
        <f>IF(ISERR(AL108/AJ108),S!D106,(AL108/AJ108))</f>
        <v>160</v>
      </c>
      <c r="AL108" s="99">
        <f t="shared" si="3"/>
        <v>640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>
        <v>1.6</v>
      </c>
      <c r="S109" s="237">
        <v>1360</v>
      </c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1.6</v>
      </c>
      <c r="AK109" s="340">
        <f>IF(ISERR(AL109/AJ109),S!D107,(AL109/AJ109))</f>
        <v>850</v>
      </c>
      <c r="AL109" s="99">
        <f t="shared" si="3"/>
        <v>1360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>
        <v>1</v>
      </c>
      <c r="S111" s="237">
        <v>270</v>
      </c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1</v>
      </c>
      <c r="AK111" s="340">
        <f>IF(ISERR(AL111/AJ111),S!D109,(AL111/AJ111))</f>
        <v>270</v>
      </c>
      <c r="AL111" s="99">
        <f t="shared" si="3"/>
        <v>270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392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296</v>
      </c>
      <c r="C114" s="100" t="s">
        <v>9</v>
      </c>
      <c r="D114" s="272"/>
      <c r="E114" s="98"/>
      <c r="F114" s="272">
        <v>1</v>
      </c>
      <c r="G114" s="94">
        <v>1600</v>
      </c>
      <c r="H114" s="95"/>
      <c r="I114" s="94"/>
      <c r="J114" s="93">
        <v>0.9</v>
      </c>
      <c r="K114" s="94">
        <v>2790</v>
      </c>
      <c r="L114" s="95"/>
      <c r="M114" s="94"/>
      <c r="N114" s="93"/>
      <c r="O114" s="94"/>
      <c r="P114" s="95"/>
      <c r="Q114" s="96"/>
      <c r="R114" s="95">
        <v>0.4</v>
      </c>
      <c r="S114" s="237">
        <v>970</v>
      </c>
      <c r="T114" s="227">
        <v>1</v>
      </c>
      <c r="U114" s="237">
        <v>1650</v>
      </c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3.3</v>
      </c>
      <c r="AK114" s="340">
        <f>IF(ISERR(AL114/AJ114),S!D112,(AL114/AJ114))</f>
        <v>2124.2424242424245</v>
      </c>
      <c r="AL114" s="99">
        <f t="shared" si="3"/>
        <v>7010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>
        <v>0.25</v>
      </c>
      <c r="K115" s="94">
        <v>970</v>
      </c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0.25</v>
      </c>
      <c r="AK115" s="340">
        <f>IF(ISERR(AL115/AJ115),S!D113,(AL115/AJ115))</f>
        <v>3880</v>
      </c>
      <c r="AL115" s="99">
        <f t="shared" si="3"/>
        <v>970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330</v>
      </c>
      <c r="C118" s="100" t="s">
        <v>31</v>
      </c>
      <c r="D118" s="272"/>
      <c r="E118" s="98"/>
      <c r="F118" s="272"/>
      <c r="G118" s="94"/>
      <c r="H118" s="95">
        <v>144</v>
      </c>
      <c r="I118" s="94">
        <v>1260</v>
      </c>
      <c r="J118" s="93"/>
      <c r="K118" s="94"/>
      <c r="L118" s="95">
        <v>144</v>
      </c>
      <c r="M118" s="94">
        <v>1270</v>
      </c>
      <c r="N118" s="93"/>
      <c r="O118" s="94"/>
      <c r="P118" s="95"/>
      <c r="Q118" s="96"/>
      <c r="R118" s="95">
        <v>144</v>
      </c>
      <c r="S118" s="237">
        <v>1270</v>
      </c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432</v>
      </c>
      <c r="AK118" s="340">
        <f>IF(ISERR(AL118/AJ118),S!D116,(AL118/AJ118))</f>
        <v>8.7962962962962958</v>
      </c>
      <c r="AL118" s="99">
        <f t="shared" si="3"/>
        <v>3800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180</v>
      </c>
      <c r="AL120" s="99">
        <f t="shared" si="3"/>
        <v>0</v>
      </c>
    </row>
    <row r="121" spans="1:38">
      <c r="A121" s="91">
        <v>117</v>
      </c>
      <c r="B121" s="92" t="s">
        <v>262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140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>
        <v>2.5</v>
      </c>
      <c r="U123" s="237">
        <v>275</v>
      </c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2.5</v>
      </c>
      <c r="AK123" s="340">
        <f>IF(ISERR(AL123/AJ123),S!D121,(AL123/AJ123))</f>
        <v>110</v>
      </c>
      <c r="AL123" s="99">
        <f t="shared" si="3"/>
        <v>275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6.583333333333333</v>
      </c>
      <c r="AL124" s="99">
        <f t="shared" si="3"/>
        <v>0</v>
      </c>
    </row>
    <row r="125" spans="1:38">
      <c r="A125" s="91">
        <v>121</v>
      </c>
      <c r="B125" s="92" t="s">
        <v>428</v>
      </c>
      <c r="C125" s="100" t="s">
        <v>31</v>
      </c>
      <c r="D125" s="272"/>
      <c r="E125" s="98"/>
      <c r="F125" s="272">
        <v>0.42299999999999999</v>
      </c>
      <c r="G125" s="94">
        <v>460</v>
      </c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>
        <v>0.61499999999999999</v>
      </c>
      <c r="U125" s="237">
        <v>735</v>
      </c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1.038</v>
      </c>
      <c r="AK125" s="340">
        <f>IF(ISERR(AL125/AJ125),S!D123,(AL125/AJ125))</f>
        <v>1151.252408477842</v>
      </c>
      <c r="AL125" s="99">
        <f t="shared" si="3"/>
        <v>1195</v>
      </c>
    </row>
    <row r="126" spans="1:38">
      <c r="A126" s="91">
        <v>122</v>
      </c>
      <c r="B126" s="92" t="s">
        <v>123</v>
      </c>
      <c r="C126" s="100" t="s">
        <v>31</v>
      </c>
      <c r="D126" s="272">
        <v>28</v>
      </c>
      <c r="E126" s="98">
        <v>280</v>
      </c>
      <c r="F126" s="272">
        <v>46</v>
      </c>
      <c r="G126" s="94">
        <v>460</v>
      </c>
      <c r="H126" s="95">
        <v>52</v>
      </c>
      <c r="I126" s="94">
        <v>520</v>
      </c>
      <c r="J126" s="93">
        <v>40</v>
      </c>
      <c r="K126" s="94">
        <v>400</v>
      </c>
      <c r="L126" s="95">
        <v>27</v>
      </c>
      <c r="M126" s="94">
        <v>270</v>
      </c>
      <c r="N126" s="93">
        <v>62</v>
      </c>
      <c r="O126" s="94">
        <v>620</v>
      </c>
      <c r="P126" s="95">
        <v>45</v>
      </c>
      <c r="Q126" s="96">
        <v>427</v>
      </c>
      <c r="R126" s="95">
        <v>85</v>
      </c>
      <c r="S126" s="237">
        <v>765</v>
      </c>
      <c r="T126" s="227">
        <v>80</v>
      </c>
      <c r="U126" s="237">
        <v>720</v>
      </c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465</v>
      </c>
      <c r="AK126" s="340">
        <f>IF(ISERR(AL126/AJ126),S!D124,(AL126/AJ126))</f>
        <v>9.5956989247311828</v>
      </c>
      <c r="AL126" s="99">
        <f t="shared" si="3"/>
        <v>4462</v>
      </c>
    </row>
    <row r="127" spans="1:38">
      <c r="A127" s="91">
        <v>123</v>
      </c>
      <c r="B127" s="92" t="s">
        <v>265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312</v>
      </c>
      <c r="C128" s="100" t="s">
        <v>9</v>
      </c>
      <c r="D128" s="272"/>
      <c r="E128" s="98"/>
      <c r="F128" s="272"/>
      <c r="G128" s="94"/>
      <c r="H128" s="95"/>
      <c r="I128" s="94"/>
      <c r="J128" s="93">
        <v>1.6</v>
      </c>
      <c r="K128" s="94">
        <v>176</v>
      </c>
      <c r="L128" s="95">
        <v>10</v>
      </c>
      <c r="M128" s="94">
        <v>650</v>
      </c>
      <c r="N128" s="93">
        <v>7.3</v>
      </c>
      <c r="O128" s="94">
        <v>803</v>
      </c>
      <c r="P128" s="95"/>
      <c r="Q128" s="96"/>
      <c r="R128" s="95">
        <v>8</v>
      </c>
      <c r="S128" s="237">
        <v>800</v>
      </c>
      <c r="T128" s="227">
        <v>5.5</v>
      </c>
      <c r="U128" s="237">
        <v>495</v>
      </c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32.400000000000006</v>
      </c>
      <c r="AK128" s="340">
        <f>IF(ISERR(AL128/AJ128),S!D126,(AL128/AJ128))</f>
        <v>90.246913580246897</v>
      </c>
      <c r="AL128" s="99">
        <f t="shared" si="3"/>
        <v>2924</v>
      </c>
    </row>
    <row r="129" spans="1:38">
      <c r="A129" s="91">
        <v>125</v>
      </c>
      <c r="B129" s="92" t="s">
        <v>263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363.28358208955223</v>
      </c>
      <c r="AL129" s="99">
        <f t="shared" si="3"/>
        <v>0</v>
      </c>
    </row>
    <row r="130" spans="1:38">
      <c r="A130" s="91">
        <v>126</v>
      </c>
      <c r="B130" s="92" t="s">
        <v>267</v>
      </c>
      <c r="C130" s="100" t="s">
        <v>9</v>
      </c>
      <c r="D130" s="272"/>
      <c r="E130" s="98"/>
      <c r="F130" s="272">
        <v>2.5</v>
      </c>
      <c r="G130" s="94">
        <v>1000</v>
      </c>
      <c r="H130" s="95">
        <v>2.5</v>
      </c>
      <c r="I130" s="94">
        <v>1050</v>
      </c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>
        <v>1.4</v>
      </c>
      <c r="U130" s="237">
        <v>574</v>
      </c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6.4</v>
      </c>
      <c r="AK130" s="340">
        <f>IF(ISERR(AL130/AJ130),S!D128,(AL130/AJ130))</f>
        <v>410</v>
      </c>
      <c r="AL130" s="99">
        <f t="shared" si="3"/>
        <v>2624</v>
      </c>
    </row>
    <row r="131" spans="1:38">
      <c r="A131" s="91">
        <v>127</v>
      </c>
      <c r="B131" s="92" t="s">
        <v>264</v>
      </c>
      <c r="C131" s="100" t="s">
        <v>9</v>
      </c>
      <c r="D131" s="272">
        <v>4.4000000000000004</v>
      </c>
      <c r="E131" s="98">
        <v>1100</v>
      </c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4.4000000000000004</v>
      </c>
      <c r="AK131" s="340">
        <f>IF(ISERR(AL131/AJ131),S!D129,(AL131/AJ131))</f>
        <v>249.99999999999997</v>
      </c>
      <c r="AL131" s="99">
        <f t="shared" si="3"/>
        <v>1100</v>
      </c>
    </row>
    <row r="132" spans="1:38">
      <c r="A132" s="91">
        <v>128</v>
      </c>
      <c r="B132" s="92" t="s">
        <v>124</v>
      </c>
      <c r="C132" s="100" t="s">
        <v>9</v>
      </c>
      <c r="D132" s="272">
        <v>4</v>
      </c>
      <c r="E132" s="98">
        <v>440</v>
      </c>
      <c r="F132" s="272"/>
      <c r="G132" s="94"/>
      <c r="H132" s="95">
        <v>4.2</v>
      </c>
      <c r="I132" s="94">
        <v>420</v>
      </c>
      <c r="J132" s="93">
        <v>4</v>
      </c>
      <c r="K132" s="94">
        <v>400</v>
      </c>
      <c r="L132" s="95"/>
      <c r="M132" s="94"/>
      <c r="N132" s="93">
        <v>5</v>
      </c>
      <c r="O132" s="94">
        <v>500</v>
      </c>
      <c r="P132" s="95">
        <v>2</v>
      </c>
      <c r="Q132" s="96">
        <v>200</v>
      </c>
      <c r="R132" s="95">
        <v>10</v>
      </c>
      <c r="S132" s="237">
        <v>1000</v>
      </c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29.2</v>
      </c>
      <c r="AK132" s="340">
        <f>IF(ISERR(AL132/AJ132),S!D130,(AL132/AJ132))</f>
        <v>101.36986301369863</v>
      </c>
      <c r="AL132" s="99">
        <f t="shared" si="3"/>
        <v>2960</v>
      </c>
    </row>
    <row r="133" spans="1:38">
      <c r="A133" s="91">
        <v>129</v>
      </c>
      <c r="B133" s="92" t="s">
        <v>370</v>
      </c>
      <c r="C133" s="100" t="s">
        <v>9</v>
      </c>
      <c r="D133" s="272"/>
      <c r="E133" s="98"/>
      <c r="F133" s="272"/>
      <c r="G133" s="94"/>
      <c r="H133" s="95">
        <v>10</v>
      </c>
      <c r="I133" s="94">
        <v>1300</v>
      </c>
      <c r="J133" s="93">
        <v>2</v>
      </c>
      <c r="K133" s="94">
        <v>260</v>
      </c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12</v>
      </c>
      <c r="AK133" s="340">
        <f>IF(ISERR(AL133/AJ133),S!D131,(AL133/AJ133))</f>
        <v>130</v>
      </c>
      <c r="AL133" s="99">
        <f t="shared" si="3"/>
        <v>1560</v>
      </c>
    </row>
    <row r="134" spans="1:38">
      <c r="A134" s="91">
        <v>130</v>
      </c>
      <c r="B134" s="92" t="s">
        <v>382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286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>
        <v>10</v>
      </c>
      <c r="M135" s="94">
        <v>2100</v>
      </c>
      <c r="N135" s="93"/>
      <c r="O135" s="94"/>
      <c r="P135" s="95">
        <v>3.1</v>
      </c>
      <c r="Q135" s="96">
        <v>558</v>
      </c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13.1</v>
      </c>
      <c r="AK135" s="340">
        <f>IF(ISERR(AL135/AJ135),S!D133,(AL135/AJ135))</f>
        <v>202.90076335877862</v>
      </c>
      <c r="AL135" s="99">
        <f t="shared" si="5"/>
        <v>2658</v>
      </c>
    </row>
    <row r="136" spans="1:38">
      <c r="A136" s="91">
        <v>132</v>
      </c>
      <c r="B136" s="92" t="s">
        <v>371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60</v>
      </c>
      <c r="AL136" s="99">
        <f t="shared" si="5"/>
        <v>0</v>
      </c>
    </row>
    <row r="137" spans="1:38">
      <c r="A137" s="91">
        <v>133</v>
      </c>
      <c r="B137" s="92" t="s">
        <v>395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388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>
        <v>3.1739999999999999</v>
      </c>
      <c r="S138" s="237">
        <v>983</v>
      </c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3.1739999999999999</v>
      </c>
      <c r="AK138" s="340">
        <f>IF(ISERR(AL138/AJ138),S!D136,(AL138/AJ138))</f>
        <v>309.70384373030879</v>
      </c>
      <c r="AL138" s="99">
        <f t="shared" si="5"/>
        <v>983</v>
      </c>
    </row>
    <row r="139" spans="1:38">
      <c r="A139" s="91">
        <v>135</v>
      </c>
      <c r="B139" s="92" t="s">
        <v>290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>
        <v>5.3</v>
      </c>
      <c r="U139" s="237">
        <v>583</v>
      </c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5.3</v>
      </c>
      <c r="AK139" s="340">
        <f>IF(ISERR(AL139/AJ139),S!D137,(AL139/AJ139))</f>
        <v>110</v>
      </c>
      <c r="AL139" s="99">
        <f t="shared" si="5"/>
        <v>583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361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391</v>
      </c>
      <c r="C143" s="100" t="s">
        <v>31</v>
      </c>
      <c r="D143" s="272">
        <v>2</v>
      </c>
      <c r="E143" s="98">
        <v>40</v>
      </c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>
        <v>10</v>
      </c>
      <c r="Q143" s="96">
        <v>200</v>
      </c>
      <c r="R143" s="95">
        <v>32</v>
      </c>
      <c r="S143" s="237">
        <v>640</v>
      </c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44</v>
      </c>
      <c r="AK143" s="340">
        <f>IF(ISERR(AL143/AJ143),S!D141,(AL143/AJ143))</f>
        <v>20</v>
      </c>
      <c r="AL143" s="99">
        <f t="shared" si="5"/>
        <v>880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62.8</v>
      </c>
      <c r="AL144" s="99">
        <f t="shared" si="5"/>
        <v>0</v>
      </c>
    </row>
    <row r="145" spans="1:38">
      <c r="A145" s="91">
        <v>141</v>
      </c>
      <c r="B145" s="92" t="s">
        <v>268</v>
      </c>
      <c r="C145" s="100" t="s">
        <v>9</v>
      </c>
      <c r="D145" s="272"/>
      <c r="E145" s="98"/>
      <c r="F145" s="272">
        <v>7</v>
      </c>
      <c r="G145" s="94">
        <v>7700</v>
      </c>
      <c r="H145" s="95">
        <v>18</v>
      </c>
      <c r="I145" s="94">
        <v>19800</v>
      </c>
      <c r="J145" s="93"/>
      <c r="K145" s="94"/>
      <c r="L145" s="95"/>
      <c r="M145" s="94"/>
      <c r="N145" s="93"/>
      <c r="O145" s="94"/>
      <c r="P145" s="95"/>
      <c r="Q145" s="96"/>
      <c r="R145" s="95">
        <v>4</v>
      </c>
      <c r="S145" s="237">
        <v>4400</v>
      </c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29</v>
      </c>
      <c r="AK145" s="340">
        <f>IF(ISERR(AL145/AJ145),S!D143,(AL145/AJ145))</f>
        <v>1100</v>
      </c>
      <c r="AL145" s="99">
        <f t="shared" si="5"/>
        <v>31900</v>
      </c>
    </row>
    <row r="146" spans="1:38">
      <c r="A146" s="91">
        <v>142</v>
      </c>
      <c r="B146" s="92" t="s">
        <v>424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700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>
        <v>3</v>
      </c>
      <c r="I148" s="94">
        <v>3300</v>
      </c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3</v>
      </c>
      <c r="AK148" s="340">
        <f>IF(ISERR(AL148/AJ148),S!D146,(AL148/AJ148))</f>
        <v>1100</v>
      </c>
      <c r="AL148" s="99">
        <f t="shared" si="5"/>
        <v>3300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>
        <v>7</v>
      </c>
      <c r="I149" s="94">
        <v>5250</v>
      </c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7</v>
      </c>
      <c r="AK149" s="340">
        <f>IF(ISERR(AL149/AJ149),S!D147,(AL149/AJ149))</f>
        <v>750</v>
      </c>
      <c r="AL149" s="99">
        <f t="shared" si="5"/>
        <v>5250</v>
      </c>
    </row>
    <row r="150" spans="1:38">
      <c r="A150" s="91">
        <v>146</v>
      </c>
      <c r="B150" s="92" t="s">
        <v>379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422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>
        <v>14</v>
      </c>
      <c r="E152" s="94">
        <v>3327</v>
      </c>
      <c r="F152" s="272"/>
      <c r="G152" s="94"/>
      <c r="H152" s="95">
        <v>45</v>
      </c>
      <c r="I152" s="94">
        <v>10696</v>
      </c>
      <c r="J152" s="93">
        <v>14</v>
      </c>
      <c r="K152" s="94">
        <v>3220</v>
      </c>
      <c r="L152" s="95"/>
      <c r="M152" s="94"/>
      <c r="N152" s="93">
        <v>20</v>
      </c>
      <c r="O152" s="94">
        <v>4536</v>
      </c>
      <c r="P152" s="95">
        <v>24</v>
      </c>
      <c r="Q152" s="96">
        <v>5130</v>
      </c>
      <c r="R152" s="95">
        <v>85</v>
      </c>
      <c r="S152" s="237">
        <v>19035</v>
      </c>
      <c r="T152" s="227">
        <v>21</v>
      </c>
      <c r="U152" s="237">
        <v>4806</v>
      </c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223</v>
      </c>
      <c r="AK152" s="340">
        <f>IF(ISERR(AL152/AJ152),S!D150,(AL152/AJ152))</f>
        <v>227.57847533632287</v>
      </c>
      <c r="AL152" s="99">
        <f t="shared" si="5"/>
        <v>50750</v>
      </c>
    </row>
    <row r="153" spans="1:38">
      <c r="A153" s="91">
        <v>149</v>
      </c>
      <c r="B153" s="92" t="s">
        <v>441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329</v>
      </c>
      <c r="C154" s="100" t="s">
        <v>9</v>
      </c>
      <c r="D154" s="272">
        <v>1</v>
      </c>
      <c r="E154" s="98">
        <v>289</v>
      </c>
      <c r="F154" s="272"/>
      <c r="G154" s="94"/>
      <c r="H154" s="95">
        <v>5.5</v>
      </c>
      <c r="I154" s="94">
        <v>935</v>
      </c>
      <c r="J154" s="93"/>
      <c r="K154" s="94"/>
      <c r="L154" s="95">
        <v>14.3</v>
      </c>
      <c r="M154" s="94">
        <v>2574</v>
      </c>
      <c r="N154" s="93"/>
      <c r="O154" s="94"/>
      <c r="P154" s="95">
        <v>1</v>
      </c>
      <c r="Q154" s="96">
        <v>302</v>
      </c>
      <c r="R154" s="95">
        <v>20</v>
      </c>
      <c r="S154" s="237">
        <v>5304</v>
      </c>
      <c r="T154" s="227">
        <v>3.5</v>
      </c>
      <c r="U154" s="237">
        <v>595</v>
      </c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45.3</v>
      </c>
      <c r="AK154" s="340">
        <f>IF(ISERR(AL154/AJ154),S!D152,(AL154/AJ154))</f>
        <v>220.72847682119206</v>
      </c>
      <c r="AL154" s="99">
        <f t="shared" si="5"/>
        <v>9999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>
        <v>5</v>
      </c>
      <c r="K155" s="94">
        <v>1900</v>
      </c>
      <c r="L155" s="95"/>
      <c r="M155" s="94"/>
      <c r="N155" s="93">
        <v>5</v>
      </c>
      <c r="O155" s="94">
        <v>1800</v>
      </c>
      <c r="P155" s="95"/>
      <c r="Q155" s="96"/>
      <c r="R155" s="95">
        <v>4.9000000000000004</v>
      </c>
      <c r="S155" s="237">
        <v>1715</v>
      </c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14.9</v>
      </c>
      <c r="AK155" s="340">
        <f>IF(ISERR(AL155/AJ155),S!D153,(AL155/AJ155))</f>
        <v>363.42281879194633</v>
      </c>
      <c r="AL155" s="99">
        <f t="shared" si="5"/>
        <v>5415</v>
      </c>
    </row>
    <row r="156" spans="1:38">
      <c r="A156" s="91">
        <v>152</v>
      </c>
      <c r="B156" s="92" t="s">
        <v>269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>
        <v>13.1</v>
      </c>
      <c r="U156" s="237">
        <v>4585</v>
      </c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13.1</v>
      </c>
      <c r="AK156" s="340">
        <f>IF(ISERR(AL156/AJ156),S!D154,(AL156/AJ156))</f>
        <v>350</v>
      </c>
      <c r="AL156" s="99">
        <f t="shared" si="5"/>
        <v>4585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2253.7623762376234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439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>
        <v>4</v>
      </c>
      <c r="G162" s="94">
        <v>1480</v>
      </c>
      <c r="H162" s="95"/>
      <c r="I162" s="94"/>
      <c r="J162" s="93"/>
      <c r="K162" s="94"/>
      <c r="L162" s="95"/>
      <c r="M162" s="94"/>
      <c r="N162" s="93">
        <v>2</v>
      </c>
      <c r="O162" s="94">
        <v>700</v>
      </c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6</v>
      </c>
      <c r="AK162" s="340">
        <f>IF(ISERR(AL162/AJ162),S!D160,(AL162/AJ162))</f>
        <v>363.33333333333331</v>
      </c>
      <c r="AL162" s="99">
        <f t="shared" si="5"/>
        <v>2180</v>
      </c>
    </row>
    <row r="163" spans="1:38">
      <c r="A163" s="91">
        <v>159</v>
      </c>
      <c r="B163" s="92" t="s">
        <v>145</v>
      </c>
      <c r="C163" s="100" t="s">
        <v>9</v>
      </c>
      <c r="D163" s="272">
        <v>1</v>
      </c>
      <c r="E163" s="98">
        <v>650</v>
      </c>
      <c r="F163" s="272"/>
      <c r="G163" s="94"/>
      <c r="H163" s="95"/>
      <c r="I163" s="94"/>
      <c r="J163" s="93"/>
      <c r="K163" s="94"/>
      <c r="L163" s="95"/>
      <c r="M163" s="94"/>
      <c r="N163" s="93">
        <v>2</v>
      </c>
      <c r="O163" s="94">
        <v>1360</v>
      </c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3</v>
      </c>
      <c r="AK163" s="340">
        <f>IF(ISERR(AL163/AJ163),S!D161,(AL163/AJ163))</f>
        <v>670</v>
      </c>
      <c r="AL163" s="99">
        <f t="shared" si="5"/>
        <v>2010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438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190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>
        <v>3</v>
      </c>
      <c r="E170" s="98">
        <v>2250</v>
      </c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>
        <v>3</v>
      </c>
      <c r="S170" s="237">
        <v>1950</v>
      </c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6</v>
      </c>
      <c r="AK170" s="340">
        <f>IF(ISERR(AL170/AJ170),S!D168,(AL170/AJ170))</f>
        <v>700</v>
      </c>
      <c r="AL170" s="99">
        <f t="shared" si="5"/>
        <v>4200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>
        <v>5</v>
      </c>
      <c r="M171" s="94">
        <v>1850</v>
      </c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5</v>
      </c>
      <c r="AK171" s="340">
        <f>IF(ISERR(AL171/AJ171),S!D169,(AL171/AJ171))</f>
        <v>370</v>
      </c>
      <c r="AL171" s="99">
        <f t="shared" si="5"/>
        <v>1850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>
        <v>6</v>
      </c>
      <c r="G172" s="94">
        <v>3180</v>
      </c>
      <c r="H172" s="95"/>
      <c r="I172" s="94"/>
      <c r="J172" s="93"/>
      <c r="K172" s="94"/>
      <c r="L172" s="95"/>
      <c r="M172" s="94"/>
      <c r="N172" s="93"/>
      <c r="O172" s="94"/>
      <c r="P172" s="95">
        <v>14.1</v>
      </c>
      <c r="Q172" s="96">
        <v>6063</v>
      </c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20.100000000000001</v>
      </c>
      <c r="AK172" s="340">
        <f>IF(ISERR(AL172/AJ172),S!D170,(AL172/AJ172))</f>
        <v>459.85074626865668</v>
      </c>
      <c r="AL172" s="99">
        <f t="shared" si="5"/>
        <v>9243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336</v>
      </c>
      <c r="C175" s="100" t="s">
        <v>9</v>
      </c>
      <c r="D175" s="272"/>
      <c r="E175" s="98"/>
      <c r="F175" s="272"/>
      <c r="G175" s="94"/>
      <c r="H175" s="95">
        <v>5.3</v>
      </c>
      <c r="I175" s="94">
        <v>3339</v>
      </c>
      <c r="J175" s="93"/>
      <c r="K175" s="94"/>
      <c r="L175" s="95"/>
      <c r="M175" s="94"/>
      <c r="N175" s="93"/>
      <c r="O175" s="94"/>
      <c r="P175" s="95"/>
      <c r="Q175" s="96"/>
      <c r="R175" s="95">
        <v>8.1999999999999993</v>
      </c>
      <c r="S175" s="237">
        <v>5166</v>
      </c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13.5</v>
      </c>
      <c r="AK175" s="340">
        <f>IF(ISERR(AL175/AJ175),S!D173,(AL175/AJ175))</f>
        <v>630</v>
      </c>
      <c r="AL175" s="99">
        <f t="shared" si="5"/>
        <v>8505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298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>
        <v>2</v>
      </c>
      <c r="E179" s="98">
        <v>48</v>
      </c>
      <c r="F179" s="272">
        <v>7</v>
      </c>
      <c r="G179" s="94">
        <v>154</v>
      </c>
      <c r="H179" s="95">
        <v>15</v>
      </c>
      <c r="I179" s="94">
        <v>360</v>
      </c>
      <c r="J179" s="93">
        <v>3</v>
      </c>
      <c r="K179" s="94">
        <v>75</v>
      </c>
      <c r="L179" s="95">
        <v>2</v>
      </c>
      <c r="M179" s="94">
        <v>50</v>
      </c>
      <c r="N179" s="93">
        <v>8</v>
      </c>
      <c r="O179" s="94">
        <v>184</v>
      </c>
      <c r="P179" s="95">
        <v>5</v>
      </c>
      <c r="Q179" s="96">
        <v>110</v>
      </c>
      <c r="R179" s="95">
        <v>3</v>
      </c>
      <c r="S179" s="237">
        <v>66</v>
      </c>
      <c r="T179" s="227">
        <v>8</v>
      </c>
      <c r="U179" s="237">
        <v>200</v>
      </c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53</v>
      </c>
      <c r="AK179" s="340">
        <f>IF(ISERR(AL179/AJ179),S!D177,(AL179/AJ179))</f>
        <v>23.528301886792452</v>
      </c>
      <c r="AL179" s="99">
        <f t="shared" si="5"/>
        <v>1247</v>
      </c>
    </row>
    <row r="180" spans="1:38">
      <c r="A180" s="91">
        <v>176</v>
      </c>
      <c r="B180" s="92" t="s">
        <v>310</v>
      </c>
      <c r="C180" s="100" t="s">
        <v>9</v>
      </c>
      <c r="D180" s="272">
        <v>5</v>
      </c>
      <c r="E180" s="98">
        <v>400</v>
      </c>
      <c r="F180" s="272">
        <v>8</v>
      </c>
      <c r="G180" s="94">
        <v>640</v>
      </c>
      <c r="H180" s="95">
        <v>20</v>
      </c>
      <c r="I180" s="94">
        <v>1600</v>
      </c>
      <c r="J180" s="93">
        <v>5</v>
      </c>
      <c r="K180" s="94">
        <v>400</v>
      </c>
      <c r="L180" s="95"/>
      <c r="M180" s="94"/>
      <c r="N180" s="93">
        <v>7</v>
      </c>
      <c r="O180" s="94">
        <v>560</v>
      </c>
      <c r="P180" s="95"/>
      <c r="Q180" s="96"/>
      <c r="R180" s="95">
        <v>20</v>
      </c>
      <c r="S180" s="237">
        <v>1600</v>
      </c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65</v>
      </c>
      <c r="AK180" s="340">
        <f>IF(ISERR(AL180/AJ180),S!D178,(AL180/AJ180))</f>
        <v>80</v>
      </c>
      <c r="AL180" s="99">
        <f t="shared" si="5"/>
        <v>5200</v>
      </c>
    </row>
    <row r="181" spans="1:38">
      <c r="A181" s="91">
        <v>177</v>
      </c>
      <c r="B181" s="92" t="s">
        <v>157</v>
      </c>
      <c r="C181" s="100" t="s">
        <v>9</v>
      </c>
      <c r="D181" s="272">
        <v>0.5</v>
      </c>
      <c r="E181" s="98">
        <v>90</v>
      </c>
      <c r="F181" s="272">
        <v>1</v>
      </c>
      <c r="G181" s="94">
        <v>190</v>
      </c>
      <c r="H181" s="95">
        <v>2</v>
      </c>
      <c r="I181" s="94">
        <v>400</v>
      </c>
      <c r="J181" s="93">
        <v>0.5</v>
      </c>
      <c r="K181" s="94">
        <v>100</v>
      </c>
      <c r="L181" s="95">
        <v>0.5</v>
      </c>
      <c r="M181" s="94">
        <v>100</v>
      </c>
      <c r="N181" s="93">
        <v>0.5</v>
      </c>
      <c r="O181" s="94">
        <v>105</v>
      </c>
      <c r="P181" s="95">
        <v>1</v>
      </c>
      <c r="Q181" s="96">
        <v>190</v>
      </c>
      <c r="R181" s="95">
        <v>3</v>
      </c>
      <c r="S181" s="237">
        <v>570</v>
      </c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9</v>
      </c>
      <c r="AK181" s="340">
        <f>IF(ISERR(AL181/AJ181),S!D179,(AL181/AJ181))</f>
        <v>193.88888888888889</v>
      </c>
      <c r="AL181" s="99">
        <f t="shared" si="5"/>
        <v>1745</v>
      </c>
    </row>
    <row r="182" spans="1:38">
      <c r="A182" s="91">
        <v>178</v>
      </c>
      <c r="B182" s="92" t="s">
        <v>396</v>
      </c>
      <c r="C182" s="100" t="s">
        <v>9</v>
      </c>
      <c r="D182" s="272">
        <v>0.5</v>
      </c>
      <c r="E182" s="98">
        <v>85</v>
      </c>
      <c r="F182" s="272">
        <v>0.5</v>
      </c>
      <c r="G182" s="94">
        <v>85</v>
      </c>
      <c r="H182" s="95">
        <v>1</v>
      </c>
      <c r="I182" s="94">
        <v>170</v>
      </c>
      <c r="J182" s="93">
        <v>0.5</v>
      </c>
      <c r="K182" s="94">
        <v>85</v>
      </c>
      <c r="L182" s="95">
        <v>0.5</v>
      </c>
      <c r="M182" s="94">
        <v>85</v>
      </c>
      <c r="N182" s="93">
        <v>0.5</v>
      </c>
      <c r="O182" s="94">
        <v>80</v>
      </c>
      <c r="P182" s="95">
        <v>0.5</v>
      </c>
      <c r="Q182" s="96">
        <v>80</v>
      </c>
      <c r="R182" s="95">
        <v>1.5</v>
      </c>
      <c r="S182" s="237">
        <v>240</v>
      </c>
      <c r="T182" s="227">
        <v>1</v>
      </c>
      <c r="U182" s="237">
        <v>160</v>
      </c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6.5</v>
      </c>
      <c r="AK182" s="340">
        <f>IF(ISERR(AL182/AJ182),S!D180,(AL182/AJ182))</f>
        <v>164.61538461538461</v>
      </c>
      <c r="AL182" s="99">
        <f t="shared" si="5"/>
        <v>1070</v>
      </c>
    </row>
    <row r="183" spans="1:38">
      <c r="A183" s="91">
        <v>179</v>
      </c>
      <c r="B183" s="92" t="s">
        <v>319</v>
      </c>
      <c r="C183" s="100" t="s">
        <v>9</v>
      </c>
      <c r="D183" s="272">
        <v>1</v>
      </c>
      <c r="E183" s="98">
        <v>150</v>
      </c>
      <c r="F183" s="272">
        <v>1</v>
      </c>
      <c r="G183" s="94">
        <v>170</v>
      </c>
      <c r="H183" s="95">
        <v>3</v>
      </c>
      <c r="I183" s="94">
        <v>600</v>
      </c>
      <c r="J183" s="93">
        <v>1</v>
      </c>
      <c r="K183" s="94">
        <v>210</v>
      </c>
      <c r="L183" s="95">
        <v>1</v>
      </c>
      <c r="M183" s="94">
        <v>170</v>
      </c>
      <c r="N183" s="93">
        <v>1.5</v>
      </c>
      <c r="O183" s="94">
        <v>195</v>
      </c>
      <c r="P183" s="95">
        <v>2</v>
      </c>
      <c r="Q183" s="96">
        <v>240</v>
      </c>
      <c r="R183" s="95">
        <v>5</v>
      </c>
      <c r="S183" s="237">
        <v>550</v>
      </c>
      <c r="T183" s="227">
        <v>2</v>
      </c>
      <c r="U183" s="237">
        <v>300</v>
      </c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17.5</v>
      </c>
      <c r="AK183" s="340">
        <f>IF(ISERR(AL183/AJ183),S!D181,(AL183/AJ183))</f>
        <v>147.71428571428572</v>
      </c>
      <c r="AL183" s="99">
        <f t="shared" si="5"/>
        <v>2585</v>
      </c>
    </row>
    <row r="184" spans="1:38">
      <c r="A184" s="91">
        <v>180</v>
      </c>
      <c r="B184" s="92" t="s">
        <v>159</v>
      </c>
      <c r="C184" s="100" t="s">
        <v>31</v>
      </c>
      <c r="D184" s="272">
        <v>15</v>
      </c>
      <c r="E184" s="98">
        <v>105</v>
      </c>
      <c r="F184" s="272">
        <v>26</v>
      </c>
      <c r="G184" s="94">
        <v>182</v>
      </c>
      <c r="H184" s="95">
        <v>35</v>
      </c>
      <c r="I184" s="94">
        <v>245</v>
      </c>
      <c r="J184" s="93">
        <v>15</v>
      </c>
      <c r="K184" s="94">
        <v>120</v>
      </c>
      <c r="L184" s="95">
        <v>15</v>
      </c>
      <c r="M184" s="94">
        <v>120</v>
      </c>
      <c r="N184" s="93">
        <v>20</v>
      </c>
      <c r="O184" s="94">
        <v>160</v>
      </c>
      <c r="P184" s="95">
        <v>40</v>
      </c>
      <c r="Q184" s="96">
        <v>240</v>
      </c>
      <c r="R184" s="95">
        <v>40</v>
      </c>
      <c r="S184" s="237">
        <v>200</v>
      </c>
      <c r="T184" s="227">
        <v>25</v>
      </c>
      <c r="U184" s="237">
        <v>175</v>
      </c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231</v>
      </c>
      <c r="AK184" s="340">
        <f>IF(ISERR(AL184/AJ184),S!D182,(AL184/AJ184))</f>
        <v>6.6969696969696972</v>
      </c>
      <c r="AL184" s="99">
        <f t="shared" si="5"/>
        <v>1547</v>
      </c>
    </row>
    <row r="185" spans="1:38">
      <c r="A185" s="91">
        <v>181</v>
      </c>
      <c r="B185" s="92" t="s">
        <v>160</v>
      </c>
      <c r="C185" s="100" t="s">
        <v>9</v>
      </c>
      <c r="D185" s="272">
        <v>3</v>
      </c>
      <c r="E185" s="98">
        <v>180</v>
      </c>
      <c r="F185" s="272">
        <v>5</v>
      </c>
      <c r="G185" s="94">
        <v>325</v>
      </c>
      <c r="H185" s="95">
        <v>8</v>
      </c>
      <c r="I185" s="94">
        <v>480</v>
      </c>
      <c r="J185" s="93">
        <v>3</v>
      </c>
      <c r="K185" s="94">
        <v>180</v>
      </c>
      <c r="L185" s="95">
        <v>3</v>
      </c>
      <c r="M185" s="94">
        <v>180</v>
      </c>
      <c r="N185" s="93">
        <v>4</v>
      </c>
      <c r="O185" s="94">
        <v>200</v>
      </c>
      <c r="P185" s="95">
        <v>4</v>
      </c>
      <c r="Q185" s="96">
        <v>200</v>
      </c>
      <c r="R185" s="95">
        <v>15</v>
      </c>
      <c r="S185" s="237">
        <v>825</v>
      </c>
      <c r="T185" s="227">
        <v>5</v>
      </c>
      <c r="U185" s="237">
        <v>250</v>
      </c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50</v>
      </c>
      <c r="AK185" s="340">
        <f>IF(ISERR(AL185/AJ185),S!D183,(AL185/AJ185))</f>
        <v>56.4</v>
      </c>
      <c r="AL185" s="99">
        <f t="shared" si="5"/>
        <v>2820</v>
      </c>
    </row>
    <row r="186" spans="1:38">
      <c r="A186" s="91">
        <v>182</v>
      </c>
      <c r="B186" s="92" t="s">
        <v>161</v>
      </c>
      <c r="C186" s="100" t="s">
        <v>9</v>
      </c>
      <c r="D186" s="272">
        <v>1</v>
      </c>
      <c r="E186" s="98">
        <v>90</v>
      </c>
      <c r="F186" s="272">
        <v>2</v>
      </c>
      <c r="G186" s="94">
        <v>180</v>
      </c>
      <c r="H186" s="95">
        <v>3</v>
      </c>
      <c r="I186" s="94">
        <v>270</v>
      </c>
      <c r="J186" s="93">
        <v>1</v>
      </c>
      <c r="K186" s="94">
        <v>90</v>
      </c>
      <c r="L186" s="95">
        <v>1</v>
      </c>
      <c r="M186" s="94">
        <v>90</v>
      </c>
      <c r="N186" s="93">
        <v>1</v>
      </c>
      <c r="O186" s="94">
        <v>90</v>
      </c>
      <c r="P186" s="95">
        <v>1</v>
      </c>
      <c r="Q186" s="96">
        <v>90</v>
      </c>
      <c r="R186" s="95">
        <v>2</v>
      </c>
      <c r="S186" s="237">
        <v>180</v>
      </c>
      <c r="T186" s="227">
        <v>1</v>
      </c>
      <c r="U186" s="237">
        <v>90</v>
      </c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13</v>
      </c>
      <c r="AK186" s="340">
        <f>IF(ISERR(AL186/AJ186),S!D184,(AL186/AJ186))</f>
        <v>90</v>
      </c>
      <c r="AL186" s="99">
        <f t="shared" si="5"/>
        <v>1170</v>
      </c>
    </row>
    <row r="187" spans="1:38">
      <c r="A187" s="91">
        <v>183</v>
      </c>
      <c r="B187" s="92" t="s">
        <v>162</v>
      </c>
      <c r="C187" s="100" t="s">
        <v>9</v>
      </c>
      <c r="D187" s="272">
        <v>5</v>
      </c>
      <c r="E187" s="98">
        <v>325</v>
      </c>
      <c r="F187" s="272"/>
      <c r="G187" s="94"/>
      <c r="H187" s="95">
        <v>3</v>
      </c>
      <c r="I187" s="94">
        <v>195</v>
      </c>
      <c r="J187" s="93">
        <v>3</v>
      </c>
      <c r="K187" s="94">
        <v>150</v>
      </c>
      <c r="L187" s="95"/>
      <c r="M187" s="94"/>
      <c r="N187" s="93"/>
      <c r="O187" s="94"/>
      <c r="P187" s="95">
        <v>5</v>
      </c>
      <c r="Q187" s="96">
        <v>200</v>
      </c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16</v>
      </c>
      <c r="AK187" s="340">
        <f>IF(ISERR(AL187/AJ187),S!D185,(AL187/AJ187))</f>
        <v>54.375</v>
      </c>
      <c r="AL187" s="99">
        <f t="shared" si="5"/>
        <v>870</v>
      </c>
    </row>
    <row r="188" spans="1:38">
      <c r="A188" s="91">
        <v>184</v>
      </c>
      <c r="B188" s="92" t="s">
        <v>270</v>
      </c>
      <c r="C188" s="100" t="s">
        <v>9</v>
      </c>
      <c r="D188" s="272"/>
      <c r="E188" s="98"/>
      <c r="F188" s="272">
        <v>10</v>
      </c>
      <c r="G188" s="94">
        <v>750</v>
      </c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>
        <v>10</v>
      </c>
      <c r="U188" s="237">
        <v>400</v>
      </c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20</v>
      </c>
      <c r="AK188" s="340">
        <f>IF(ISERR(AL188/AJ188),S!D186,(AL188/AJ188))</f>
        <v>57.5</v>
      </c>
      <c r="AL188" s="99">
        <f t="shared" si="5"/>
        <v>1150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>
        <v>18</v>
      </c>
      <c r="K189" s="94">
        <v>630</v>
      </c>
      <c r="L189" s="95"/>
      <c r="M189" s="94"/>
      <c r="N189" s="93">
        <v>18</v>
      </c>
      <c r="O189" s="94">
        <v>720</v>
      </c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36</v>
      </c>
      <c r="AK189" s="340">
        <f>IF(ISERR(AL189/AJ189),S!D187,(AL189/AJ189))</f>
        <v>37.5</v>
      </c>
      <c r="AL189" s="99">
        <f t="shared" si="5"/>
        <v>1350</v>
      </c>
    </row>
    <row r="190" spans="1:38">
      <c r="A190" s="91">
        <v>186</v>
      </c>
      <c r="B190" s="92" t="s">
        <v>318</v>
      </c>
      <c r="C190" s="100" t="s">
        <v>31</v>
      </c>
      <c r="D190" s="272"/>
      <c r="E190" s="98"/>
      <c r="F190" s="272"/>
      <c r="G190" s="94"/>
      <c r="H190" s="95">
        <v>32</v>
      </c>
      <c r="I190" s="94">
        <v>192</v>
      </c>
      <c r="J190" s="93"/>
      <c r="K190" s="94"/>
      <c r="L190" s="95"/>
      <c r="M190" s="94"/>
      <c r="N190" s="93">
        <v>1</v>
      </c>
      <c r="O190" s="94">
        <v>25</v>
      </c>
      <c r="P190" s="95"/>
      <c r="Q190" s="96"/>
      <c r="R190" s="95">
        <v>112</v>
      </c>
      <c r="S190" s="237">
        <v>672</v>
      </c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145</v>
      </c>
      <c r="AK190" s="340">
        <f>IF(ISERR(AL190/AJ190),S!D188,(AL190/AJ190))</f>
        <v>6.1310344827586203</v>
      </c>
      <c r="AL190" s="99">
        <f t="shared" si="5"/>
        <v>889</v>
      </c>
    </row>
    <row r="191" spans="1:38">
      <c r="A191" s="91">
        <v>187</v>
      </c>
      <c r="B191" s="92" t="s">
        <v>164</v>
      </c>
      <c r="C191" s="100" t="s">
        <v>373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25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>
        <v>90</v>
      </c>
      <c r="U192" s="237">
        <v>1080</v>
      </c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90</v>
      </c>
      <c r="AK192" s="340">
        <f>IF(ISERR(AL192/AJ192),S!D190,(AL192/AJ192))</f>
        <v>12</v>
      </c>
      <c r="AL192" s="99">
        <f t="shared" si="5"/>
        <v>1080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>
        <v>6</v>
      </c>
      <c r="M193" s="94">
        <v>180</v>
      </c>
      <c r="N193" s="93"/>
      <c r="O193" s="94"/>
      <c r="P193" s="95"/>
      <c r="Q193" s="96"/>
      <c r="R193" s="95">
        <v>25</v>
      </c>
      <c r="S193" s="237">
        <v>550</v>
      </c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31</v>
      </c>
      <c r="AK193" s="340">
        <f>IF(ISERR(AL193/AJ193),S!D191,(AL193/AJ193))</f>
        <v>23.548387096774192</v>
      </c>
      <c r="AL193" s="99">
        <f t="shared" si="5"/>
        <v>730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>
        <v>8</v>
      </c>
      <c r="M195" s="94">
        <v>320</v>
      </c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8</v>
      </c>
      <c r="AK195" s="340">
        <f>IF(ISERR(AL195/AJ195),S!D193,(AL195/AJ195))</f>
        <v>40</v>
      </c>
      <c r="AL195" s="99">
        <f t="shared" si="5"/>
        <v>320</v>
      </c>
    </row>
    <row r="196" spans="1:38">
      <c r="A196" s="91">
        <v>192</v>
      </c>
      <c r="B196" s="92" t="s">
        <v>169</v>
      </c>
      <c r="C196" s="100" t="s">
        <v>9</v>
      </c>
      <c r="D196" s="272">
        <v>14</v>
      </c>
      <c r="E196" s="98">
        <v>490</v>
      </c>
      <c r="F196" s="272">
        <v>5</v>
      </c>
      <c r="G196" s="94">
        <v>175</v>
      </c>
      <c r="H196" s="95">
        <v>10</v>
      </c>
      <c r="I196" s="94">
        <v>350</v>
      </c>
      <c r="J196" s="93"/>
      <c r="K196" s="94"/>
      <c r="L196" s="95">
        <v>15.1</v>
      </c>
      <c r="M196" s="94">
        <v>528</v>
      </c>
      <c r="N196" s="93"/>
      <c r="O196" s="94"/>
      <c r="P196" s="95"/>
      <c r="Q196" s="96"/>
      <c r="R196" s="95">
        <v>20.3</v>
      </c>
      <c r="S196" s="237">
        <v>710</v>
      </c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64.400000000000006</v>
      </c>
      <c r="AK196" s="340">
        <f>IF(ISERR(AL196/AJ196),S!D194,(AL196/AJ196))</f>
        <v>34.984472049689437</v>
      </c>
      <c r="AL196" s="99">
        <f t="shared" si="5"/>
        <v>2253</v>
      </c>
    </row>
    <row r="197" spans="1:38">
      <c r="A197" s="91">
        <v>193</v>
      </c>
      <c r="B197" s="92" t="s">
        <v>320</v>
      </c>
      <c r="C197" s="100" t="s">
        <v>9</v>
      </c>
      <c r="D197" s="272">
        <v>3</v>
      </c>
      <c r="E197" s="98">
        <v>75</v>
      </c>
      <c r="F197" s="272">
        <v>10</v>
      </c>
      <c r="G197" s="94">
        <v>200</v>
      </c>
      <c r="H197" s="95">
        <v>30</v>
      </c>
      <c r="I197" s="94">
        <v>600</v>
      </c>
      <c r="J197" s="93">
        <v>1</v>
      </c>
      <c r="K197" s="94">
        <v>25</v>
      </c>
      <c r="L197" s="95">
        <v>3</v>
      </c>
      <c r="M197" s="94">
        <v>75</v>
      </c>
      <c r="N197" s="93"/>
      <c r="O197" s="94"/>
      <c r="P197" s="95">
        <v>7</v>
      </c>
      <c r="Q197" s="96">
        <v>140</v>
      </c>
      <c r="R197" s="95">
        <v>4</v>
      </c>
      <c r="S197" s="237">
        <v>80</v>
      </c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58</v>
      </c>
      <c r="AK197" s="340">
        <f>IF(ISERR(AL197/AJ197),S!D195,(AL197/AJ197))</f>
        <v>20.603448275862068</v>
      </c>
      <c r="AL197" s="99">
        <f t="shared" si="5"/>
        <v>1195</v>
      </c>
    </row>
    <row r="198" spans="1:38">
      <c r="A198" s="91">
        <v>194</v>
      </c>
      <c r="B198" s="92" t="s">
        <v>321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110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271</v>
      </c>
      <c r="C199" s="100" t="s">
        <v>9</v>
      </c>
      <c r="D199" s="272">
        <v>1</v>
      </c>
      <c r="E199" s="98">
        <v>110</v>
      </c>
      <c r="F199" s="272">
        <v>1</v>
      </c>
      <c r="G199" s="94">
        <v>110</v>
      </c>
      <c r="H199" s="95">
        <v>3</v>
      </c>
      <c r="I199" s="94">
        <v>330</v>
      </c>
      <c r="J199" s="93">
        <v>1</v>
      </c>
      <c r="K199" s="94">
        <v>110</v>
      </c>
      <c r="L199" s="95">
        <v>2</v>
      </c>
      <c r="M199" s="94">
        <v>220</v>
      </c>
      <c r="N199" s="93">
        <v>1</v>
      </c>
      <c r="O199" s="94">
        <v>110</v>
      </c>
      <c r="P199" s="95">
        <v>1</v>
      </c>
      <c r="Q199" s="96">
        <v>100</v>
      </c>
      <c r="R199" s="95">
        <v>2</v>
      </c>
      <c r="S199" s="237">
        <v>200</v>
      </c>
      <c r="T199" s="227">
        <v>1</v>
      </c>
      <c r="U199" s="237">
        <v>100</v>
      </c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13</v>
      </c>
      <c r="AK199" s="340">
        <f>IF(ISERR(AL199/AJ199),S!D197,(AL199/AJ199))</f>
        <v>106.92307692307692</v>
      </c>
      <c r="AL199" s="99">
        <f t="shared" si="7"/>
        <v>1390</v>
      </c>
    </row>
    <row r="200" spans="1:38">
      <c r="A200" s="91">
        <v>196</v>
      </c>
      <c r="B200" s="92" t="s">
        <v>272</v>
      </c>
      <c r="C200" s="100" t="s">
        <v>9</v>
      </c>
      <c r="D200" s="272">
        <v>0.5</v>
      </c>
      <c r="E200" s="98">
        <v>60</v>
      </c>
      <c r="F200" s="272">
        <v>0.5</v>
      </c>
      <c r="G200" s="94">
        <v>60</v>
      </c>
      <c r="H200" s="95">
        <v>2.5</v>
      </c>
      <c r="I200" s="94">
        <v>275</v>
      </c>
      <c r="J200" s="93">
        <v>0.5</v>
      </c>
      <c r="K200" s="94">
        <v>60</v>
      </c>
      <c r="L200" s="95">
        <v>0.5</v>
      </c>
      <c r="M200" s="94">
        <v>60</v>
      </c>
      <c r="N200" s="93">
        <v>0.5</v>
      </c>
      <c r="O200" s="94">
        <v>60</v>
      </c>
      <c r="P200" s="95">
        <v>0.5</v>
      </c>
      <c r="Q200" s="96">
        <v>50</v>
      </c>
      <c r="R200" s="95">
        <v>0.5</v>
      </c>
      <c r="S200" s="237">
        <v>60</v>
      </c>
      <c r="T200" s="227">
        <v>0.5</v>
      </c>
      <c r="U200" s="237">
        <v>60</v>
      </c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6.5</v>
      </c>
      <c r="AK200" s="340">
        <f>IF(ISERR(AL200/AJ200),S!D198,(AL200/AJ200))</f>
        <v>114.61538461538461</v>
      </c>
      <c r="AL200" s="99">
        <f t="shared" si="7"/>
        <v>745</v>
      </c>
    </row>
    <row r="201" spans="1:38">
      <c r="A201" s="91">
        <v>197</v>
      </c>
      <c r="B201" s="92" t="s">
        <v>273</v>
      </c>
      <c r="C201" s="100" t="s">
        <v>9</v>
      </c>
      <c r="D201" s="272"/>
      <c r="E201" s="98"/>
      <c r="F201" s="272"/>
      <c r="G201" s="94"/>
      <c r="H201" s="95">
        <v>1</v>
      </c>
      <c r="I201" s="94">
        <v>120</v>
      </c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1</v>
      </c>
      <c r="AK201" s="340">
        <f>IF(ISERR(AL201/AJ201),S!D199,(AL201/AJ201))</f>
        <v>120</v>
      </c>
      <c r="AL201" s="99">
        <f t="shared" si="7"/>
        <v>120</v>
      </c>
    </row>
    <row r="202" spans="1:38">
      <c r="A202" s="91">
        <v>198</v>
      </c>
      <c r="B202" s="92" t="s">
        <v>317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316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60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>
        <v>5</v>
      </c>
      <c r="E205" s="98">
        <v>325</v>
      </c>
      <c r="F205" s="272"/>
      <c r="G205" s="94"/>
      <c r="H205" s="95"/>
      <c r="I205" s="94"/>
      <c r="J205" s="93">
        <v>5</v>
      </c>
      <c r="K205" s="94">
        <v>200</v>
      </c>
      <c r="L205" s="95"/>
      <c r="M205" s="94"/>
      <c r="N205" s="93">
        <v>5</v>
      </c>
      <c r="O205" s="94">
        <v>200</v>
      </c>
      <c r="P205" s="95"/>
      <c r="Q205" s="96"/>
      <c r="R205" s="95">
        <v>7</v>
      </c>
      <c r="S205" s="237">
        <v>245</v>
      </c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22</v>
      </c>
      <c r="AK205" s="340">
        <f>IF(ISERR(AL205/AJ205),S!D203,(AL205/AJ205))</f>
        <v>44.090909090909093</v>
      </c>
      <c r="AL205" s="99">
        <f t="shared" si="7"/>
        <v>970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>
        <v>4</v>
      </c>
      <c r="I206" s="94">
        <v>180</v>
      </c>
      <c r="J206" s="93">
        <v>2</v>
      </c>
      <c r="K206" s="94">
        <v>80</v>
      </c>
      <c r="L206" s="95"/>
      <c r="M206" s="94"/>
      <c r="N206" s="93">
        <v>2</v>
      </c>
      <c r="O206" s="94">
        <v>80</v>
      </c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8</v>
      </c>
      <c r="AK206" s="340">
        <f>IF(ISERR(AL206/AJ206),S!D204,(AL206/AJ206))</f>
        <v>42.5</v>
      </c>
      <c r="AL206" s="99">
        <f t="shared" si="7"/>
        <v>340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>
        <v>2</v>
      </c>
      <c r="I207" s="94">
        <v>100</v>
      </c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2</v>
      </c>
      <c r="AK207" s="340">
        <f>IF(ISERR(AL207/AJ207),S!D205,(AL207/AJ207))</f>
        <v>50</v>
      </c>
      <c r="AL207" s="99">
        <f t="shared" si="7"/>
        <v>100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>
        <v>5</v>
      </c>
      <c r="G208" s="94">
        <v>225</v>
      </c>
      <c r="H208" s="95">
        <v>30</v>
      </c>
      <c r="I208" s="94">
        <v>1350</v>
      </c>
      <c r="J208" s="93">
        <v>1</v>
      </c>
      <c r="K208" s="94">
        <v>40</v>
      </c>
      <c r="L208" s="95"/>
      <c r="M208" s="94"/>
      <c r="N208" s="93">
        <v>1</v>
      </c>
      <c r="O208" s="94">
        <v>40</v>
      </c>
      <c r="P208" s="95">
        <v>12</v>
      </c>
      <c r="Q208" s="96">
        <v>420</v>
      </c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49</v>
      </c>
      <c r="AK208" s="340">
        <f>IF(ISERR(AL208/AJ208),S!D206,(AL208/AJ208))</f>
        <v>42.346938775510203</v>
      </c>
      <c r="AL208" s="99">
        <f t="shared" si="7"/>
        <v>2075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>
        <v>15</v>
      </c>
      <c r="Q209" s="96">
        <v>525</v>
      </c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15</v>
      </c>
      <c r="AK209" s="340">
        <f>IF(ISERR(AL209/AJ209),S!D207,(AL209/AJ209))</f>
        <v>35</v>
      </c>
      <c r="AL209" s="99">
        <f t="shared" si="7"/>
        <v>525</v>
      </c>
    </row>
    <row r="210" spans="1:38">
      <c r="A210" s="91">
        <v>206</v>
      </c>
      <c r="B210" s="92" t="s">
        <v>397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>
        <v>3</v>
      </c>
      <c r="G211" s="94">
        <v>120</v>
      </c>
      <c r="H211" s="95"/>
      <c r="I211" s="94"/>
      <c r="J211" s="93"/>
      <c r="K211" s="94"/>
      <c r="L211" s="95">
        <v>5</v>
      </c>
      <c r="M211" s="94">
        <v>175</v>
      </c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8</v>
      </c>
      <c r="AK211" s="340">
        <f>IF(ISERR(AL211/AJ211),S!D209,(AL211/AJ211))</f>
        <v>36.875</v>
      </c>
      <c r="AL211" s="99">
        <f t="shared" si="7"/>
        <v>295</v>
      </c>
    </row>
    <row r="212" spans="1:38">
      <c r="A212" s="91">
        <v>208</v>
      </c>
      <c r="B212" s="92" t="s">
        <v>323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282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274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311</v>
      </c>
      <c r="C216" s="100" t="s">
        <v>9</v>
      </c>
      <c r="D216" s="272"/>
      <c r="E216" s="98"/>
      <c r="F216" s="272">
        <v>3</v>
      </c>
      <c r="G216" s="94">
        <v>255</v>
      </c>
      <c r="H216" s="95">
        <v>5</v>
      </c>
      <c r="I216" s="94">
        <v>425</v>
      </c>
      <c r="J216" s="93">
        <v>1</v>
      </c>
      <c r="K216" s="94">
        <v>85</v>
      </c>
      <c r="L216" s="95"/>
      <c r="M216" s="94"/>
      <c r="N216" s="93">
        <v>1</v>
      </c>
      <c r="O216" s="94">
        <v>85</v>
      </c>
      <c r="P216" s="95">
        <v>1</v>
      </c>
      <c r="Q216" s="96">
        <v>85</v>
      </c>
      <c r="R216" s="95">
        <v>35</v>
      </c>
      <c r="S216" s="237">
        <v>2905</v>
      </c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46</v>
      </c>
      <c r="AK216" s="340">
        <f>IF(ISERR(AL216/AJ216),S!D214,(AL216/AJ216))</f>
        <v>83.478260869565219</v>
      </c>
      <c r="AL216" s="99">
        <f t="shared" si="7"/>
        <v>3840</v>
      </c>
    </row>
    <row r="217" spans="1:38">
      <c r="A217" s="91">
        <v>213</v>
      </c>
      <c r="B217" s="92" t="s">
        <v>353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275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>
        <v>2.4</v>
      </c>
      <c r="K230" s="94">
        <v>1020</v>
      </c>
      <c r="L230" s="95"/>
      <c r="M230" s="94"/>
      <c r="N230" s="93"/>
      <c r="O230" s="94"/>
      <c r="P230" s="95"/>
      <c r="Q230" s="96"/>
      <c r="R230" s="95"/>
      <c r="S230" s="237"/>
      <c r="T230" s="227">
        <v>1.6</v>
      </c>
      <c r="U230" s="237">
        <v>960</v>
      </c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4</v>
      </c>
      <c r="AK230" s="340">
        <f>IF(ISERR(AL230/AJ230),S!D228,(AL230/AJ230))</f>
        <v>495</v>
      </c>
      <c r="AL230" s="99">
        <f t="shared" si="7"/>
        <v>1980</v>
      </c>
    </row>
    <row r="231" spans="1:38">
      <c r="A231" s="91">
        <v>227</v>
      </c>
      <c r="B231" s="92" t="s">
        <v>281</v>
      </c>
      <c r="C231" s="100" t="s">
        <v>9</v>
      </c>
      <c r="D231" s="272">
        <v>2.6</v>
      </c>
      <c r="E231" s="98">
        <v>1828</v>
      </c>
      <c r="F231" s="272">
        <v>3.8</v>
      </c>
      <c r="G231" s="94">
        <v>2644</v>
      </c>
      <c r="H231" s="95"/>
      <c r="I231" s="94"/>
      <c r="J231" s="93">
        <v>1.1000000000000001</v>
      </c>
      <c r="K231" s="94">
        <v>808</v>
      </c>
      <c r="L231" s="95">
        <v>5.9</v>
      </c>
      <c r="M231" s="94">
        <v>4012</v>
      </c>
      <c r="N231" s="93">
        <v>4</v>
      </c>
      <c r="O231" s="94">
        <v>2720</v>
      </c>
      <c r="P231" s="95"/>
      <c r="Q231" s="96"/>
      <c r="R231" s="95">
        <v>3.3</v>
      </c>
      <c r="S231" s="237">
        <v>2244</v>
      </c>
      <c r="T231" s="227">
        <v>2.4</v>
      </c>
      <c r="U231" s="237">
        <v>1632</v>
      </c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23.099999999999998</v>
      </c>
      <c r="AK231" s="340">
        <f>IF(ISERR(AL231/AJ231),S!D229,(AL231/AJ231))</f>
        <v>687.79220779220782</v>
      </c>
      <c r="AL231" s="99">
        <f t="shared" si="7"/>
        <v>15888</v>
      </c>
    </row>
    <row r="232" spans="1:38">
      <c r="A232" s="91">
        <v>228</v>
      </c>
      <c r="B232" s="92" t="s">
        <v>294</v>
      </c>
      <c r="C232" s="100" t="s">
        <v>9</v>
      </c>
      <c r="D232" s="272"/>
      <c r="E232" s="98"/>
      <c r="F232" s="272"/>
      <c r="G232" s="94"/>
      <c r="H232" s="95">
        <v>24</v>
      </c>
      <c r="I232" s="94">
        <v>22800</v>
      </c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24</v>
      </c>
      <c r="AK232" s="340">
        <f>IF(ISERR(AL232/AJ232),S!D230,(AL232/AJ232))</f>
        <v>950</v>
      </c>
      <c r="AL232" s="99">
        <f t="shared" si="7"/>
        <v>22800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>
        <v>3000</v>
      </c>
      <c r="I233" s="94">
        <v>4200</v>
      </c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3000</v>
      </c>
      <c r="AK233" s="340">
        <f>IF(ISERR(AL233/AJ233),S!D231,(AL233/AJ233))</f>
        <v>1.4</v>
      </c>
      <c r="AL233" s="99">
        <f t="shared" si="7"/>
        <v>4200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>
        <v>90</v>
      </c>
      <c r="G234" s="94">
        <v>2250</v>
      </c>
      <c r="H234" s="95">
        <v>126</v>
      </c>
      <c r="I234" s="94">
        <v>3150</v>
      </c>
      <c r="J234" s="93">
        <v>90</v>
      </c>
      <c r="K234" s="94">
        <v>2250</v>
      </c>
      <c r="L234" s="95"/>
      <c r="M234" s="94"/>
      <c r="N234" s="93"/>
      <c r="O234" s="94"/>
      <c r="P234" s="95"/>
      <c r="Q234" s="96"/>
      <c r="R234" s="95">
        <v>288</v>
      </c>
      <c r="S234" s="237">
        <v>7200</v>
      </c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594</v>
      </c>
      <c r="AK234" s="340">
        <f>IF(ISERR(AL234/AJ234),S!D232,(AL234/AJ234))</f>
        <v>25</v>
      </c>
      <c r="AL234" s="99">
        <f t="shared" si="7"/>
        <v>14850</v>
      </c>
    </row>
    <row r="235" spans="1:38">
      <c r="A235" s="91">
        <v>231</v>
      </c>
      <c r="B235" s="92" t="s">
        <v>276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>
        <v>3.6</v>
      </c>
      <c r="S235" s="237">
        <v>1800</v>
      </c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3.6</v>
      </c>
      <c r="AK235" s="340">
        <f>IF(ISERR(AL235/AJ235),S!D233,(AL235/AJ235))</f>
        <v>500</v>
      </c>
      <c r="AL235" s="99">
        <f t="shared" si="7"/>
        <v>1800</v>
      </c>
    </row>
    <row r="236" spans="1:38">
      <c r="A236" s="91">
        <v>232</v>
      </c>
      <c r="B236" s="92" t="s">
        <v>283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285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284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277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425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279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394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280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>
        <v>70</v>
      </c>
      <c r="E245" s="98">
        <v>700</v>
      </c>
      <c r="F245" s="272">
        <v>118</v>
      </c>
      <c r="G245" s="94">
        <v>1180</v>
      </c>
      <c r="H245" s="95">
        <v>158</v>
      </c>
      <c r="I245" s="94">
        <v>1580</v>
      </c>
      <c r="J245" s="93"/>
      <c r="K245" s="94"/>
      <c r="L245" s="95">
        <v>85</v>
      </c>
      <c r="M245" s="94">
        <v>765</v>
      </c>
      <c r="N245" s="93">
        <v>99</v>
      </c>
      <c r="O245" s="94">
        <v>891</v>
      </c>
      <c r="P245" s="95">
        <v>216</v>
      </c>
      <c r="Q245" s="96">
        <v>1044</v>
      </c>
      <c r="R245" s="95">
        <v>224</v>
      </c>
      <c r="S245" s="237">
        <v>2240</v>
      </c>
      <c r="T245" s="227">
        <v>55</v>
      </c>
      <c r="U245" s="237">
        <v>510</v>
      </c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1025</v>
      </c>
      <c r="AK245" s="340">
        <f>IF(ISERR(AL245/AJ245),S!D243,(AL245/AJ245))</f>
        <v>8.6926829268292689</v>
      </c>
      <c r="AL245" s="99">
        <f t="shared" si="7"/>
        <v>8910</v>
      </c>
    </row>
    <row r="246" spans="1:41">
      <c r="A246" s="91">
        <v>242</v>
      </c>
      <c r="B246" s="92" t="s">
        <v>393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>
        <v>30</v>
      </c>
      <c r="O247" s="94">
        <v>10500</v>
      </c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30</v>
      </c>
      <c r="AK247" s="340">
        <f>IF(ISERR(AL247/AJ247),S!D245,(AL247/AJ247))</f>
        <v>350</v>
      </c>
      <c r="AL247" s="99">
        <f t="shared" si="7"/>
        <v>10500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>
        <v>100</v>
      </c>
      <c r="I248" s="94">
        <v>2500</v>
      </c>
      <c r="J248" s="93">
        <v>4000</v>
      </c>
      <c r="K248" s="94">
        <v>4000</v>
      </c>
      <c r="L248" s="95"/>
      <c r="M248" s="94"/>
      <c r="N248" s="93"/>
      <c r="O248" s="94"/>
      <c r="P248" s="95"/>
      <c r="Q248" s="96"/>
      <c r="R248" s="95">
        <v>140</v>
      </c>
      <c r="S248" s="237">
        <v>3500</v>
      </c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4240</v>
      </c>
      <c r="AK248" s="340">
        <f>IF(ISERR(AL248/AJ248),S!D246,(AL248/AJ248))</f>
        <v>2.358490566037736</v>
      </c>
      <c r="AL248" s="99">
        <f t="shared" si="7"/>
        <v>10000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840</v>
      </c>
      <c r="E249" s="360">
        <f>D249</f>
        <v>840</v>
      </c>
      <c r="F249" s="359">
        <f>M!C23</f>
        <v>1175</v>
      </c>
      <c r="G249" s="360">
        <f>F249</f>
        <v>1175</v>
      </c>
      <c r="H249" s="359">
        <f>M!C34</f>
        <v>1065</v>
      </c>
      <c r="I249" s="360">
        <f>H249</f>
        <v>1065</v>
      </c>
      <c r="J249" s="359">
        <f>M!C47</f>
        <v>0</v>
      </c>
      <c r="K249" s="360">
        <f>J249</f>
        <v>0</v>
      </c>
      <c r="L249" s="359">
        <f>M!C58</f>
        <v>14860</v>
      </c>
      <c r="M249" s="360">
        <f>M!C58</f>
        <v>14860</v>
      </c>
      <c r="N249" s="359">
        <f>M!C69</f>
        <v>1000</v>
      </c>
      <c r="O249" s="360">
        <f>N249</f>
        <v>1000</v>
      </c>
      <c r="P249" s="359">
        <f>M!C83</f>
        <v>3600</v>
      </c>
      <c r="Q249" s="360">
        <f>P249</f>
        <v>3600</v>
      </c>
      <c r="R249" s="359">
        <f>M!C99</f>
        <v>7530</v>
      </c>
      <c r="S249" s="360">
        <f>R249</f>
        <v>7530</v>
      </c>
      <c r="T249" s="359">
        <f>M!C115</f>
        <v>970</v>
      </c>
      <c r="U249" s="360">
        <f>T249</f>
        <v>970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31040</v>
      </c>
      <c r="AK249" s="360">
        <f>IF(ISERR(AL249/AJ249),S!D247,(AL249/AJ249))</f>
        <v>1</v>
      </c>
      <c r="AL249" s="361">
        <f t="shared" si="7"/>
        <v>31040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>
        <v>60</v>
      </c>
      <c r="M250" s="94">
        <v>60</v>
      </c>
      <c r="N250" s="93">
        <v>60</v>
      </c>
      <c r="O250" s="94">
        <v>60</v>
      </c>
      <c r="P250" s="95"/>
      <c r="Q250" s="96"/>
      <c r="R250" s="95">
        <v>60</v>
      </c>
      <c r="S250" s="237">
        <v>60</v>
      </c>
      <c r="T250" s="227">
        <v>60</v>
      </c>
      <c r="U250" s="237">
        <v>60</v>
      </c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240</v>
      </c>
      <c r="AK250" s="340">
        <f>IF(ISERR(AL250/AJ250),S!D248,(AL250/AJ250))</f>
        <v>1</v>
      </c>
      <c r="AL250" s="99">
        <f t="shared" si="7"/>
        <v>240</v>
      </c>
    </row>
    <row r="251" spans="1:41">
      <c r="A251" s="91">
        <v>247</v>
      </c>
      <c r="B251" s="92" t="s">
        <v>322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1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>
        <v>100</v>
      </c>
      <c r="E252" s="98">
        <v>100</v>
      </c>
      <c r="F252" s="272">
        <v>60</v>
      </c>
      <c r="G252" s="94">
        <v>60</v>
      </c>
      <c r="H252" s="95">
        <v>50</v>
      </c>
      <c r="I252" s="94">
        <v>50</v>
      </c>
      <c r="J252" s="93">
        <v>50</v>
      </c>
      <c r="K252" s="94">
        <v>50</v>
      </c>
      <c r="L252" s="95">
        <v>100</v>
      </c>
      <c r="M252" s="94">
        <v>100</v>
      </c>
      <c r="N252" s="93">
        <v>50</v>
      </c>
      <c r="O252" s="94">
        <v>50</v>
      </c>
      <c r="P252" s="95">
        <v>150</v>
      </c>
      <c r="Q252" s="96">
        <v>150</v>
      </c>
      <c r="R252" s="95">
        <v>230</v>
      </c>
      <c r="S252" s="237">
        <v>230</v>
      </c>
      <c r="T252" s="227">
        <v>130</v>
      </c>
      <c r="U252" s="237">
        <v>130</v>
      </c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920</v>
      </c>
      <c r="AK252" s="340">
        <f>IF(ISERR(AL252/AJ252),S!D250,(AL252/AJ252))</f>
        <v>1</v>
      </c>
      <c r="AL252" s="99">
        <f t="shared" si="7"/>
        <v>920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>
        <v>270</v>
      </c>
      <c r="E253" s="98">
        <v>270</v>
      </c>
      <c r="F253" s="272">
        <v>410</v>
      </c>
      <c r="G253" s="94">
        <v>410</v>
      </c>
      <c r="H253" s="95">
        <v>880</v>
      </c>
      <c r="I253" s="94">
        <v>880</v>
      </c>
      <c r="J253" s="93">
        <v>260</v>
      </c>
      <c r="K253" s="94">
        <v>260</v>
      </c>
      <c r="L253" s="95">
        <v>580</v>
      </c>
      <c r="M253" s="94">
        <v>580</v>
      </c>
      <c r="N253" s="93">
        <v>440</v>
      </c>
      <c r="O253" s="94">
        <v>440</v>
      </c>
      <c r="P253" s="95">
        <v>240</v>
      </c>
      <c r="Q253" s="96">
        <v>240</v>
      </c>
      <c r="R253" s="95">
        <v>860</v>
      </c>
      <c r="S253" s="237">
        <v>860</v>
      </c>
      <c r="T253" s="227">
        <v>430</v>
      </c>
      <c r="U253" s="237">
        <v>430</v>
      </c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4370</v>
      </c>
      <c r="AK253" s="340">
        <f>IF(ISERR(AL253/AJ253),S!D251,(AL253/AJ253))</f>
        <v>1</v>
      </c>
      <c r="AL253" s="99">
        <f t="shared" si="7"/>
        <v>4370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>
        <v>2000</v>
      </c>
      <c r="E254" s="113">
        <v>2000</v>
      </c>
      <c r="F254" s="272">
        <v>2100</v>
      </c>
      <c r="G254" s="94">
        <v>2100</v>
      </c>
      <c r="H254" s="95">
        <v>5300</v>
      </c>
      <c r="I254" s="94">
        <v>5300</v>
      </c>
      <c r="J254" s="93">
        <v>3300</v>
      </c>
      <c r="K254" s="94">
        <v>3300</v>
      </c>
      <c r="L254" s="95">
        <v>3100</v>
      </c>
      <c r="M254" s="94">
        <v>3100</v>
      </c>
      <c r="N254" s="93">
        <v>2300</v>
      </c>
      <c r="O254" s="94">
        <v>2300</v>
      </c>
      <c r="P254" s="95">
        <v>3600</v>
      </c>
      <c r="Q254" s="96">
        <v>3600</v>
      </c>
      <c r="R254" s="240">
        <v>9300</v>
      </c>
      <c r="S254" s="239">
        <v>9300</v>
      </c>
      <c r="T254" s="236">
        <v>3200</v>
      </c>
      <c r="U254" s="238">
        <v>3200</v>
      </c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34200</v>
      </c>
      <c r="AK254" s="340">
        <f>IF(ISERR(AL254/AJ254),S!D252,(AL254/AJ254))</f>
        <v>1</v>
      </c>
      <c r="AL254" s="99">
        <f t="shared" si="7"/>
        <v>34200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539389</v>
      </c>
      <c r="AM256" s="110"/>
      <c r="AN256" s="110"/>
      <c r="AO256" s="100"/>
    </row>
    <row r="257" spans="18:41">
      <c r="R257" s="483"/>
      <c r="S257" s="483"/>
      <c r="T257" s="483"/>
      <c r="U257" s="483"/>
      <c r="V257" s="483"/>
      <c r="W257" s="483"/>
      <c r="X257" s="483"/>
      <c r="Y257" s="483"/>
      <c r="Z257" s="483"/>
      <c r="AA257" s="483"/>
      <c r="AB257" s="483"/>
      <c r="AC257" s="483"/>
      <c r="AD257" s="483"/>
      <c r="AE257" s="483"/>
      <c r="AF257" s="483"/>
      <c r="AG257" s="483"/>
      <c r="AH257" s="483"/>
      <c r="AI257" s="483"/>
      <c r="AJ257" s="483"/>
      <c r="AK257" s="483"/>
      <c r="AL257" s="484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435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F2:G2"/>
    <mergeCell ref="F3:G3"/>
    <mergeCell ref="H2:I2"/>
    <mergeCell ref="H3:I3"/>
    <mergeCell ref="A2:A4"/>
    <mergeCell ref="B2:B4"/>
    <mergeCell ref="C2:C4"/>
    <mergeCell ref="D2:E2"/>
    <mergeCell ref="D3:E3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3" activePane="bottomRight" state="frozen"/>
      <selection pane="topRight" activeCell="L1" sqref="L1"/>
      <selection pane="bottomLeft" activeCell="A3" sqref="A3"/>
      <selection pane="bottomRight" activeCell="D2" sqref="D2:AC2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233</v>
      </c>
      <c r="D1" s="13" t="s">
        <v>234</v>
      </c>
      <c r="E1" s="14">
        <f>C11+C23+C34+C47+C58+C69+C83+C99+C115+C131+C147+C162+C177+C192+C207+C226</f>
        <v>31040</v>
      </c>
    </row>
    <row r="2" spans="1:29">
      <c r="D2" s="497" t="s">
        <v>569</v>
      </c>
      <c r="E2" s="497"/>
      <c r="F2" s="497"/>
      <c r="G2" s="497"/>
      <c r="H2" s="497"/>
      <c r="I2" s="497"/>
      <c r="J2" s="497"/>
      <c r="K2" s="497"/>
      <c r="L2" s="497"/>
      <c r="M2" s="497"/>
      <c r="N2" s="497"/>
      <c r="O2" s="497"/>
      <c r="P2" s="497"/>
      <c r="Q2" s="497"/>
      <c r="R2" s="497"/>
      <c r="S2" s="497"/>
      <c r="T2" s="497"/>
      <c r="U2" s="497"/>
      <c r="V2" s="497"/>
      <c r="W2" s="497"/>
      <c r="X2" s="497"/>
      <c r="Y2" s="497"/>
      <c r="Z2" s="497"/>
      <c r="AA2" s="497"/>
      <c r="AB2" s="497"/>
      <c r="AC2" s="497"/>
    </row>
    <row r="3" spans="1:29">
      <c r="A3" s="11"/>
      <c r="B3" s="211">
        <f>P!D3</f>
        <v>45953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 t="s">
        <v>521</v>
      </c>
      <c r="C5" s="16">
        <v>840</v>
      </c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235</v>
      </c>
      <c r="C11" s="16">
        <f>SUM(C5:C10)</f>
        <v>840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45954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 t="s">
        <v>522</v>
      </c>
      <c r="C16" s="16">
        <v>300</v>
      </c>
      <c r="D16"/>
      <c r="E16"/>
      <c r="F16"/>
      <c r="G16"/>
      <c r="H16"/>
    </row>
    <row r="17" spans="1:8">
      <c r="A17" s="21">
        <v>2</v>
      </c>
      <c r="B17" s="11" t="s">
        <v>523</v>
      </c>
      <c r="C17" s="16">
        <v>410</v>
      </c>
      <c r="D17"/>
      <c r="E17"/>
      <c r="F17"/>
      <c r="G17"/>
      <c r="H17"/>
    </row>
    <row r="18" spans="1:8">
      <c r="A18" s="21">
        <v>3</v>
      </c>
      <c r="B18" s="11" t="s">
        <v>524</v>
      </c>
      <c r="C18" s="16">
        <v>240</v>
      </c>
      <c r="D18"/>
      <c r="E18"/>
      <c r="F18"/>
      <c r="G18"/>
      <c r="H18"/>
    </row>
    <row r="19" spans="1:8">
      <c r="A19" s="21">
        <v>4</v>
      </c>
      <c r="B19" s="11" t="s">
        <v>525</v>
      </c>
      <c r="C19" s="16">
        <v>225</v>
      </c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235</v>
      </c>
      <c r="C23" s="16">
        <f>SUM(C16:C22)</f>
        <v>1175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45955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 t="s">
        <v>468</v>
      </c>
      <c r="C28" s="16">
        <v>40</v>
      </c>
      <c r="D28"/>
      <c r="E28"/>
      <c r="F28"/>
      <c r="G28"/>
      <c r="H28"/>
    </row>
    <row r="29" spans="1:8">
      <c r="A29" s="21">
        <v>2</v>
      </c>
      <c r="B29" s="11" t="s">
        <v>523</v>
      </c>
      <c r="C29" s="16">
        <v>480</v>
      </c>
      <c r="D29"/>
      <c r="E29"/>
      <c r="F29"/>
      <c r="G29"/>
      <c r="H29"/>
    </row>
    <row r="30" spans="1:8">
      <c r="A30" s="21">
        <v>3</v>
      </c>
      <c r="B30" s="11" t="s">
        <v>526</v>
      </c>
      <c r="C30" s="16">
        <v>225</v>
      </c>
      <c r="D30"/>
      <c r="E30"/>
      <c r="F30"/>
      <c r="G30"/>
      <c r="H30"/>
    </row>
    <row r="31" spans="1:8">
      <c r="A31" s="21">
        <v>4</v>
      </c>
      <c r="B31" s="11" t="s">
        <v>527</v>
      </c>
      <c r="C31" s="16">
        <v>320</v>
      </c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235</v>
      </c>
      <c r="C34" s="16">
        <f>SUM(C28:C33)</f>
        <v>1065</v>
      </c>
      <c r="D34"/>
      <c r="E34"/>
      <c r="F34"/>
      <c r="G34"/>
      <c r="H34"/>
    </row>
    <row r="35" spans="1:35">
      <c r="A35"/>
      <c r="B35"/>
      <c r="C35"/>
      <c r="D35"/>
      <c r="E35" s="496"/>
      <c r="F35" s="496"/>
      <c r="G35" s="496"/>
      <c r="H35" s="496"/>
      <c r="I35" s="496"/>
      <c r="J35" s="496"/>
      <c r="K35" s="496"/>
      <c r="L35" s="496"/>
      <c r="M35" s="496"/>
      <c r="N35" s="496"/>
      <c r="O35" s="496"/>
      <c r="P35" s="496"/>
      <c r="Q35" s="496"/>
      <c r="R35" s="496"/>
      <c r="S35" s="496"/>
      <c r="T35" s="496"/>
      <c r="U35" s="496"/>
      <c r="V35" s="496"/>
      <c r="W35" s="496"/>
      <c r="X35" s="496"/>
      <c r="Y35" s="496"/>
      <c r="Z35" s="496"/>
      <c r="AA35" s="496"/>
      <c r="AB35" s="496"/>
      <c r="AC35" s="496"/>
      <c r="AD35" s="496"/>
      <c r="AE35" s="496"/>
      <c r="AF35" s="496"/>
      <c r="AG35" s="496"/>
      <c r="AH35" s="496"/>
      <c r="AI35" s="496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45956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437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235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45957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 t="s">
        <v>528</v>
      </c>
      <c r="C52" s="16">
        <v>60</v>
      </c>
      <c r="D52"/>
      <c r="E52"/>
      <c r="F52"/>
      <c r="G52"/>
      <c r="H52"/>
    </row>
    <row r="53" spans="1:8">
      <c r="A53" s="21">
        <v>2</v>
      </c>
      <c r="B53" s="11" t="s">
        <v>529</v>
      </c>
      <c r="C53" s="16">
        <v>500</v>
      </c>
      <c r="D53"/>
      <c r="E53"/>
      <c r="F53"/>
      <c r="G53"/>
      <c r="H53"/>
    </row>
    <row r="54" spans="1:8">
      <c r="A54" s="21">
        <v>3</v>
      </c>
      <c r="B54" s="11" t="s">
        <v>512</v>
      </c>
      <c r="C54" s="16">
        <v>14300</v>
      </c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235</v>
      </c>
      <c r="C58" s="16">
        <f>SUM(C52:C57)</f>
        <v>14860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45958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 t="s">
        <v>530</v>
      </c>
      <c r="C63" s="16">
        <v>1000</v>
      </c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235</v>
      </c>
      <c r="C69" s="16">
        <f>SUM(C63:C68)</f>
        <v>1000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45959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 t="s">
        <v>534</v>
      </c>
      <c r="C74" s="16">
        <v>3600</v>
      </c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235</v>
      </c>
      <c r="C83" s="16">
        <f>SUM(C74:C82)</f>
        <v>3600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45960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 t="s">
        <v>549</v>
      </c>
      <c r="C88" s="16">
        <v>240</v>
      </c>
      <c r="D88"/>
      <c r="E88"/>
      <c r="F88"/>
      <c r="G88"/>
      <c r="H88"/>
    </row>
    <row r="89" spans="1:8">
      <c r="A89" s="21">
        <v>2</v>
      </c>
      <c r="B89" s="11" t="s">
        <v>550</v>
      </c>
      <c r="C89" s="16">
        <v>5250</v>
      </c>
      <c r="D89"/>
      <c r="E89"/>
      <c r="F89"/>
      <c r="G89"/>
      <c r="H89"/>
    </row>
    <row r="90" spans="1:8">
      <c r="A90" s="21">
        <v>3</v>
      </c>
      <c r="B90" s="11" t="s">
        <v>542</v>
      </c>
      <c r="C90" s="16">
        <v>2040</v>
      </c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235</v>
      </c>
      <c r="C99" s="16">
        <f>SUM(C88:C98)</f>
        <v>7530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45961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 t="s">
        <v>551</v>
      </c>
      <c r="C104" s="16">
        <v>400</v>
      </c>
      <c r="D104"/>
      <c r="E104"/>
      <c r="F104"/>
      <c r="G104"/>
      <c r="H104"/>
    </row>
    <row r="105" spans="1:8">
      <c r="A105" s="21">
        <v>2</v>
      </c>
      <c r="B105" s="11" t="s">
        <v>552</v>
      </c>
      <c r="C105" s="16">
        <v>375</v>
      </c>
      <c r="D105"/>
      <c r="E105"/>
      <c r="F105"/>
      <c r="G105"/>
      <c r="H105"/>
    </row>
    <row r="106" spans="1:8">
      <c r="A106" s="21">
        <v>3</v>
      </c>
      <c r="B106" s="11" t="s">
        <v>553</v>
      </c>
      <c r="C106" s="16">
        <v>195</v>
      </c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235</v>
      </c>
      <c r="C115" s="16">
        <f>SUM(C104:C114)</f>
        <v>970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45962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235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45963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235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45964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235</v>
      </c>
      <c r="C162" s="16">
        <f>SUM(C151:C161)</f>
        <v>0</v>
      </c>
    </row>
    <row r="164" spans="1:3">
      <c r="A164" s="11"/>
      <c r="B164" s="48">
        <f>P!AB3</f>
        <v>45965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235</v>
      </c>
      <c r="C177" s="16">
        <f>SUM(C166:C176)</f>
        <v>0</v>
      </c>
    </row>
    <row r="179" spans="1:3">
      <c r="A179" s="11"/>
      <c r="B179" s="48">
        <f>P!AD3</f>
        <v>45966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235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45967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235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45968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235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10" sqref="B9:B10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498" t="s">
        <v>237</v>
      </c>
      <c r="B1" s="498"/>
      <c r="C1" s="498"/>
      <c r="H1" s="127">
        <f>P!D3</f>
        <v>45953</v>
      </c>
    </row>
    <row r="2" spans="1:8" ht="27.75" customHeight="1">
      <c r="A2" s="499" t="s">
        <v>477</v>
      </c>
      <c r="B2" s="500"/>
      <c r="C2" s="501"/>
      <c r="H2" s="128"/>
    </row>
    <row r="3" spans="1:8">
      <c r="A3" s="129" t="s">
        <v>238</v>
      </c>
      <c r="B3" s="129" t="s">
        <v>223</v>
      </c>
      <c r="C3" s="129" t="s">
        <v>239</v>
      </c>
      <c r="D3" s="130">
        <v>0</v>
      </c>
      <c r="E3" s="131" t="s">
        <v>240</v>
      </c>
    </row>
    <row r="4" spans="1:8">
      <c r="A4" s="153">
        <f>SUBTOTAL(103,B$4:B4)</f>
        <v>1</v>
      </c>
      <c r="B4" s="355" t="s">
        <v>484</v>
      </c>
      <c r="C4" s="169">
        <v>6023</v>
      </c>
      <c r="D4" s="130">
        <f>C4</f>
        <v>6023</v>
      </c>
      <c r="E4" s="132">
        <f>SUM($D$3:D4)</f>
        <v>6023</v>
      </c>
      <c r="F4" s="133">
        <f>A4</f>
        <v>1</v>
      </c>
    </row>
    <row r="5" spans="1:8">
      <c r="A5" s="153">
        <f>SUBTOTAL(103,B$4:B5)</f>
        <v>2</v>
      </c>
      <c r="B5" s="355" t="s">
        <v>227</v>
      </c>
      <c r="C5" s="169">
        <v>5935</v>
      </c>
      <c r="D5" s="130">
        <f t="shared" ref="D5:D12" si="0">C5</f>
        <v>5935</v>
      </c>
      <c r="E5" s="132">
        <f>SUM($D$3:D5)</f>
        <v>11958</v>
      </c>
      <c r="F5" s="133">
        <f t="shared" ref="F5:F48" si="1">A5</f>
        <v>2</v>
      </c>
    </row>
    <row r="6" spans="1:8">
      <c r="A6" s="153">
        <f>SUBTOTAL(103,B$4:B6)</f>
        <v>3</v>
      </c>
      <c r="B6" s="355" t="s">
        <v>485</v>
      </c>
      <c r="C6" s="169">
        <v>3616</v>
      </c>
      <c r="D6" s="130">
        <f t="shared" si="0"/>
        <v>3616</v>
      </c>
      <c r="E6" s="132">
        <f>SUM($D$3:D6)</f>
        <v>15574</v>
      </c>
      <c r="F6" s="133">
        <f t="shared" si="1"/>
        <v>3</v>
      </c>
    </row>
    <row r="7" spans="1:8">
      <c r="A7" s="153">
        <f>SUBTOTAL(103,B$4:B7)</f>
        <v>4</v>
      </c>
      <c r="B7" s="355" t="s">
        <v>486</v>
      </c>
      <c r="C7" s="169">
        <v>1540</v>
      </c>
      <c r="D7" s="130">
        <f t="shared" si="0"/>
        <v>1540</v>
      </c>
      <c r="E7" s="132">
        <f>SUM($D$3:D7)</f>
        <v>17114</v>
      </c>
      <c r="F7" s="133">
        <f t="shared" si="1"/>
        <v>4</v>
      </c>
    </row>
    <row r="8" spans="1:8">
      <c r="A8" s="153">
        <f>SUBTOTAL(103,B$4:B8)</f>
        <v>5</v>
      </c>
      <c r="B8" s="355" t="s">
        <v>487</v>
      </c>
      <c r="C8" s="169">
        <v>840</v>
      </c>
      <c r="D8" s="130">
        <f t="shared" si="0"/>
        <v>840</v>
      </c>
      <c r="E8" s="132">
        <f>SUM($D$3:D8)</f>
        <v>17954</v>
      </c>
      <c r="F8" s="133">
        <f t="shared" si="1"/>
        <v>5</v>
      </c>
    </row>
    <row r="9" spans="1:8">
      <c r="A9" s="153">
        <f>SUBTOTAL(103,B$4:B9)</f>
        <v>6</v>
      </c>
      <c r="B9" s="355" t="s">
        <v>488</v>
      </c>
      <c r="C9" s="169">
        <v>1828</v>
      </c>
      <c r="D9" s="130">
        <f t="shared" si="0"/>
        <v>1828</v>
      </c>
      <c r="E9" s="132">
        <f>SUM($D$3:D9)</f>
        <v>19782</v>
      </c>
      <c r="F9" s="133">
        <f t="shared" si="1"/>
        <v>6</v>
      </c>
    </row>
    <row r="10" spans="1:8">
      <c r="A10" s="153">
        <f>SUBTOTAL(103,B$4:B10)</f>
        <v>7</v>
      </c>
      <c r="B10" s="355" t="s">
        <v>489</v>
      </c>
      <c r="C10" s="169">
        <v>700</v>
      </c>
      <c r="D10" s="130">
        <f t="shared" si="0"/>
        <v>700</v>
      </c>
      <c r="E10" s="132">
        <f>SUM($D$3:D10)</f>
        <v>20482</v>
      </c>
      <c r="F10" s="133">
        <f t="shared" si="1"/>
        <v>7</v>
      </c>
    </row>
    <row r="11" spans="1:8">
      <c r="A11" s="153">
        <f>SUBTOTAL(103,B$4:B11)</f>
        <v>8</v>
      </c>
      <c r="B11" s="355" t="s">
        <v>490</v>
      </c>
      <c r="C11" s="169">
        <v>2000</v>
      </c>
      <c r="D11" s="130">
        <f t="shared" si="0"/>
        <v>2000</v>
      </c>
      <c r="E11" s="132">
        <f>SUM($D$3:D11)</f>
        <v>22482</v>
      </c>
      <c r="F11" s="133">
        <f t="shared" si="1"/>
        <v>8</v>
      </c>
    </row>
    <row r="12" spans="1:8" hidden="1">
      <c r="A12" s="153">
        <f>SUBTOTAL(103,B$4:B12)</f>
        <v>8</v>
      </c>
      <c r="B12" s="126"/>
      <c r="C12" s="169"/>
      <c r="D12" s="130">
        <f t="shared" si="0"/>
        <v>0</v>
      </c>
      <c r="E12" s="132">
        <f>SUM($D$3:D12)</f>
        <v>22482</v>
      </c>
      <c r="F12" s="133" t="s">
        <v>308</v>
      </c>
    </row>
    <row r="13" spans="1:8" hidden="1">
      <c r="A13" s="153">
        <f>SUBTOTAL(103,B$4:B13)</f>
        <v>8</v>
      </c>
      <c r="B13" s="126"/>
      <c r="C13" s="169"/>
      <c r="D13" s="130">
        <f t="shared" ref="D13:D48" si="2">C13</f>
        <v>0</v>
      </c>
      <c r="E13" s="132">
        <f>SUM($D$3:D13)</f>
        <v>22482</v>
      </c>
      <c r="F13" s="133">
        <f t="shared" si="1"/>
        <v>8</v>
      </c>
    </row>
    <row r="14" spans="1:8" hidden="1">
      <c r="A14" s="153">
        <f>SUBTOTAL(103,B$4:B14)</f>
        <v>8</v>
      </c>
      <c r="B14" s="126"/>
      <c r="C14" s="169"/>
      <c r="D14" s="130">
        <f t="shared" si="2"/>
        <v>0</v>
      </c>
      <c r="E14" s="132">
        <f>SUM($D$3:D14)</f>
        <v>22482</v>
      </c>
      <c r="F14" s="133">
        <f t="shared" si="1"/>
        <v>8</v>
      </c>
    </row>
    <row r="15" spans="1:8" hidden="1">
      <c r="A15" s="153">
        <f>SUBTOTAL(103,B$4:B15)</f>
        <v>8</v>
      </c>
      <c r="B15" s="170"/>
      <c r="C15" s="136"/>
      <c r="D15" s="130">
        <f t="shared" si="2"/>
        <v>0</v>
      </c>
      <c r="E15" s="132">
        <f>SUM($D$3:D15)</f>
        <v>22482</v>
      </c>
      <c r="F15" s="133">
        <f t="shared" si="1"/>
        <v>8</v>
      </c>
    </row>
    <row r="16" spans="1:8" hidden="1">
      <c r="A16" s="153">
        <f>SUBTOTAL(103,B$4:B16)</f>
        <v>8</v>
      </c>
      <c r="B16" s="126"/>
      <c r="C16" s="169"/>
      <c r="D16" s="130">
        <f t="shared" si="2"/>
        <v>0</v>
      </c>
      <c r="E16" s="132">
        <f>SUM($D$3:D16)</f>
        <v>22482</v>
      </c>
      <c r="F16" s="133">
        <f t="shared" si="1"/>
        <v>8</v>
      </c>
    </row>
    <row r="17" spans="1:6" hidden="1">
      <c r="A17" s="153">
        <f>SUBTOTAL(103,B$4:B17)</f>
        <v>8</v>
      </c>
      <c r="B17" s="170"/>
      <c r="C17" s="169"/>
      <c r="D17" s="130">
        <f t="shared" si="2"/>
        <v>0</v>
      </c>
      <c r="E17" s="132">
        <f>SUM($D$3:D17)</f>
        <v>22482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30">
        <f t="shared" si="2"/>
        <v>0</v>
      </c>
      <c r="E18" s="132">
        <f>SUM($D$3:D18)</f>
        <v>22482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32">
        <f>SUM($D$3:D19)</f>
        <v>22482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32">
        <f>SUM($D$3:D20)</f>
        <v>22482</v>
      </c>
      <c r="F20" s="133">
        <f t="shared" si="1"/>
        <v>8</v>
      </c>
    </row>
    <row r="21" spans="1:6" hidden="1">
      <c r="A21" s="153">
        <f>SUBTOTAL(103,B$4:B21)</f>
        <v>8</v>
      </c>
      <c r="B21" s="281"/>
      <c r="C21" s="169"/>
      <c r="D21" s="130">
        <f t="shared" si="2"/>
        <v>0</v>
      </c>
      <c r="E21" s="132">
        <f>SUM($D$3:D21)</f>
        <v>22482</v>
      </c>
      <c r="F21" s="133">
        <f t="shared" si="1"/>
        <v>8</v>
      </c>
    </row>
    <row r="22" spans="1:6" hidden="1">
      <c r="A22" s="153">
        <f>SUBTOTAL(103,B$4:B22)</f>
        <v>8</v>
      </c>
      <c r="B22" s="281"/>
      <c r="C22" s="169"/>
      <c r="D22" s="130">
        <f t="shared" si="2"/>
        <v>0</v>
      </c>
      <c r="E22" s="132">
        <f>SUM($D$3:D22)</f>
        <v>22482</v>
      </c>
      <c r="F22" s="133">
        <f t="shared" si="1"/>
        <v>8</v>
      </c>
    </row>
    <row r="23" spans="1:6" hidden="1">
      <c r="A23" s="153">
        <f>SUBTOTAL(103,B$4:B23)</f>
        <v>8</v>
      </c>
      <c r="B23" s="281"/>
      <c r="C23" s="169"/>
      <c r="D23" s="130">
        <f t="shared" si="2"/>
        <v>0</v>
      </c>
      <c r="E23" s="132">
        <f>SUM($D$3:D23)</f>
        <v>22482</v>
      </c>
      <c r="F23" s="133">
        <f t="shared" si="1"/>
        <v>8</v>
      </c>
    </row>
    <row r="24" spans="1:6" hidden="1">
      <c r="A24" s="153">
        <f>SUBTOTAL(103,B$4:B24)</f>
        <v>8</v>
      </c>
      <c r="B24" s="281"/>
      <c r="C24" s="169"/>
      <c r="D24" s="130">
        <f t="shared" si="2"/>
        <v>0</v>
      </c>
      <c r="E24" s="132">
        <f>SUM($D$3:D24)</f>
        <v>22482</v>
      </c>
      <c r="F24" s="133">
        <f t="shared" si="1"/>
        <v>8</v>
      </c>
    </row>
    <row r="25" spans="1:6" hidden="1">
      <c r="A25" s="153">
        <f>SUBTOTAL(103,B$4:B25)</f>
        <v>8</v>
      </c>
      <c r="B25" s="281"/>
      <c r="C25" s="169"/>
      <c r="D25" s="130">
        <f t="shared" si="2"/>
        <v>0</v>
      </c>
      <c r="E25" s="132">
        <f>SUM($D$3:D25)</f>
        <v>22482</v>
      </c>
      <c r="F25" s="133">
        <f t="shared" si="1"/>
        <v>8</v>
      </c>
    </row>
    <row r="26" spans="1:6" hidden="1">
      <c r="A26" s="153">
        <f>SUBTOTAL(103,B$4:B26)</f>
        <v>8</v>
      </c>
      <c r="B26" s="281"/>
      <c r="C26" s="169"/>
      <c r="D26" s="130">
        <f t="shared" si="2"/>
        <v>0</v>
      </c>
      <c r="E26" s="132">
        <f>SUM($D$3:D26)</f>
        <v>22482</v>
      </c>
      <c r="F26" s="133">
        <f t="shared" si="1"/>
        <v>8</v>
      </c>
    </row>
    <row r="27" spans="1:6" hidden="1">
      <c r="A27" s="153">
        <f>SUBTOTAL(103,B$4:B27)</f>
        <v>8</v>
      </c>
      <c r="B27" s="281"/>
      <c r="C27" s="169"/>
      <c r="D27" s="130">
        <f t="shared" si="2"/>
        <v>0</v>
      </c>
      <c r="E27" s="132">
        <f>SUM($D$3:D27)</f>
        <v>22482</v>
      </c>
      <c r="F27" s="133">
        <f t="shared" si="1"/>
        <v>8</v>
      </c>
    </row>
    <row r="28" spans="1:6" hidden="1">
      <c r="A28" s="153">
        <f>SUBTOTAL(103,B$4:B28)</f>
        <v>8</v>
      </c>
      <c r="B28" s="281"/>
      <c r="C28" s="169"/>
      <c r="D28" s="130">
        <f t="shared" si="2"/>
        <v>0</v>
      </c>
      <c r="E28" s="132">
        <f>SUM($D$3:D28)</f>
        <v>22482</v>
      </c>
      <c r="F28" s="133">
        <f t="shared" si="1"/>
        <v>8</v>
      </c>
    </row>
    <row r="29" spans="1:6" hidden="1">
      <c r="A29" s="153">
        <f>SUBTOTAL(103,B$4:B29)</f>
        <v>8</v>
      </c>
      <c r="B29" s="281"/>
      <c r="C29" s="169"/>
      <c r="D29" s="130">
        <f t="shared" si="2"/>
        <v>0</v>
      </c>
      <c r="E29" s="132">
        <f>SUM($D$3:D29)</f>
        <v>22482</v>
      </c>
      <c r="F29" s="133">
        <f t="shared" si="1"/>
        <v>8</v>
      </c>
    </row>
    <row r="30" spans="1:6" hidden="1">
      <c r="A30" s="153">
        <f>SUBTOTAL(103,B$4:B30)</f>
        <v>8</v>
      </c>
      <c r="B30" s="281"/>
      <c r="C30" s="169"/>
      <c r="D30" s="130">
        <f t="shared" si="2"/>
        <v>0</v>
      </c>
      <c r="E30" s="132">
        <f>SUM($D$3:D30)</f>
        <v>22482</v>
      </c>
      <c r="F30" s="133">
        <f t="shared" si="1"/>
        <v>8</v>
      </c>
    </row>
    <row r="31" spans="1:6" hidden="1">
      <c r="A31" s="153">
        <f>SUBTOTAL(103,B$4:B31)</f>
        <v>8</v>
      </c>
      <c r="B31" s="281"/>
      <c r="C31" s="169"/>
      <c r="D31" s="130">
        <f t="shared" si="2"/>
        <v>0</v>
      </c>
      <c r="E31" s="132">
        <f>SUM($D$3:D31)</f>
        <v>22482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32">
        <f>SUM($D$3:D32)</f>
        <v>22482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32">
        <f>SUM($D$3:D33)</f>
        <v>22482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32">
        <f>SUM($D$3:D34)</f>
        <v>22482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32">
        <f>SUM($D$3:D35)</f>
        <v>22482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32">
        <f>SUM($D$3:D36)</f>
        <v>22482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32">
        <f>SUM($D$3:D37)</f>
        <v>22482</v>
      </c>
      <c r="F37" s="133">
        <f t="shared" si="1"/>
        <v>8</v>
      </c>
    </row>
    <row r="38" spans="1:6" hidden="1">
      <c r="A38" s="153">
        <f>SUBTOTAL(103,B$4:B38)</f>
        <v>8</v>
      </c>
      <c r="B38" s="281"/>
      <c r="C38" s="169"/>
      <c r="D38" s="130">
        <f t="shared" si="2"/>
        <v>0</v>
      </c>
      <c r="E38" s="132">
        <f>SUM($D$3:D38)</f>
        <v>22482</v>
      </c>
      <c r="F38" s="133">
        <f t="shared" si="1"/>
        <v>8</v>
      </c>
    </row>
    <row r="39" spans="1:6" hidden="1">
      <c r="A39" s="153">
        <f>SUBTOTAL(103,B$4:B39)</f>
        <v>8</v>
      </c>
      <c r="B39" s="281"/>
      <c r="C39" s="169"/>
      <c r="D39" s="130">
        <f t="shared" si="2"/>
        <v>0</v>
      </c>
      <c r="E39" s="132">
        <f>SUM($D$3:D39)</f>
        <v>22482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32">
        <f>SUM($D$3:D40)</f>
        <v>22482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32">
        <f>SUM($D$3:D41)</f>
        <v>22482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32">
        <f>SUM($D$3:D42)</f>
        <v>22482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32">
        <f>SUM($D$3:D43)</f>
        <v>22482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32">
        <f>SUM($D$3:D44)</f>
        <v>22482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32">
        <f>SUM($D$3:D45)</f>
        <v>22482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32">
        <f>SUM($D$3:D46)</f>
        <v>22482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32">
        <f>SUM($D$3:D47)</f>
        <v>22482</v>
      </c>
      <c r="F47" s="133">
        <f t="shared" si="1"/>
        <v>8</v>
      </c>
    </row>
    <row r="48" spans="1:6" hidden="1">
      <c r="A48" s="153">
        <f>SUBTOTAL(103,B$4:B48)</f>
        <v>8</v>
      </c>
      <c r="B48" s="126"/>
      <c r="C48" s="169"/>
      <c r="D48" s="130">
        <f t="shared" si="2"/>
        <v>0</v>
      </c>
      <c r="E48" s="132">
        <f>SUM($D$3:D48)</f>
        <v>22482</v>
      </c>
      <c r="F48" s="133">
        <f t="shared" si="1"/>
        <v>8</v>
      </c>
    </row>
    <row r="49" spans="1:5">
      <c r="A49" s="134"/>
      <c r="B49" s="135" t="s">
        <v>235</v>
      </c>
      <c r="C49" s="136">
        <f>SUM(C4:C48)</f>
        <v>22482</v>
      </c>
      <c r="D49" s="137"/>
      <c r="E49" s="138"/>
    </row>
    <row r="50" spans="1:5">
      <c r="A50" s="502" t="s">
        <v>554</v>
      </c>
      <c r="B50" s="503"/>
      <c r="C50" s="504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8" sqref="F8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498" t="s">
        <v>237</v>
      </c>
      <c r="B1" s="498"/>
      <c r="C1" s="498"/>
      <c r="F1" s="127">
        <f>P!F3</f>
        <v>45954</v>
      </c>
    </row>
    <row r="2" spans="1:8" ht="31.5" customHeight="1">
      <c r="A2" s="505" t="s">
        <v>478</v>
      </c>
      <c r="B2" s="505"/>
      <c r="C2" s="505"/>
      <c r="D2" s="177"/>
      <c r="E2" s="160"/>
      <c r="F2" s="140"/>
    </row>
    <row r="3" spans="1:8" ht="19.5">
      <c r="A3" s="141" t="s">
        <v>238</v>
      </c>
      <c r="B3" s="141" t="s">
        <v>223</v>
      </c>
      <c r="C3" s="141" t="s">
        <v>239</v>
      </c>
      <c r="D3" s="178">
        <v>0</v>
      </c>
      <c r="E3" s="171"/>
      <c r="F3" s="133"/>
      <c r="G3"/>
      <c r="H3"/>
    </row>
    <row r="4" spans="1:8" ht="19.5">
      <c r="A4" s="153">
        <f>SUBTOTAL(103,B$4:B4)</f>
        <v>1</v>
      </c>
      <c r="B4" s="273" t="s">
        <v>484</v>
      </c>
      <c r="C4" s="169">
        <v>9581</v>
      </c>
      <c r="D4" s="178">
        <f>C4</f>
        <v>9581</v>
      </c>
      <c r="E4" s="169">
        <f>SUM($D$3:D4)</f>
        <v>9581</v>
      </c>
      <c r="F4" s="133">
        <f>A4</f>
        <v>1</v>
      </c>
      <c r="G4"/>
      <c r="H4"/>
    </row>
    <row r="5" spans="1:8" ht="19.5">
      <c r="A5" s="153">
        <f>SUBTOTAL(103,B$4:B5)</f>
        <v>2</v>
      </c>
      <c r="B5" s="273" t="s">
        <v>491</v>
      </c>
      <c r="C5" s="169">
        <v>7700</v>
      </c>
      <c r="D5" s="178">
        <f t="shared" ref="D5:D50" si="0">C5</f>
        <v>7700</v>
      </c>
      <c r="E5" s="169">
        <f>SUM($D$3:D5)</f>
        <v>17281</v>
      </c>
      <c r="F5" s="133">
        <f t="shared" ref="F5:F50" si="1">A5</f>
        <v>2</v>
      </c>
      <c r="G5"/>
      <c r="H5"/>
    </row>
    <row r="6" spans="1:8" ht="19.5">
      <c r="A6" s="153">
        <f>SUBTOTAL(103,B$4:B6)</f>
        <v>3</v>
      </c>
      <c r="B6" s="273" t="s">
        <v>227</v>
      </c>
      <c r="C6" s="169">
        <v>16558</v>
      </c>
      <c r="D6" s="178">
        <f t="shared" si="0"/>
        <v>16558</v>
      </c>
      <c r="E6" s="169">
        <f>SUM($D$3:D6)</f>
        <v>33839</v>
      </c>
      <c r="F6" s="133">
        <f t="shared" si="1"/>
        <v>3</v>
      </c>
      <c r="G6"/>
      <c r="H6"/>
    </row>
    <row r="7" spans="1:8" ht="19.5">
      <c r="A7" s="153">
        <f>SUBTOTAL(103,B$4:B7)</f>
        <v>4</v>
      </c>
      <c r="B7" s="273" t="s">
        <v>492</v>
      </c>
      <c r="C7" s="169">
        <v>410</v>
      </c>
      <c r="D7" s="178">
        <f t="shared" si="0"/>
        <v>410</v>
      </c>
      <c r="E7" s="169">
        <f>SUM($D$3:D7)</f>
        <v>34249</v>
      </c>
      <c r="F7" s="133">
        <f t="shared" si="1"/>
        <v>4</v>
      </c>
      <c r="G7"/>
      <c r="H7"/>
    </row>
    <row r="8" spans="1:8" ht="19.5">
      <c r="A8" s="153">
        <f>SUBTOTAL(103,B$4:B8)</f>
        <v>5</v>
      </c>
      <c r="B8" s="273" t="s">
        <v>493</v>
      </c>
      <c r="C8" s="169">
        <v>460</v>
      </c>
      <c r="D8" s="178">
        <f t="shared" si="0"/>
        <v>460</v>
      </c>
      <c r="E8" s="169">
        <f>SUM($D$3:D8)</f>
        <v>34709</v>
      </c>
      <c r="F8" s="133">
        <f t="shared" si="1"/>
        <v>5</v>
      </c>
      <c r="G8"/>
      <c r="H8"/>
    </row>
    <row r="9" spans="1:8" ht="19.5">
      <c r="A9" s="153">
        <f>SUBTOTAL(103,B$4:B9)</f>
        <v>6</v>
      </c>
      <c r="B9" s="273" t="s">
        <v>494</v>
      </c>
      <c r="C9" s="169">
        <v>1600</v>
      </c>
      <c r="D9" s="178">
        <f t="shared" si="0"/>
        <v>1600</v>
      </c>
      <c r="E9" s="169">
        <f>SUM($D$3:D9)</f>
        <v>36309</v>
      </c>
      <c r="F9" s="133">
        <f t="shared" si="1"/>
        <v>6</v>
      </c>
      <c r="G9"/>
      <c r="H9"/>
    </row>
    <row r="10" spans="1:8" ht="19.5">
      <c r="A10" s="153">
        <f>SUBTOTAL(103,B$4:B10)</f>
        <v>7</v>
      </c>
      <c r="B10" s="273" t="s">
        <v>486</v>
      </c>
      <c r="C10" s="169">
        <v>1240</v>
      </c>
      <c r="D10" s="178">
        <f t="shared" si="0"/>
        <v>1240</v>
      </c>
      <c r="E10" s="169">
        <f>SUM($D$3:D10)</f>
        <v>37549</v>
      </c>
      <c r="F10" s="133">
        <f t="shared" si="1"/>
        <v>7</v>
      </c>
      <c r="G10"/>
      <c r="H10"/>
    </row>
    <row r="11" spans="1:8" ht="19.5">
      <c r="A11" s="153">
        <f>SUBTOTAL(103,B$4:B11)</f>
        <v>8</v>
      </c>
      <c r="B11" s="255" t="s">
        <v>488</v>
      </c>
      <c r="C11" s="169">
        <v>2644</v>
      </c>
      <c r="D11" s="178">
        <f t="shared" si="0"/>
        <v>2644</v>
      </c>
      <c r="E11" s="169">
        <f>SUM($D$3:D11)</f>
        <v>40193</v>
      </c>
      <c r="F11" s="133">
        <f t="shared" si="1"/>
        <v>8</v>
      </c>
    </row>
    <row r="12" spans="1:8" ht="19.5">
      <c r="A12" s="153">
        <f>SUBTOTAL(103,B$4:B12)</f>
        <v>9</v>
      </c>
      <c r="B12" s="255" t="s">
        <v>495</v>
      </c>
      <c r="C12" s="169">
        <v>10710</v>
      </c>
      <c r="D12" s="178">
        <f t="shared" si="0"/>
        <v>10710</v>
      </c>
      <c r="E12" s="169">
        <f>SUM($D$3:D12)</f>
        <v>50903</v>
      </c>
      <c r="F12" s="133">
        <f t="shared" si="1"/>
        <v>9</v>
      </c>
    </row>
    <row r="13" spans="1:8" ht="19.5">
      <c r="A13" s="153">
        <f>SUBTOTAL(103,B$4:B13)</f>
        <v>10</v>
      </c>
      <c r="B13" s="255" t="s">
        <v>496</v>
      </c>
      <c r="C13" s="169">
        <v>8000</v>
      </c>
      <c r="D13" s="178">
        <f t="shared" si="0"/>
        <v>8000</v>
      </c>
      <c r="E13" s="169">
        <f>SUM($D$3:D13)</f>
        <v>58903</v>
      </c>
      <c r="F13" s="133">
        <f t="shared" si="1"/>
        <v>10</v>
      </c>
    </row>
    <row r="14" spans="1:8" ht="19.5">
      <c r="A14" s="153">
        <f>SUBTOTAL(103,B$4:B14)</f>
        <v>11</v>
      </c>
      <c r="B14" s="171" t="s">
        <v>497</v>
      </c>
      <c r="C14" s="169">
        <v>225</v>
      </c>
      <c r="D14" s="178">
        <f t="shared" si="0"/>
        <v>225</v>
      </c>
      <c r="E14" s="169">
        <f>SUM($D$3:D14)</f>
        <v>59128</v>
      </c>
      <c r="F14" s="133">
        <f t="shared" si="1"/>
        <v>11</v>
      </c>
    </row>
    <row r="15" spans="1:8" ht="19.5">
      <c r="A15" s="153">
        <f>SUBTOTAL(103,B$4:B15)</f>
        <v>12</v>
      </c>
      <c r="B15" s="171" t="s">
        <v>498</v>
      </c>
      <c r="C15" s="169">
        <v>1180</v>
      </c>
      <c r="D15" s="178">
        <f t="shared" si="0"/>
        <v>1180</v>
      </c>
      <c r="E15" s="169">
        <f>SUM($D$3:D15)</f>
        <v>60308</v>
      </c>
      <c r="F15" s="133">
        <f t="shared" si="1"/>
        <v>12</v>
      </c>
    </row>
    <row r="16" spans="1:8" ht="19.5">
      <c r="A16" s="153">
        <f>SUBTOTAL(103,B$4:B16)</f>
        <v>13</v>
      </c>
      <c r="B16" s="171" t="s">
        <v>490</v>
      </c>
      <c r="C16" s="169">
        <v>2100</v>
      </c>
      <c r="D16" s="178">
        <f t="shared" si="0"/>
        <v>2100</v>
      </c>
      <c r="E16" s="169">
        <f>SUM($D$3:D16)</f>
        <v>62408</v>
      </c>
      <c r="F16" s="133">
        <f t="shared" si="1"/>
        <v>13</v>
      </c>
    </row>
    <row r="17" spans="1:6" ht="18.75" hidden="1" customHeight="1">
      <c r="A17" s="153">
        <f>SUBTOTAL(103,B$4:B17)</f>
        <v>13</v>
      </c>
      <c r="B17" s="171"/>
      <c r="C17" s="169"/>
      <c r="D17" s="178">
        <f t="shared" si="0"/>
        <v>0</v>
      </c>
      <c r="E17" s="169">
        <f>SUM($D$3:D17)</f>
        <v>62408</v>
      </c>
      <c r="F17" s="133">
        <f t="shared" si="1"/>
        <v>13</v>
      </c>
    </row>
    <row r="18" spans="1:6" ht="19.5" hidden="1">
      <c r="A18" s="153">
        <f>SUBTOTAL(103,B$4:B18)</f>
        <v>13</v>
      </c>
      <c r="B18" s="169"/>
      <c r="C18" s="169"/>
      <c r="D18" s="178">
        <f t="shared" si="0"/>
        <v>0</v>
      </c>
      <c r="E18" s="169">
        <f>SUM($D$3:D18)</f>
        <v>62408</v>
      </c>
      <c r="F18" s="133">
        <f t="shared" si="1"/>
        <v>13</v>
      </c>
    </row>
    <row r="19" spans="1:6" ht="19.5" hidden="1">
      <c r="A19" s="153">
        <f>SUBTOTAL(103,B$4:B19)</f>
        <v>13</v>
      </c>
      <c r="B19" s="171"/>
      <c r="C19" s="169"/>
      <c r="D19" s="178">
        <f t="shared" si="0"/>
        <v>0</v>
      </c>
      <c r="E19" s="169">
        <f>SUM($D$3:D19)</f>
        <v>62408</v>
      </c>
      <c r="F19" s="133">
        <f t="shared" si="1"/>
        <v>13</v>
      </c>
    </row>
    <row r="20" spans="1:6" ht="19.5" hidden="1">
      <c r="A20" s="153">
        <f>SUBTOTAL(103,B$4:B20)</f>
        <v>13</v>
      </c>
      <c r="B20" s="165"/>
      <c r="C20" s="169"/>
      <c r="D20" s="178">
        <f t="shared" si="0"/>
        <v>0</v>
      </c>
      <c r="E20" s="169">
        <f>SUM($D$3:D20)</f>
        <v>62408</v>
      </c>
      <c r="F20" s="133">
        <f t="shared" si="1"/>
        <v>13</v>
      </c>
    </row>
    <row r="21" spans="1:6" ht="19.5" hidden="1">
      <c r="A21" s="153">
        <f>SUBTOTAL(103,B$4:B21)</f>
        <v>13</v>
      </c>
      <c r="B21" s="171"/>
      <c r="C21" s="169"/>
      <c r="D21" s="178">
        <f t="shared" si="0"/>
        <v>0</v>
      </c>
      <c r="E21" s="169">
        <f>SUM($D$3:D21)</f>
        <v>62408</v>
      </c>
      <c r="F21" s="133">
        <f t="shared" si="1"/>
        <v>13</v>
      </c>
    </row>
    <row r="22" spans="1:6" ht="19.5" hidden="1">
      <c r="A22" s="153">
        <f>SUBTOTAL(103,B$4:B22)</f>
        <v>13</v>
      </c>
      <c r="B22" s="171"/>
      <c r="C22" s="169"/>
      <c r="D22" s="178">
        <f t="shared" si="0"/>
        <v>0</v>
      </c>
      <c r="E22" s="169">
        <f>SUM($D$3:D22)</f>
        <v>62408</v>
      </c>
      <c r="F22" s="133">
        <f t="shared" si="1"/>
        <v>13</v>
      </c>
    </row>
    <row r="23" spans="1:6" ht="19.5" hidden="1">
      <c r="A23" s="153">
        <f>SUBTOTAL(103,B$4:B23)</f>
        <v>13</v>
      </c>
      <c r="B23" s="171"/>
      <c r="C23" s="169"/>
      <c r="D23" s="178">
        <f t="shared" si="0"/>
        <v>0</v>
      </c>
      <c r="E23" s="169">
        <f>SUM($D$3:D23)</f>
        <v>62408</v>
      </c>
      <c r="F23" s="133">
        <f t="shared" si="1"/>
        <v>13</v>
      </c>
    </row>
    <row r="24" spans="1:6" ht="19.5" hidden="1">
      <c r="A24" s="153">
        <f>SUBTOTAL(103,B$4:B24)</f>
        <v>13</v>
      </c>
      <c r="B24" s="171"/>
      <c r="C24" s="169"/>
      <c r="D24" s="178">
        <f t="shared" si="0"/>
        <v>0</v>
      </c>
      <c r="E24" s="169">
        <f>SUM($D$3:D24)</f>
        <v>62408</v>
      </c>
      <c r="F24" s="133">
        <f t="shared" si="1"/>
        <v>13</v>
      </c>
    </row>
    <row r="25" spans="1:6" ht="19.5" hidden="1">
      <c r="A25" s="153">
        <f>SUBTOTAL(103,B$4:B25)</f>
        <v>13</v>
      </c>
      <c r="B25" s="171"/>
      <c r="C25" s="169"/>
      <c r="D25" s="178">
        <f t="shared" si="0"/>
        <v>0</v>
      </c>
      <c r="E25" s="169">
        <f>SUM($D$3:D25)</f>
        <v>62408</v>
      </c>
      <c r="F25" s="133">
        <f t="shared" si="1"/>
        <v>13</v>
      </c>
    </row>
    <row r="26" spans="1:6" ht="19.5" hidden="1">
      <c r="A26" s="153">
        <f>SUBTOTAL(103,B$4:B26)</f>
        <v>13</v>
      </c>
      <c r="B26" s="171"/>
      <c r="C26" s="169"/>
      <c r="D26" s="178">
        <f t="shared" si="0"/>
        <v>0</v>
      </c>
      <c r="E26" s="169">
        <f>SUM($D$3:D26)</f>
        <v>62408</v>
      </c>
      <c r="F26" s="133">
        <f t="shared" si="1"/>
        <v>13</v>
      </c>
    </row>
    <row r="27" spans="1:6" ht="19.5" hidden="1">
      <c r="A27" s="153">
        <f>SUBTOTAL(103,B$4:B27)</f>
        <v>13</v>
      </c>
      <c r="B27" s="171"/>
      <c r="C27" s="169"/>
      <c r="D27" s="178">
        <f t="shared" si="0"/>
        <v>0</v>
      </c>
      <c r="E27" s="169">
        <f>SUM($D$3:D27)</f>
        <v>62408</v>
      </c>
      <c r="F27" s="133">
        <f t="shared" si="1"/>
        <v>13</v>
      </c>
    </row>
    <row r="28" spans="1:6" ht="19.5" hidden="1">
      <c r="A28" s="153">
        <f>SUBTOTAL(103,B$4:B28)</f>
        <v>13</v>
      </c>
      <c r="B28" s="171"/>
      <c r="C28" s="169"/>
      <c r="D28" s="178">
        <f t="shared" si="0"/>
        <v>0</v>
      </c>
      <c r="E28" s="169">
        <f>SUM($D$3:D28)</f>
        <v>62408</v>
      </c>
      <c r="F28" s="133">
        <f t="shared" si="1"/>
        <v>13</v>
      </c>
    </row>
    <row r="29" spans="1:6" ht="19.5" hidden="1">
      <c r="A29" s="153">
        <f>SUBTOTAL(103,B$4:B29)</f>
        <v>13</v>
      </c>
      <c r="B29" s="171"/>
      <c r="C29" s="169"/>
      <c r="D29" s="178">
        <f t="shared" si="0"/>
        <v>0</v>
      </c>
      <c r="E29" s="169">
        <f>SUM($D$3:D29)</f>
        <v>62408</v>
      </c>
      <c r="F29" s="133">
        <f t="shared" si="1"/>
        <v>13</v>
      </c>
    </row>
    <row r="30" spans="1:6" ht="19.5" hidden="1">
      <c r="A30" s="153">
        <f>SUBTOTAL(103,B$4:B30)</f>
        <v>13</v>
      </c>
      <c r="B30" s="171"/>
      <c r="C30" s="169"/>
      <c r="D30" s="178">
        <f t="shared" si="0"/>
        <v>0</v>
      </c>
      <c r="E30" s="169">
        <f>SUM($D$3:D30)</f>
        <v>62408</v>
      </c>
      <c r="F30" s="133">
        <f t="shared" si="1"/>
        <v>13</v>
      </c>
    </row>
    <row r="31" spans="1:6" ht="19.5" hidden="1">
      <c r="A31" s="153">
        <f>SUBTOTAL(103,B$4:B31)</f>
        <v>13</v>
      </c>
      <c r="B31" s="171"/>
      <c r="C31" s="169"/>
      <c r="D31" s="178">
        <f t="shared" si="0"/>
        <v>0</v>
      </c>
      <c r="E31" s="169">
        <f>SUM($D$3:D31)</f>
        <v>62408</v>
      </c>
      <c r="F31" s="133">
        <f t="shared" si="1"/>
        <v>13</v>
      </c>
    </row>
    <row r="32" spans="1:6" ht="19.5" hidden="1">
      <c r="A32" s="153">
        <f>SUBTOTAL(103,B$4:B32)</f>
        <v>13</v>
      </c>
      <c r="B32" s="171"/>
      <c r="C32" s="169"/>
      <c r="D32" s="178">
        <f t="shared" si="0"/>
        <v>0</v>
      </c>
      <c r="E32" s="169">
        <f>SUM($D$3:D32)</f>
        <v>62408</v>
      </c>
      <c r="F32" s="133">
        <f t="shared" si="1"/>
        <v>13</v>
      </c>
    </row>
    <row r="33" spans="1:6" ht="19.5" hidden="1">
      <c r="A33" s="153">
        <f>SUBTOTAL(103,B$4:B33)</f>
        <v>13</v>
      </c>
      <c r="B33" s="171"/>
      <c r="C33" s="169"/>
      <c r="D33" s="178">
        <f t="shared" si="0"/>
        <v>0</v>
      </c>
      <c r="E33" s="169">
        <f>SUM($D$3:D33)</f>
        <v>62408</v>
      </c>
      <c r="F33" s="133">
        <f t="shared" si="1"/>
        <v>13</v>
      </c>
    </row>
    <row r="34" spans="1:6" ht="19.5" hidden="1">
      <c r="A34" s="153">
        <f>SUBTOTAL(103,B$4:B34)</f>
        <v>13</v>
      </c>
      <c r="B34" s="171"/>
      <c r="C34" s="169"/>
      <c r="D34" s="178">
        <f t="shared" si="0"/>
        <v>0</v>
      </c>
      <c r="E34" s="169">
        <f>SUM($D$3:D34)</f>
        <v>62408</v>
      </c>
      <c r="F34" s="133">
        <f t="shared" si="1"/>
        <v>13</v>
      </c>
    </row>
    <row r="35" spans="1:6" ht="19.5" hidden="1">
      <c r="A35" s="153">
        <f>SUBTOTAL(103,B$4:B35)</f>
        <v>13</v>
      </c>
      <c r="B35" s="171"/>
      <c r="C35" s="169"/>
      <c r="D35" s="178">
        <f t="shared" si="0"/>
        <v>0</v>
      </c>
      <c r="E35" s="169">
        <f>SUM($D$3:D35)</f>
        <v>62408</v>
      </c>
      <c r="F35" s="133">
        <f t="shared" si="1"/>
        <v>13</v>
      </c>
    </row>
    <row r="36" spans="1:6" ht="19.5" hidden="1">
      <c r="A36" s="153">
        <f>SUBTOTAL(103,B$4:B36)</f>
        <v>13</v>
      </c>
      <c r="B36" s="171"/>
      <c r="C36" s="169"/>
      <c r="D36" s="178">
        <f t="shared" si="0"/>
        <v>0</v>
      </c>
      <c r="E36" s="169">
        <f>SUM($D$3:D36)</f>
        <v>62408</v>
      </c>
      <c r="F36" s="133">
        <f t="shared" si="1"/>
        <v>13</v>
      </c>
    </row>
    <row r="37" spans="1:6" ht="19.5" hidden="1">
      <c r="A37" s="153">
        <f>SUBTOTAL(103,B$4:B37)</f>
        <v>13</v>
      </c>
      <c r="B37" s="171"/>
      <c r="C37" s="169"/>
      <c r="D37" s="178">
        <f t="shared" si="0"/>
        <v>0</v>
      </c>
      <c r="E37" s="169">
        <f>SUM($D$3:D37)</f>
        <v>62408</v>
      </c>
      <c r="F37" s="133">
        <f t="shared" si="1"/>
        <v>13</v>
      </c>
    </row>
    <row r="38" spans="1:6" ht="19.5" hidden="1">
      <c r="A38" s="153">
        <f>SUBTOTAL(103,B$4:B38)</f>
        <v>13</v>
      </c>
      <c r="B38" s="171"/>
      <c r="C38" s="169"/>
      <c r="D38" s="178">
        <f t="shared" si="0"/>
        <v>0</v>
      </c>
      <c r="E38" s="169">
        <f>SUM($D$3:D38)</f>
        <v>62408</v>
      </c>
      <c r="F38" s="133">
        <f t="shared" si="1"/>
        <v>13</v>
      </c>
    </row>
    <row r="39" spans="1:6" ht="19.5" hidden="1">
      <c r="A39" s="153">
        <f>SUBTOTAL(103,B$4:B39)</f>
        <v>13</v>
      </c>
      <c r="B39" s="171"/>
      <c r="C39" s="169"/>
      <c r="D39" s="178">
        <f t="shared" si="0"/>
        <v>0</v>
      </c>
      <c r="E39" s="169">
        <f>SUM($D$3:D39)</f>
        <v>62408</v>
      </c>
      <c r="F39" s="133">
        <f t="shared" si="1"/>
        <v>13</v>
      </c>
    </row>
    <row r="40" spans="1:6" ht="19.5" hidden="1">
      <c r="A40" s="153">
        <f>SUBTOTAL(103,B$4:B40)</f>
        <v>13</v>
      </c>
      <c r="B40" s="171"/>
      <c r="C40" s="169"/>
      <c r="D40" s="178">
        <f t="shared" si="0"/>
        <v>0</v>
      </c>
      <c r="E40" s="169">
        <f>SUM($D$3:D40)</f>
        <v>62408</v>
      </c>
      <c r="F40" s="133">
        <f t="shared" si="1"/>
        <v>13</v>
      </c>
    </row>
    <row r="41" spans="1:6" ht="19.5" hidden="1">
      <c r="A41" s="153">
        <f>SUBTOTAL(103,B$4:B41)</f>
        <v>13</v>
      </c>
      <c r="B41" s="171"/>
      <c r="C41" s="169"/>
      <c r="D41" s="178">
        <f t="shared" si="0"/>
        <v>0</v>
      </c>
      <c r="E41" s="169">
        <f>SUM($D$3:D41)</f>
        <v>62408</v>
      </c>
      <c r="F41" s="133">
        <f t="shared" si="1"/>
        <v>13</v>
      </c>
    </row>
    <row r="42" spans="1:6" ht="19.5" hidden="1">
      <c r="A42" s="153">
        <f>SUBTOTAL(103,B$4:B42)</f>
        <v>13</v>
      </c>
      <c r="B42" s="171"/>
      <c r="C42" s="169"/>
      <c r="D42" s="178">
        <f t="shared" si="0"/>
        <v>0</v>
      </c>
      <c r="E42" s="169">
        <f>SUM($D$3:D42)</f>
        <v>62408</v>
      </c>
      <c r="F42" s="133">
        <f t="shared" si="1"/>
        <v>13</v>
      </c>
    </row>
    <row r="43" spans="1:6" ht="19.5" hidden="1">
      <c r="A43" s="153">
        <f>SUBTOTAL(103,B$4:B43)</f>
        <v>13</v>
      </c>
      <c r="B43" s="171"/>
      <c r="C43" s="169"/>
      <c r="D43" s="178">
        <f t="shared" si="0"/>
        <v>0</v>
      </c>
      <c r="E43" s="169">
        <f>SUM($D$3:D43)</f>
        <v>62408</v>
      </c>
      <c r="F43" s="133">
        <f t="shared" si="1"/>
        <v>13</v>
      </c>
    </row>
    <row r="44" spans="1:6" ht="19.5" hidden="1">
      <c r="A44" s="153">
        <f>SUBTOTAL(103,B$4:B44)</f>
        <v>13</v>
      </c>
      <c r="B44" s="171"/>
      <c r="C44" s="169"/>
      <c r="D44" s="178">
        <f t="shared" si="0"/>
        <v>0</v>
      </c>
      <c r="E44" s="169">
        <f>SUM($D$3:D44)</f>
        <v>62408</v>
      </c>
      <c r="F44" s="133">
        <f t="shared" si="1"/>
        <v>13</v>
      </c>
    </row>
    <row r="45" spans="1:6" ht="19.5" hidden="1">
      <c r="A45" s="153">
        <f>SUBTOTAL(103,B$4:B45)</f>
        <v>13</v>
      </c>
      <c r="B45" s="171"/>
      <c r="C45" s="169"/>
      <c r="D45" s="178">
        <f t="shared" si="0"/>
        <v>0</v>
      </c>
      <c r="E45" s="169">
        <f>SUM($D$3:D45)</f>
        <v>62408</v>
      </c>
      <c r="F45" s="133">
        <f t="shared" si="1"/>
        <v>13</v>
      </c>
    </row>
    <row r="46" spans="1:6" ht="19.5" hidden="1">
      <c r="A46" s="153">
        <f>SUBTOTAL(103,B$4:B46)</f>
        <v>13</v>
      </c>
      <c r="B46" s="171"/>
      <c r="C46" s="169"/>
      <c r="D46" s="178">
        <f t="shared" si="0"/>
        <v>0</v>
      </c>
      <c r="E46" s="169">
        <f>SUM($D$3:D46)</f>
        <v>62408</v>
      </c>
      <c r="F46" s="133">
        <f t="shared" si="1"/>
        <v>13</v>
      </c>
    </row>
    <row r="47" spans="1:6" ht="19.5" hidden="1">
      <c r="A47" s="153">
        <f>SUBTOTAL(103,B$4:B47)</f>
        <v>13</v>
      </c>
      <c r="B47" s="171"/>
      <c r="C47" s="169"/>
      <c r="D47" s="178">
        <f t="shared" si="0"/>
        <v>0</v>
      </c>
      <c r="E47" s="169">
        <f>SUM($D$3:D47)</f>
        <v>62408</v>
      </c>
      <c r="F47" s="133">
        <f t="shared" si="1"/>
        <v>13</v>
      </c>
    </row>
    <row r="48" spans="1:6" ht="19.5" hidden="1">
      <c r="A48" s="153">
        <f>SUBTOTAL(103,B$4:B48)</f>
        <v>13</v>
      </c>
      <c r="B48" s="171"/>
      <c r="C48" s="169"/>
      <c r="D48" s="178">
        <f t="shared" si="0"/>
        <v>0</v>
      </c>
      <c r="E48" s="169">
        <f>SUM($D$3:D48)</f>
        <v>62408</v>
      </c>
      <c r="F48" s="133">
        <f t="shared" si="1"/>
        <v>13</v>
      </c>
    </row>
    <row r="49" spans="1:6" ht="19.5" hidden="1">
      <c r="A49" s="153">
        <f>SUBTOTAL(103,B$4:B49)</f>
        <v>13</v>
      </c>
      <c r="B49" s="171"/>
      <c r="C49" s="169"/>
      <c r="D49" s="178">
        <f t="shared" si="0"/>
        <v>0</v>
      </c>
      <c r="E49" s="169">
        <f>SUM($D$3:D49)</f>
        <v>62408</v>
      </c>
      <c r="F49" s="133">
        <f t="shared" si="1"/>
        <v>13</v>
      </c>
    </row>
    <row r="50" spans="1:6" ht="19.5" hidden="1">
      <c r="A50" s="153">
        <f>SUBTOTAL(103,B$4:B50)</f>
        <v>13</v>
      </c>
      <c r="B50" s="171"/>
      <c r="C50" s="169"/>
      <c r="D50" s="178">
        <f t="shared" si="0"/>
        <v>0</v>
      </c>
      <c r="E50" s="169">
        <f>SUM($D$3:D50)</f>
        <v>62408</v>
      </c>
      <c r="F50" s="133">
        <f t="shared" si="1"/>
        <v>13</v>
      </c>
    </row>
    <row r="51" spans="1:6" ht="19.5">
      <c r="A51" s="144"/>
      <c r="B51" s="135" t="s">
        <v>235</v>
      </c>
      <c r="C51" s="136">
        <f>SUM(C4:C50)</f>
        <v>62408</v>
      </c>
      <c r="D51" s="179"/>
      <c r="E51" s="175"/>
    </row>
    <row r="52" spans="1:6" ht="19.5">
      <c r="A52" s="506" t="s">
        <v>555</v>
      </c>
      <c r="B52" s="506"/>
      <c r="C52" s="506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53" sqref="A53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498" t="s">
        <v>237</v>
      </c>
      <c r="B1" s="498"/>
      <c r="C1" s="498"/>
      <c r="F1" s="127">
        <f>P!H3</f>
        <v>45955</v>
      </c>
    </row>
    <row r="2" spans="1:7" ht="31.5" customHeight="1">
      <c r="A2" s="499" t="s">
        <v>479</v>
      </c>
      <c r="B2" s="500"/>
      <c r="C2" s="501"/>
      <c r="E2" s="139"/>
      <c r="F2" s="145"/>
    </row>
    <row r="3" spans="1:7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7">
      <c r="A4" s="153">
        <f>SUBTOTAL(103,B$4:B4)</f>
        <v>1</v>
      </c>
      <c r="B4" s="273" t="s">
        <v>484</v>
      </c>
      <c r="C4" s="169">
        <v>12771</v>
      </c>
      <c r="D4" s="130">
        <f>C4</f>
        <v>12771</v>
      </c>
      <c r="E4" s="143">
        <f>SUM($D$3:D4)</f>
        <v>12771</v>
      </c>
      <c r="F4" s="133">
        <f>A4</f>
        <v>1</v>
      </c>
    </row>
    <row r="5" spans="1:7">
      <c r="A5" s="153">
        <f>SUBTOTAL(103,B$4:B5)</f>
        <v>2</v>
      </c>
      <c r="B5" s="273" t="s">
        <v>227</v>
      </c>
      <c r="C5" s="169">
        <v>31977</v>
      </c>
      <c r="D5" s="130">
        <f>C5</f>
        <v>31977</v>
      </c>
      <c r="E5" s="143">
        <f>SUM($D$3:D5)</f>
        <v>44748</v>
      </c>
      <c r="F5" s="133">
        <f t="shared" ref="F5:F25" si="0">A5</f>
        <v>2</v>
      </c>
    </row>
    <row r="6" spans="1:7">
      <c r="A6" s="153">
        <f>SUBTOTAL(103,B$4:B6)</f>
        <v>3</v>
      </c>
      <c r="B6" s="273" t="s">
        <v>499</v>
      </c>
      <c r="C6" s="169">
        <v>28350</v>
      </c>
      <c r="D6" s="130">
        <f t="shared" ref="D6:D10" si="1">C6</f>
        <v>28350</v>
      </c>
      <c r="E6" s="143">
        <f>SUM($D$3:D6)</f>
        <v>73098</v>
      </c>
      <c r="F6" s="133">
        <f t="shared" si="0"/>
        <v>3</v>
      </c>
    </row>
    <row r="7" spans="1:7">
      <c r="A7" s="153">
        <f>SUBTOTAL(103,B$4:B7)</f>
        <v>4</v>
      </c>
      <c r="B7" s="273" t="s">
        <v>485</v>
      </c>
      <c r="C7" s="169">
        <v>11631</v>
      </c>
      <c r="D7" s="130">
        <f t="shared" si="1"/>
        <v>11631</v>
      </c>
      <c r="E7" s="143">
        <f>SUM($D$3:D7)</f>
        <v>84729</v>
      </c>
      <c r="F7" s="133">
        <f t="shared" si="0"/>
        <v>4</v>
      </c>
    </row>
    <row r="8" spans="1:7">
      <c r="A8" s="153">
        <f>SUBTOTAL(103,B$4:B8)</f>
        <v>5</v>
      </c>
      <c r="B8" s="273" t="s">
        <v>492</v>
      </c>
      <c r="C8" s="169">
        <v>480</v>
      </c>
      <c r="D8" s="130">
        <f t="shared" si="1"/>
        <v>480</v>
      </c>
      <c r="E8" s="143">
        <f>SUM($D$3:D8)</f>
        <v>85209</v>
      </c>
      <c r="F8" s="133">
        <f t="shared" si="0"/>
        <v>5</v>
      </c>
    </row>
    <row r="9" spans="1:7">
      <c r="A9" s="153">
        <f>SUBTOTAL(103,B$4:B9)</f>
        <v>6</v>
      </c>
      <c r="B9" s="273" t="s">
        <v>500</v>
      </c>
      <c r="C9" s="169">
        <v>2770</v>
      </c>
      <c r="D9" s="130">
        <f t="shared" si="1"/>
        <v>2770</v>
      </c>
      <c r="E9" s="143">
        <f>SUM($D$3:D9)</f>
        <v>87979</v>
      </c>
      <c r="F9" s="133">
        <f t="shared" si="0"/>
        <v>6</v>
      </c>
      <c r="G9" s="23">
        <v>180</v>
      </c>
    </row>
    <row r="10" spans="1:7">
      <c r="A10" s="153">
        <f>SUBTOTAL(103,B$4:B10)</f>
        <v>7</v>
      </c>
      <c r="B10" s="273" t="s">
        <v>501</v>
      </c>
      <c r="C10" s="169">
        <v>225</v>
      </c>
      <c r="D10" s="130">
        <f t="shared" si="1"/>
        <v>225</v>
      </c>
      <c r="E10" s="143">
        <f>SUM($D$3:D10)</f>
        <v>88204</v>
      </c>
      <c r="F10" s="133">
        <f t="shared" si="0"/>
        <v>7</v>
      </c>
      <c r="G10" s="23">
        <v>4284</v>
      </c>
    </row>
    <row r="11" spans="1:7">
      <c r="A11" s="153">
        <f>SUBTOTAL(103,B$4:B11)</f>
        <v>8</v>
      </c>
      <c r="B11" s="273" t="s">
        <v>502</v>
      </c>
      <c r="C11" s="169">
        <v>3150</v>
      </c>
      <c r="D11" s="130">
        <f t="shared" ref="D11:D50" si="2">C11</f>
        <v>3150</v>
      </c>
      <c r="E11" s="143">
        <f>SUM($D$3:D11)</f>
        <v>91354</v>
      </c>
      <c r="F11" s="133">
        <f t="shared" si="0"/>
        <v>8</v>
      </c>
      <c r="G11" s="23">
        <v>62000</v>
      </c>
    </row>
    <row r="12" spans="1:7">
      <c r="A12" s="153">
        <f>SUBTOTAL(103,B$4:B12)</f>
        <v>9</v>
      </c>
      <c r="B12" s="273" t="s">
        <v>503</v>
      </c>
      <c r="C12" s="169">
        <v>320</v>
      </c>
      <c r="D12" s="130">
        <f t="shared" si="2"/>
        <v>320</v>
      </c>
      <c r="E12" s="143">
        <f>SUM($D$3:D12)</f>
        <v>91674</v>
      </c>
      <c r="F12" s="133">
        <f t="shared" si="0"/>
        <v>9</v>
      </c>
      <c r="G12" s="23">
        <v>747</v>
      </c>
    </row>
    <row r="13" spans="1:7">
      <c r="A13" s="153">
        <f>SUBTOTAL(103,B$4:B13)</f>
        <v>10</v>
      </c>
      <c r="B13" s="170" t="s">
        <v>504</v>
      </c>
      <c r="C13" s="136">
        <v>320</v>
      </c>
      <c r="D13" s="130">
        <f t="shared" si="2"/>
        <v>320</v>
      </c>
      <c r="E13" s="143">
        <f>SUM($D$3:D13)</f>
        <v>91994</v>
      </c>
      <c r="F13" s="133">
        <f t="shared" si="0"/>
        <v>10</v>
      </c>
      <c r="G13" s="23">
        <v>0</v>
      </c>
    </row>
    <row r="14" spans="1:7">
      <c r="A14" s="153">
        <f>SUBTOTAL(103,B$4:B14)</f>
        <v>11</v>
      </c>
      <c r="B14" s="126" t="s">
        <v>505</v>
      </c>
      <c r="C14" s="169">
        <v>160</v>
      </c>
      <c r="D14" s="130">
        <f t="shared" si="2"/>
        <v>160</v>
      </c>
      <c r="E14" s="143">
        <f>SUM($D$3:D14)</f>
        <v>92154</v>
      </c>
      <c r="F14" s="133">
        <f t="shared" si="0"/>
        <v>11</v>
      </c>
    </row>
    <row r="15" spans="1:7">
      <c r="A15" s="153">
        <f>SUBTOTAL(103,B$4:B15)</f>
        <v>12</v>
      </c>
      <c r="B15" s="126" t="s">
        <v>506</v>
      </c>
      <c r="C15" s="169">
        <v>1375</v>
      </c>
      <c r="D15" s="130">
        <f t="shared" si="2"/>
        <v>1375</v>
      </c>
      <c r="E15" s="143">
        <f>SUM($D$3:D15)</f>
        <v>93529</v>
      </c>
      <c r="F15" s="133">
        <f t="shared" si="0"/>
        <v>12</v>
      </c>
    </row>
    <row r="16" spans="1:7">
      <c r="A16" s="153">
        <f>SUBTOTAL(103,B$4:B16)</f>
        <v>13</v>
      </c>
      <c r="B16" s="126" t="s">
        <v>507</v>
      </c>
      <c r="C16" s="169">
        <v>27000</v>
      </c>
      <c r="D16" s="130">
        <f t="shared" si="2"/>
        <v>27000</v>
      </c>
      <c r="E16" s="143">
        <f>SUM($D$3:D16)</f>
        <v>120529</v>
      </c>
      <c r="F16" s="133">
        <f t="shared" si="0"/>
        <v>13</v>
      </c>
    </row>
    <row r="17" spans="1:6">
      <c r="A17" s="153">
        <f>SUBTOTAL(103,B$4:B17)</f>
        <v>14</v>
      </c>
      <c r="B17" s="126" t="s">
        <v>498</v>
      </c>
      <c r="C17" s="169">
        <v>1580</v>
      </c>
      <c r="D17" s="130">
        <f t="shared" si="2"/>
        <v>1580</v>
      </c>
      <c r="E17" s="143">
        <f>SUM($D$3:D17)</f>
        <v>122109</v>
      </c>
      <c r="F17" s="133">
        <f t="shared" si="0"/>
        <v>14</v>
      </c>
    </row>
    <row r="18" spans="1:6">
      <c r="A18" s="153">
        <f>SUBTOTAL(103,B$4:B18)</f>
        <v>15</v>
      </c>
      <c r="B18" s="170" t="s">
        <v>228</v>
      </c>
      <c r="C18" s="136">
        <v>2500</v>
      </c>
      <c r="D18" s="130">
        <f t="shared" si="2"/>
        <v>2500</v>
      </c>
      <c r="E18" s="143">
        <f>SUM($D$3:D18)</f>
        <v>124609</v>
      </c>
      <c r="F18" s="133">
        <f t="shared" si="0"/>
        <v>15</v>
      </c>
    </row>
    <row r="19" spans="1:6">
      <c r="A19" s="153">
        <f>SUBTOTAL(103,B$4:B19)</f>
        <v>16</v>
      </c>
      <c r="B19" s="126" t="s">
        <v>490</v>
      </c>
      <c r="C19" s="169">
        <v>5300</v>
      </c>
      <c r="D19" s="130">
        <f t="shared" si="2"/>
        <v>5300</v>
      </c>
      <c r="E19" s="143">
        <f>SUM($D$3:D19)</f>
        <v>129909</v>
      </c>
      <c r="F19" s="133">
        <f t="shared" si="0"/>
        <v>16</v>
      </c>
    </row>
    <row r="20" spans="1:6" hidden="1">
      <c r="A20" s="153">
        <f>SUBTOTAL(103,B$4:B20)</f>
        <v>16</v>
      </c>
      <c r="B20" s="126"/>
      <c r="C20" s="169"/>
      <c r="D20" s="130">
        <f t="shared" si="2"/>
        <v>0</v>
      </c>
      <c r="E20" s="143">
        <f>SUM($D$3:D20)</f>
        <v>129909</v>
      </c>
      <c r="F20" s="133">
        <f t="shared" si="0"/>
        <v>16</v>
      </c>
    </row>
    <row r="21" spans="1:6" hidden="1">
      <c r="A21" s="153">
        <f>SUBTOTAL(103,B$4:B21)</f>
        <v>16</v>
      </c>
      <c r="B21" s="126"/>
      <c r="C21" s="169"/>
      <c r="D21" s="130">
        <f t="shared" si="2"/>
        <v>0</v>
      </c>
      <c r="E21" s="143">
        <f>SUM($D$3:D21)</f>
        <v>129909</v>
      </c>
      <c r="F21" s="133">
        <f t="shared" si="0"/>
        <v>16</v>
      </c>
    </row>
    <row r="22" spans="1:6" hidden="1">
      <c r="A22" s="153">
        <f>SUBTOTAL(103,B$4:B22)</f>
        <v>16</v>
      </c>
      <c r="B22" s="126"/>
      <c r="C22" s="169"/>
      <c r="D22" s="130">
        <f t="shared" si="2"/>
        <v>0</v>
      </c>
      <c r="E22" s="143">
        <f>SUM($D$3:D22)</f>
        <v>129909</v>
      </c>
      <c r="F22" s="133">
        <f t="shared" si="0"/>
        <v>16</v>
      </c>
    </row>
    <row r="23" spans="1:6" hidden="1">
      <c r="A23" s="153">
        <f>SUBTOTAL(103,B$4:B23)</f>
        <v>16</v>
      </c>
      <c r="B23" s="126"/>
      <c r="C23" s="169"/>
      <c r="D23" s="130">
        <f t="shared" si="2"/>
        <v>0</v>
      </c>
      <c r="E23" s="143">
        <f>SUM($D$3:D23)</f>
        <v>129909</v>
      </c>
      <c r="F23" s="133">
        <f t="shared" si="0"/>
        <v>16</v>
      </c>
    </row>
    <row r="24" spans="1:6" hidden="1">
      <c r="A24" s="153">
        <f>SUBTOTAL(103,B$4:B24)</f>
        <v>16</v>
      </c>
      <c r="B24" s="126"/>
      <c r="C24" s="169"/>
      <c r="D24" s="130">
        <f t="shared" si="2"/>
        <v>0</v>
      </c>
      <c r="E24" s="143">
        <f>SUM($D$3:D24)</f>
        <v>129909</v>
      </c>
      <c r="F24" s="133">
        <f t="shared" si="0"/>
        <v>16</v>
      </c>
    </row>
    <row r="25" spans="1:6" hidden="1">
      <c r="A25" s="153">
        <f>SUBTOTAL(103,B$4:B25)</f>
        <v>16</v>
      </c>
      <c r="B25" s="126"/>
      <c r="C25" s="169"/>
      <c r="D25" s="130">
        <f t="shared" si="2"/>
        <v>0</v>
      </c>
      <c r="E25" s="143">
        <f>SUM($D$3:D25)</f>
        <v>129909</v>
      </c>
      <c r="F25" s="133">
        <f t="shared" si="0"/>
        <v>16</v>
      </c>
    </row>
    <row r="26" spans="1:6" hidden="1">
      <c r="A26" s="153">
        <f>SUBTOTAL(103,B$4:B26)</f>
        <v>16</v>
      </c>
      <c r="B26" s="356"/>
      <c r="C26" s="169"/>
      <c r="D26" s="130">
        <f t="shared" si="2"/>
        <v>0</v>
      </c>
      <c r="E26" s="143">
        <f>SUM($D$3:D26)</f>
        <v>129909</v>
      </c>
      <c r="F26" s="133">
        <f>A26</f>
        <v>16</v>
      </c>
    </row>
    <row r="27" spans="1:6" hidden="1">
      <c r="A27" s="153">
        <f>SUBTOTAL(103,B$4:B27)</f>
        <v>16</v>
      </c>
      <c r="B27" s="363"/>
      <c r="C27" s="169"/>
      <c r="D27" s="130">
        <f t="shared" si="2"/>
        <v>0</v>
      </c>
      <c r="E27" s="143">
        <f>SUM($D$3:D27)</f>
        <v>129909</v>
      </c>
      <c r="F27" s="133">
        <f>A27</f>
        <v>16</v>
      </c>
    </row>
    <row r="28" spans="1:6" hidden="1">
      <c r="A28" s="153">
        <f>SUBTOTAL(103,B$4:B28)</f>
        <v>16</v>
      </c>
      <c r="B28" s="364"/>
      <c r="C28" s="169"/>
      <c r="D28" s="130">
        <f t="shared" si="2"/>
        <v>0</v>
      </c>
      <c r="E28" s="143">
        <f>SUM($D$3:D28)</f>
        <v>129909</v>
      </c>
      <c r="F28" s="133">
        <f t="shared" ref="F28:F49" si="3">A28</f>
        <v>16</v>
      </c>
    </row>
    <row r="29" spans="1:6" hidden="1">
      <c r="A29" s="153">
        <f>SUBTOTAL(103,B$4:B29)</f>
        <v>16</v>
      </c>
      <c r="B29" s="364"/>
      <c r="C29" s="169"/>
      <c r="D29" s="130">
        <f t="shared" si="2"/>
        <v>0</v>
      </c>
      <c r="E29" s="143">
        <f>SUM($D$3:D29)</f>
        <v>129909</v>
      </c>
      <c r="F29" s="133">
        <f t="shared" si="3"/>
        <v>16</v>
      </c>
    </row>
    <row r="30" spans="1:6" hidden="1">
      <c r="A30" s="153">
        <f>SUBTOTAL(103,B$4:B30)</f>
        <v>16</v>
      </c>
      <c r="B30" s="364"/>
      <c r="C30" s="169"/>
      <c r="D30" s="130">
        <f t="shared" si="2"/>
        <v>0</v>
      </c>
      <c r="E30" s="143">
        <f>SUM($D$3:D30)</f>
        <v>129909</v>
      </c>
      <c r="F30" s="133">
        <f t="shared" si="3"/>
        <v>16</v>
      </c>
    </row>
    <row r="31" spans="1:6" hidden="1">
      <c r="A31" s="153">
        <f>SUBTOTAL(103,B$4:B31)</f>
        <v>16</v>
      </c>
      <c r="B31" s="364"/>
      <c r="C31" s="169"/>
      <c r="D31" s="130">
        <f t="shared" si="2"/>
        <v>0</v>
      </c>
      <c r="E31" s="143">
        <f>SUM($D$3:D31)</f>
        <v>129909</v>
      </c>
      <c r="F31" s="133">
        <f t="shared" si="3"/>
        <v>16</v>
      </c>
    </row>
    <row r="32" spans="1:6" hidden="1">
      <c r="A32" s="153">
        <f>SUBTOTAL(103,B$4:B32)</f>
        <v>16</v>
      </c>
      <c r="B32" s="364"/>
      <c r="C32" s="169"/>
      <c r="D32" s="130">
        <f t="shared" si="2"/>
        <v>0</v>
      </c>
      <c r="E32" s="143">
        <f>SUM($D$3:D32)</f>
        <v>129909</v>
      </c>
      <c r="F32" s="133">
        <f t="shared" si="3"/>
        <v>16</v>
      </c>
    </row>
    <row r="33" spans="1:6" hidden="1">
      <c r="A33" s="153">
        <f>SUBTOTAL(103,B$4:B33)</f>
        <v>16</v>
      </c>
      <c r="B33" s="364"/>
      <c r="C33" s="169"/>
      <c r="D33" s="130">
        <f t="shared" si="2"/>
        <v>0</v>
      </c>
      <c r="E33" s="143">
        <f>SUM($D$3:D33)</f>
        <v>129909</v>
      </c>
      <c r="F33" s="133">
        <f t="shared" si="3"/>
        <v>16</v>
      </c>
    </row>
    <row r="34" spans="1:6" hidden="1">
      <c r="A34" s="153">
        <f>SUBTOTAL(103,B$4:B34)</f>
        <v>16</v>
      </c>
      <c r="B34" s="364"/>
      <c r="C34" s="169"/>
      <c r="D34" s="130">
        <f t="shared" si="2"/>
        <v>0</v>
      </c>
      <c r="E34" s="143">
        <f>SUM($D$3:D34)</f>
        <v>129909</v>
      </c>
      <c r="F34" s="133">
        <f t="shared" si="3"/>
        <v>16</v>
      </c>
    </row>
    <row r="35" spans="1:6" hidden="1">
      <c r="A35" s="153">
        <f>SUBTOTAL(103,B$4:B35)</f>
        <v>16</v>
      </c>
      <c r="B35" s="364"/>
      <c r="C35" s="169"/>
      <c r="D35" s="130">
        <f t="shared" si="2"/>
        <v>0</v>
      </c>
      <c r="E35" s="143">
        <f>SUM($D$3:D35)</f>
        <v>129909</v>
      </c>
      <c r="F35" s="133">
        <f t="shared" si="3"/>
        <v>16</v>
      </c>
    </row>
    <row r="36" spans="1:6" hidden="1">
      <c r="A36" s="153">
        <f>SUBTOTAL(103,B$4:B36)</f>
        <v>16</v>
      </c>
      <c r="B36" s="364"/>
      <c r="C36" s="169"/>
      <c r="D36" s="130">
        <f t="shared" si="2"/>
        <v>0</v>
      </c>
      <c r="E36" s="143">
        <f>SUM($D$3:D36)</f>
        <v>129909</v>
      </c>
      <c r="F36" s="133">
        <f t="shared" si="3"/>
        <v>16</v>
      </c>
    </row>
    <row r="37" spans="1:6" hidden="1">
      <c r="A37" s="153">
        <f>SUBTOTAL(103,B$4:B37)</f>
        <v>16</v>
      </c>
      <c r="B37" s="364"/>
      <c r="C37" s="169"/>
      <c r="D37" s="130">
        <f t="shared" si="2"/>
        <v>0</v>
      </c>
      <c r="E37" s="143">
        <f>SUM($D$3:D37)</f>
        <v>129909</v>
      </c>
      <c r="F37" s="133">
        <f t="shared" si="3"/>
        <v>16</v>
      </c>
    </row>
    <row r="38" spans="1:6" hidden="1">
      <c r="A38" s="153">
        <f>SUBTOTAL(103,B$4:B38)</f>
        <v>16</v>
      </c>
      <c r="B38" s="364"/>
      <c r="C38" s="169"/>
      <c r="D38" s="130">
        <f t="shared" si="2"/>
        <v>0</v>
      </c>
      <c r="E38" s="143">
        <f>SUM($D$3:D38)</f>
        <v>129909</v>
      </c>
      <c r="F38" s="133">
        <f t="shared" si="3"/>
        <v>16</v>
      </c>
    </row>
    <row r="39" spans="1:6" hidden="1">
      <c r="A39" s="153">
        <f>SUBTOTAL(103,B$4:B39)</f>
        <v>16</v>
      </c>
      <c r="B39" s="364"/>
      <c r="C39" s="169"/>
      <c r="D39" s="130">
        <f t="shared" si="2"/>
        <v>0</v>
      </c>
      <c r="E39" s="143">
        <f>SUM($D$3:D39)</f>
        <v>129909</v>
      </c>
      <c r="F39" s="133">
        <f t="shared" si="3"/>
        <v>16</v>
      </c>
    </row>
    <row r="40" spans="1:6" hidden="1">
      <c r="A40" s="153">
        <f>SUBTOTAL(103,B$4:B40)</f>
        <v>16</v>
      </c>
      <c r="B40" s="364"/>
      <c r="C40" s="169"/>
      <c r="D40" s="130">
        <f t="shared" si="2"/>
        <v>0</v>
      </c>
      <c r="E40" s="143">
        <f>SUM($D$3:D40)</f>
        <v>129909</v>
      </c>
      <c r="F40" s="133">
        <f t="shared" si="3"/>
        <v>16</v>
      </c>
    </row>
    <row r="41" spans="1:6" hidden="1">
      <c r="A41" s="153">
        <f>SUBTOTAL(103,B$4:B41)</f>
        <v>16</v>
      </c>
      <c r="B41" s="364"/>
      <c r="C41" s="169"/>
      <c r="D41" s="130">
        <f t="shared" si="2"/>
        <v>0</v>
      </c>
      <c r="E41" s="143">
        <f>SUM($D$3:D41)</f>
        <v>129909</v>
      </c>
      <c r="F41" s="133">
        <f t="shared" si="3"/>
        <v>16</v>
      </c>
    </row>
    <row r="42" spans="1:6" hidden="1">
      <c r="A42" s="153">
        <f>SUBTOTAL(103,B$4:B42)</f>
        <v>16</v>
      </c>
      <c r="B42" s="364"/>
      <c r="C42" s="169"/>
      <c r="D42" s="130">
        <f t="shared" si="2"/>
        <v>0</v>
      </c>
      <c r="E42" s="143">
        <f>SUM($D$3:D42)</f>
        <v>129909</v>
      </c>
      <c r="F42" s="133">
        <f t="shared" si="3"/>
        <v>16</v>
      </c>
    </row>
    <row r="43" spans="1:6" hidden="1">
      <c r="A43" s="153">
        <f>SUBTOTAL(103,B$4:B43)</f>
        <v>16</v>
      </c>
      <c r="B43" s="364"/>
      <c r="C43" s="169"/>
      <c r="D43" s="130">
        <f t="shared" si="2"/>
        <v>0</v>
      </c>
      <c r="E43" s="143">
        <f>SUM($D$3:D43)</f>
        <v>129909</v>
      </c>
      <c r="F43" s="133">
        <f t="shared" si="3"/>
        <v>16</v>
      </c>
    </row>
    <row r="44" spans="1:6" hidden="1">
      <c r="A44" s="153">
        <f>SUBTOTAL(103,B$4:B44)</f>
        <v>16</v>
      </c>
      <c r="B44" s="364"/>
      <c r="C44" s="169"/>
      <c r="D44" s="130">
        <f t="shared" si="2"/>
        <v>0</v>
      </c>
      <c r="E44" s="143">
        <f>SUM($D$3:D44)</f>
        <v>129909</v>
      </c>
      <c r="F44" s="133">
        <f t="shared" si="3"/>
        <v>16</v>
      </c>
    </row>
    <row r="45" spans="1:6" hidden="1">
      <c r="A45" s="153">
        <f>SUBTOTAL(103,B$4:B45)</f>
        <v>16</v>
      </c>
      <c r="B45" s="364"/>
      <c r="C45" s="169"/>
      <c r="D45" s="130">
        <f t="shared" si="2"/>
        <v>0</v>
      </c>
      <c r="E45" s="143">
        <f>SUM($D$3:D45)</f>
        <v>129909</v>
      </c>
      <c r="F45" s="133">
        <f t="shared" si="3"/>
        <v>16</v>
      </c>
    </row>
    <row r="46" spans="1:6" hidden="1">
      <c r="A46" s="153">
        <f>SUBTOTAL(103,B$4:B46)</f>
        <v>16</v>
      </c>
      <c r="B46" s="364"/>
      <c r="C46" s="169"/>
      <c r="D46" s="130">
        <f t="shared" si="2"/>
        <v>0</v>
      </c>
      <c r="E46" s="143">
        <f>SUM($D$3:D46)</f>
        <v>129909</v>
      </c>
      <c r="F46" s="133">
        <f t="shared" si="3"/>
        <v>16</v>
      </c>
    </row>
    <row r="47" spans="1:6" hidden="1">
      <c r="A47" s="153">
        <f>SUBTOTAL(103,B$4:B47)</f>
        <v>16</v>
      </c>
      <c r="B47" s="364"/>
      <c r="C47" s="169"/>
      <c r="D47" s="130">
        <f t="shared" si="2"/>
        <v>0</v>
      </c>
      <c r="E47" s="143">
        <f>SUM($D$3:D47)</f>
        <v>129909</v>
      </c>
      <c r="F47" s="133">
        <f t="shared" si="3"/>
        <v>16</v>
      </c>
    </row>
    <row r="48" spans="1:6" hidden="1">
      <c r="A48" s="153">
        <f>SUBTOTAL(103,B$4:B48)</f>
        <v>16</v>
      </c>
      <c r="B48" s="364"/>
      <c r="C48" s="169"/>
      <c r="D48" s="130">
        <f t="shared" si="2"/>
        <v>0</v>
      </c>
      <c r="E48" s="143">
        <f>SUM($D$3:D48)</f>
        <v>129909</v>
      </c>
      <c r="F48" s="133">
        <f t="shared" si="3"/>
        <v>16</v>
      </c>
    </row>
    <row r="49" spans="1:6" hidden="1">
      <c r="A49" s="153">
        <f>SUBTOTAL(103,B$4:B49)</f>
        <v>16</v>
      </c>
      <c r="B49" s="364"/>
      <c r="C49" s="169"/>
      <c r="D49" s="130">
        <f t="shared" si="2"/>
        <v>0</v>
      </c>
      <c r="E49" s="143">
        <f>SUM($D$3:D49)</f>
        <v>129909</v>
      </c>
      <c r="F49" s="133">
        <f t="shared" si="3"/>
        <v>16</v>
      </c>
    </row>
    <row r="50" spans="1:6" hidden="1">
      <c r="A50" s="153">
        <f>SUBTOTAL(103,B$4:B50)</f>
        <v>16</v>
      </c>
      <c r="B50" s="126"/>
      <c r="C50" s="169"/>
      <c r="D50" s="130">
        <f t="shared" si="2"/>
        <v>0</v>
      </c>
      <c r="E50" s="143">
        <f>SUM($D$3:D50)</f>
        <v>129909</v>
      </c>
      <c r="F50" s="133">
        <f>A50</f>
        <v>16</v>
      </c>
    </row>
    <row r="51" spans="1:6">
      <c r="A51" s="144"/>
      <c r="B51" s="135" t="s">
        <v>235</v>
      </c>
      <c r="C51" s="136">
        <f>SUM(C4:C50)</f>
        <v>129909</v>
      </c>
    </row>
    <row r="52" spans="1:6">
      <c r="A52" s="502" t="s">
        <v>556</v>
      </c>
      <c r="B52" s="503"/>
      <c r="C52" s="504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8" sqref="B8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3" t="s">
        <v>237</v>
      </c>
      <c r="B1" s="433"/>
      <c r="C1" s="433"/>
      <c r="F1" s="127">
        <f>P!J3</f>
        <v>45956</v>
      </c>
    </row>
    <row r="2" spans="1:6" ht="33" customHeight="1">
      <c r="A2" s="505" t="s">
        <v>480</v>
      </c>
      <c r="B2" s="505"/>
      <c r="C2" s="505"/>
      <c r="E2" s="24"/>
      <c r="F2" s="140"/>
    </row>
    <row r="3" spans="1:6">
      <c r="A3" s="147" t="s">
        <v>238</v>
      </c>
      <c r="B3" s="147" t="s">
        <v>223</v>
      </c>
      <c r="C3" s="147" t="s">
        <v>239</v>
      </c>
      <c r="D3" s="130">
        <v>0</v>
      </c>
      <c r="E3" s="148"/>
      <c r="F3" s="149"/>
    </row>
    <row r="4" spans="1:6" ht="19.5">
      <c r="A4" s="153">
        <f>SUBTOTAL(103,B$4:B4)</f>
        <v>1</v>
      </c>
      <c r="B4" s="126" t="s">
        <v>484</v>
      </c>
      <c r="C4" s="169">
        <v>6116</v>
      </c>
      <c r="D4" s="130">
        <f>C4</f>
        <v>6116</v>
      </c>
      <c r="E4" s="150">
        <f>SUM($D$3:D4)</f>
        <v>6116</v>
      </c>
      <c r="F4" s="151">
        <f>A4</f>
        <v>1</v>
      </c>
    </row>
    <row r="5" spans="1:6" ht="19.5">
      <c r="A5" s="153">
        <f>SUBTOTAL(103,B$4:B5)</f>
        <v>2</v>
      </c>
      <c r="B5" s="126" t="s">
        <v>227</v>
      </c>
      <c r="C5" s="169">
        <v>4154</v>
      </c>
      <c r="D5" s="130">
        <f t="shared" ref="D5:D50" si="0">C5</f>
        <v>4154</v>
      </c>
      <c r="E5" s="150">
        <f>SUM($D$3:D5)</f>
        <v>10270</v>
      </c>
      <c r="F5" s="151">
        <f t="shared" ref="F5:F49" si="1">A5</f>
        <v>2</v>
      </c>
    </row>
    <row r="6" spans="1:6" ht="19.5">
      <c r="A6" s="153">
        <f>SUBTOTAL(103,B$4:B6)</f>
        <v>3</v>
      </c>
      <c r="B6" s="126" t="s">
        <v>485</v>
      </c>
      <c r="C6" s="169">
        <v>3220</v>
      </c>
      <c r="D6" s="130">
        <f t="shared" si="0"/>
        <v>3220</v>
      </c>
      <c r="E6" s="150">
        <f>SUM($D$3:D6)</f>
        <v>13490</v>
      </c>
      <c r="F6" s="151">
        <f t="shared" si="1"/>
        <v>3</v>
      </c>
    </row>
    <row r="7" spans="1:6" ht="19.5">
      <c r="A7" s="153">
        <f>SUBTOTAL(103,B$4:B7)</f>
        <v>4</v>
      </c>
      <c r="B7" s="356" t="s">
        <v>494</v>
      </c>
      <c r="C7" s="169">
        <v>850</v>
      </c>
      <c r="D7" s="130">
        <f t="shared" si="0"/>
        <v>850</v>
      </c>
      <c r="E7" s="150">
        <f>SUM($D$3:D7)</f>
        <v>14340</v>
      </c>
      <c r="F7" s="151">
        <f t="shared" si="1"/>
        <v>4</v>
      </c>
    </row>
    <row r="8" spans="1:6" ht="19.5">
      <c r="A8" s="153">
        <f>SUBTOTAL(103,B$4:B8)</f>
        <v>5</v>
      </c>
      <c r="B8" s="126" t="s">
        <v>488</v>
      </c>
      <c r="C8" s="169">
        <v>808</v>
      </c>
      <c r="D8" s="130">
        <f>C8</f>
        <v>808</v>
      </c>
      <c r="E8" s="150">
        <f>SUM($D$3:D8)</f>
        <v>15148</v>
      </c>
      <c r="F8" s="151">
        <f t="shared" si="1"/>
        <v>5</v>
      </c>
    </row>
    <row r="9" spans="1:6" ht="19.5">
      <c r="A9" s="153">
        <f>SUBTOTAL(103,B$4:B9)</f>
        <v>6</v>
      </c>
      <c r="B9" s="126" t="s">
        <v>508</v>
      </c>
      <c r="C9" s="169">
        <v>1020</v>
      </c>
      <c r="D9" s="130">
        <f t="shared" si="0"/>
        <v>1020</v>
      </c>
      <c r="E9" s="150">
        <f>SUM($D$3:D9)</f>
        <v>16168</v>
      </c>
      <c r="F9" s="151">
        <f t="shared" si="1"/>
        <v>6</v>
      </c>
    </row>
    <row r="10" spans="1:6" ht="19.5">
      <c r="A10" s="153">
        <f>SUBTOTAL(103,B$4:B10)</f>
        <v>7</v>
      </c>
      <c r="B10" s="126" t="s">
        <v>509</v>
      </c>
      <c r="C10" s="169">
        <v>2910</v>
      </c>
      <c r="D10" s="130">
        <f t="shared" si="0"/>
        <v>2910</v>
      </c>
      <c r="E10" s="150">
        <f>SUM($D$3:D10)</f>
        <v>19078</v>
      </c>
      <c r="F10" s="151">
        <f t="shared" si="1"/>
        <v>7</v>
      </c>
    </row>
    <row r="11" spans="1:6" ht="19.5">
      <c r="A11" s="153">
        <f>SUBTOTAL(103,B$4:B11)</f>
        <v>8</v>
      </c>
      <c r="B11" s="126" t="s">
        <v>502</v>
      </c>
      <c r="C11" s="169">
        <v>2250</v>
      </c>
      <c r="D11" s="130">
        <f t="shared" si="0"/>
        <v>2250</v>
      </c>
      <c r="E11" s="150">
        <f>SUM($D$3:D11)</f>
        <v>21328</v>
      </c>
      <c r="F11" s="151">
        <f t="shared" si="1"/>
        <v>8</v>
      </c>
    </row>
    <row r="12" spans="1:6" ht="19.5">
      <c r="A12" s="153">
        <f>SUBTOTAL(103,B$4:B12)</f>
        <v>9</v>
      </c>
      <c r="B12" s="126" t="s">
        <v>531</v>
      </c>
      <c r="C12" s="169">
        <v>4000</v>
      </c>
      <c r="D12" s="130">
        <f t="shared" si="0"/>
        <v>4000</v>
      </c>
      <c r="E12" s="150">
        <f>SUM($D$3:D12)</f>
        <v>25328</v>
      </c>
      <c r="F12" s="151">
        <f t="shared" si="1"/>
        <v>9</v>
      </c>
    </row>
    <row r="13" spans="1:6" ht="19.5">
      <c r="A13" s="153">
        <f>SUBTOTAL(103,B$4:B13)</f>
        <v>10</v>
      </c>
      <c r="B13" s="126" t="s">
        <v>490</v>
      </c>
      <c r="C13" s="169">
        <v>3300</v>
      </c>
      <c r="D13" s="130">
        <f t="shared" si="0"/>
        <v>3300</v>
      </c>
      <c r="E13" s="150">
        <f>SUM($D$3:D13)</f>
        <v>28628</v>
      </c>
      <c r="F13" s="151">
        <f t="shared" si="1"/>
        <v>10</v>
      </c>
    </row>
    <row r="14" spans="1:6" ht="19.5" hidden="1">
      <c r="A14" s="153">
        <f>SUBTOTAL(103,B$4:B14)</f>
        <v>10</v>
      </c>
      <c r="B14" s="126"/>
      <c r="C14" s="169"/>
      <c r="D14" s="130">
        <f t="shared" si="0"/>
        <v>0</v>
      </c>
      <c r="E14" s="150">
        <f>SUM($D$3:D14)</f>
        <v>28628</v>
      </c>
      <c r="F14" s="151">
        <f t="shared" si="1"/>
        <v>10</v>
      </c>
    </row>
    <row r="15" spans="1:6" ht="19.5" hidden="1">
      <c r="A15" s="153">
        <f>SUBTOTAL(103,B$4:B15)</f>
        <v>10</v>
      </c>
      <c r="B15" s="126"/>
      <c r="C15" s="169"/>
      <c r="D15" s="130">
        <f t="shared" si="0"/>
        <v>0</v>
      </c>
      <c r="E15" s="150">
        <f>SUM($D$3:D15)</f>
        <v>28628</v>
      </c>
      <c r="F15" s="151">
        <f t="shared" si="1"/>
        <v>10</v>
      </c>
    </row>
    <row r="16" spans="1:6" ht="19.5" hidden="1">
      <c r="A16" s="153">
        <f>SUBTOTAL(103,B$4:B16)</f>
        <v>10</v>
      </c>
      <c r="B16" s="126"/>
      <c r="C16" s="169"/>
      <c r="D16" s="130">
        <f t="shared" si="0"/>
        <v>0</v>
      </c>
      <c r="E16" s="150">
        <f>SUM($D$3:D16)</f>
        <v>28628</v>
      </c>
      <c r="F16" s="151">
        <f t="shared" si="1"/>
        <v>10</v>
      </c>
    </row>
    <row r="17" spans="1:6" ht="19.5" hidden="1">
      <c r="A17" s="153">
        <f>SUBTOTAL(103,B$4:B17)</f>
        <v>10</v>
      </c>
      <c r="B17" s="126"/>
      <c r="C17" s="169"/>
      <c r="D17" s="130">
        <f t="shared" si="0"/>
        <v>0</v>
      </c>
      <c r="E17" s="150">
        <f>SUM($D$3:D17)</f>
        <v>28628</v>
      </c>
      <c r="F17" s="151">
        <f t="shared" si="1"/>
        <v>10</v>
      </c>
    </row>
    <row r="18" spans="1:6" ht="19.5" hidden="1">
      <c r="A18" s="153">
        <f>SUBTOTAL(103,B$4:B18)</f>
        <v>10</v>
      </c>
      <c r="B18" s="126"/>
      <c r="C18" s="169"/>
      <c r="D18" s="130">
        <f t="shared" si="0"/>
        <v>0</v>
      </c>
      <c r="E18" s="150">
        <f>SUM($D$3:D18)</f>
        <v>28628</v>
      </c>
      <c r="F18" s="151">
        <f t="shared" si="1"/>
        <v>10</v>
      </c>
    </row>
    <row r="19" spans="1:6" ht="19.5" hidden="1">
      <c r="A19" s="153">
        <f>SUBTOTAL(103,B$4:B19)</f>
        <v>10</v>
      </c>
      <c r="B19" s="126"/>
      <c r="C19" s="169"/>
      <c r="D19" s="130">
        <f t="shared" si="0"/>
        <v>0</v>
      </c>
      <c r="E19" s="150">
        <f>SUM($D$3:D19)</f>
        <v>28628</v>
      </c>
      <c r="F19" s="151">
        <f t="shared" si="1"/>
        <v>10</v>
      </c>
    </row>
    <row r="20" spans="1:6" ht="19.5" hidden="1">
      <c r="A20" s="153">
        <f>SUBTOTAL(103,B$4:B20)</f>
        <v>10</v>
      </c>
      <c r="B20" s="126"/>
      <c r="C20" s="169"/>
      <c r="D20" s="130">
        <f t="shared" si="0"/>
        <v>0</v>
      </c>
      <c r="E20" s="150">
        <f>SUM($D$3:D20)</f>
        <v>28628</v>
      </c>
      <c r="F20" s="151">
        <f t="shared" si="1"/>
        <v>10</v>
      </c>
    </row>
    <row r="21" spans="1:6" ht="19.5" hidden="1">
      <c r="A21" s="153">
        <f>SUBTOTAL(103,B$4:B21)</f>
        <v>10</v>
      </c>
      <c r="B21" s="126"/>
      <c r="C21" s="169"/>
      <c r="D21" s="130">
        <f t="shared" si="0"/>
        <v>0</v>
      </c>
      <c r="E21" s="150">
        <f>SUM($D$3:D21)</f>
        <v>28628</v>
      </c>
      <c r="F21" s="151">
        <f t="shared" si="1"/>
        <v>10</v>
      </c>
    </row>
    <row r="22" spans="1:6" ht="19.5" hidden="1">
      <c r="A22" s="153">
        <f>SUBTOTAL(103,B$4:B22)</f>
        <v>10</v>
      </c>
      <c r="B22" s="170"/>
      <c r="C22" s="169"/>
      <c r="D22" s="130">
        <f t="shared" si="0"/>
        <v>0</v>
      </c>
      <c r="E22" s="150">
        <f>SUM($D$3:D22)</f>
        <v>28628</v>
      </c>
      <c r="F22" s="151">
        <f t="shared" si="1"/>
        <v>10</v>
      </c>
    </row>
    <row r="23" spans="1:6" ht="19.5" hidden="1">
      <c r="A23" s="153">
        <f>SUBTOTAL(103,B$4:B23)</f>
        <v>10</v>
      </c>
      <c r="B23" s="126"/>
      <c r="C23" s="169"/>
      <c r="D23" s="130">
        <f t="shared" si="0"/>
        <v>0</v>
      </c>
      <c r="E23" s="150">
        <f>SUM($D$3:D23)</f>
        <v>28628</v>
      </c>
      <c r="F23" s="151">
        <f t="shared" si="1"/>
        <v>10</v>
      </c>
    </row>
    <row r="24" spans="1:6" ht="19.5" hidden="1">
      <c r="A24" s="153">
        <f>SUBTOTAL(103,B$4:B24)</f>
        <v>10</v>
      </c>
      <c r="B24" s="201"/>
      <c r="C24" s="169"/>
      <c r="D24" s="130">
        <f t="shared" si="0"/>
        <v>0</v>
      </c>
      <c r="E24" s="150">
        <f>SUM($D$3:D24)</f>
        <v>28628</v>
      </c>
      <c r="F24" s="151">
        <f t="shared" si="1"/>
        <v>10</v>
      </c>
    </row>
    <row r="25" spans="1:6" ht="19.5" hidden="1">
      <c r="A25" s="153">
        <f>SUBTOTAL(103,B$4:B25)</f>
        <v>10</v>
      </c>
      <c r="B25" s="201"/>
      <c r="C25" s="169"/>
      <c r="D25" s="130">
        <f t="shared" si="0"/>
        <v>0</v>
      </c>
      <c r="E25" s="150">
        <f>SUM($D$3:D25)</f>
        <v>28628</v>
      </c>
      <c r="F25" s="151">
        <f t="shared" si="1"/>
        <v>10</v>
      </c>
    </row>
    <row r="26" spans="1:6" ht="19.5" hidden="1">
      <c r="A26" s="153">
        <f>SUBTOTAL(103,B$4:B26)</f>
        <v>10</v>
      </c>
      <c r="B26" s="201"/>
      <c r="C26" s="169"/>
      <c r="D26" s="130">
        <f t="shared" si="0"/>
        <v>0</v>
      </c>
      <c r="E26" s="150">
        <f>SUM($D$3:D26)</f>
        <v>28628</v>
      </c>
      <c r="F26" s="151">
        <f t="shared" si="1"/>
        <v>10</v>
      </c>
    </row>
    <row r="27" spans="1:6" ht="19.5" hidden="1">
      <c r="A27" s="153">
        <f>SUBTOTAL(103,B$4:B27)</f>
        <v>10</v>
      </c>
      <c r="B27" s="126"/>
      <c r="C27" s="169"/>
      <c r="D27" s="130">
        <f t="shared" si="0"/>
        <v>0</v>
      </c>
      <c r="E27" s="150">
        <f>SUM($D$3:D27)</f>
        <v>28628</v>
      </c>
      <c r="F27" s="151">
        <f t="shared" si="1"/>
        <v>10</v>
      </c>
    </row>
    <row r="28" spans="1:6" ht="19.5" hidden="1">
      <c r="A28" s="153">
        <f>SUBTOTAL(103,B$4:B28)</f>
        <v>10</v>
      </c>
      <c r="B28" s="203"/>
      <c r="C28" s="169"/>
      <c r="D28" s="130">
        <f t="shared" si="0"/>
        <v>0</v>
      </c>
      <c r="E28" s="150">
        <f>SUM($D$3:D28)</f>
        <v>28628</v>
      </c>
      <c r="F28" s="151">
        <f t="shared" si="1"/>
        <v>10</v>
      </c>
    </row>
    <row r="29" spans="1:6" ht="19.5" hidden="1">
      <c r="A29" s="153">
        <f>SUBTOTAL(103,B$4:B29)</f>
        <v>10</v>
      </c>
      <c r="B29" s="364"/>
      <c r="C29" s="169"/>
      <c r="D29" s="130">
        <f t="shared" si="0"/>
        <v>0</v>
      </c>
      <c r="E29" s="150">
        <f>SUM($D$3:D29)</f>
        <v>28628</v>
      </c>
      <c r="F29" s="151">
        <f t="shared" si="1"/>
        <v>10</v>
      </c>
    </row>
    <row r="30" spans="1:6" ht="19.5" hidden="1">
      <c r="A30" s="153">
        <f>SUBTOTAL(103,B$4:B30)</f>
        <v>10</v>
      </c>
      <c r="B30" s="364"/>
      <c r="C30" s="169"/>
      <c r="D30" s="130">
        <f t="shared" si="0"/>
        <v>0</v>
      </c>
      <c r="E30" s="150">
        <f>SUM($D$3:D30)</f>
        <v>28628</v>
      </c>
      <c r="F30" s="151">
        <f t="shared" si="1"/>
        <v>10</v>
      </c>
    </row>
    <row r="31" spans="1:6" ht="19.5" hidden="1">
      <c r="A31" s="153">
        <f>SUBTOTAL(103,B$4:B31)</f>
        <v>10</v>
      </c>
      <c r="B31" s="364"/>
      <c r="C31" s="169"/>
      <c r="D31" s="130">
        <f t="shared" si="0"/>
        <v>0</v>
      </c>
      <c r="E31" s="150">
        <f>SUM($D$3:D31)</f>
        <v>28628</v>
      </c>
      <c r="F31" s="151">
        <f t="shared" si="1"/>
        <v>10</v>
      </c>
    </row>
    <row r="32" spans="1:6" ht="19.5" hidden="1">
      <c r="A32" s="153">
        <f>SUBTOTAL(103,B$4:B32)</f>
        <v>10</v>
      </c>
      <c r="B32" s="364"/>
      <c r="C32" s="169"/>
      <c r="D32" s="130">
        <f t="shared" si="0"/>
        <v>0</v>
      </c>
      <c r="E32" s="150">
        <f>SUM($D$3:D32)</f>
        <v>28628</v>
      </c>
      <c r="F32" s="151">
        <f t="shared" si="1"/>
        <v>10</v>
      </c>
    </row>
    <row r="33" spans="1:6" ht="19.5" hidden="1">
      <c r="A33" s="153">
        <f>SUBTOTAL(103,B$4:B33)</f>
        <v>10</v>
      </c>
      <c r="B33" s="364"/>
      <c r="C33" s="169"/>
      <c r="D33" s="130">
        <f t="shared" si="0"/>
        <v>0</v>
      </c>
      <c r="E33" s="150">
        <f>SUM($D$3:D33)</f>
        <v>28628</v>
      </c>
      <c r="F33" s="151">
        <f t="shared" si="1"/>
        <v>10</v>
      </c>
    </row>
    <row r="34" spans="1:6" ht="19.5" hidden="1">
      <c r="A34" s="153">
        <f>SUBTOTAL(103,B$4:B34)</f>
        <v>10</v>
      </c>
      <c r="B34" s="364"/>
      <c r="C34" s="169"/>
      <c r="D34" s="130">
        <f t="shared" si="0"/>
        <v>0</v>
      </c>
      <c r="E34" s="150">
        <f>SUM($D$3:D34)</f>
        <v>28628</v>
      </c>
      <c r="F34" s="151">
        <f t="shared" si="1"/>
        <v>10</v>
      </c>
    </row>
    <row r="35" spans="1:6" ht="19.5" hidden="1">
      <c r="A35" s="153">
        <f>SUBTOTAL(103,B$4:B35)</f>
        <v>10</v>
      </c>
      <c r="B35" s="364"/>
      <c r="C35" s="169"/>
      <c r="D35" s="130">
        <f t="shared" si="0"/>
        <v>0</v>
      </c>
      <c r="E35" s="150">
        <f>SUM($D$3:D35)</f>
        <v>28628</v>
      </c>
      <c r="F35" s="151">
        <f t="shared" si="1"/>
        <v>10</v>
      </c>
    </row>
    <row r="36" spans="1:6" ht="19.5" hidden="1">
      <c r="A36" s="153">
        <f>SUBTOTAL(103,B$4:B36)</f>
        <v>10</v>
      </c>
      <c r="B36" s="364"/>
      <c r="C36" s="169"/>
      <c r="D36" s="130">
        <f t="shared" si="0"/>
        <v>0</v>
      </c>
      <c r="E36" s="150">
        <f>SUM($D$3:D36)</f>
        <v>28628</v>
      </c>
      <c r="F36" s="151">
        <f t="shared" si="1"/>
        <v>10</v>
      </c>
    </row>
    <row r="37" spans="1:6" ht="19.5" hidden="1">
      <c r="A37" s="153">
        <f>SUBTOTAL(103,B$4:B37)</f>
        <v>10</v>
      </c>
      <c r="B37" s="364"/>
      <c r="C37" s="169"/>
      <c r="D37" s="130">
        <f t="shared" si="0"/>
        <v>0</v>
      </c>
      <c r="E37" s="150">
        <f>SUM($D$3:D37)</f>
        <v>28628</v>
      </c>
      <c r="F37" s="151">
        <f t="shared" si="1"/>
        <v>10</v>
      </c>
    </row>
    <row r="38" spans="1:6" ht="19.5" hidden="1">
      <c r="A38" s="153">
        <f>SUBTOTAL(103,B$4:B38)</f>
        <v>10</v>
      </c>
      <c r="B38" s="364"/>
      <c r="C38" s="169"/>
      <c r="D38" s="130">
        <f t="shared" si="0"/>
        <v>0</v>
      </c>
      <c r="E38" s="150">
        <f>SUM($D$3:D38)</f>
        <v>28628</v>
      </c>
      <c r="F38" s="151">
        <f t="shared" si="1"/>
        <v>10</v>
      </c>
    </row>
    <row r="39" spans="1:6" ht="19.5" hidden="1">
      <c r="A39" s="153">
        <f>SUBTOTAL(103,B$4:B39)</f>
        <v>10</v>
      </c>
      <c r="B39" s="364"/>
      <c r="C39" s="169"/>
      <c r="D39" s="130">
        <f t="shared" si="0"/>
        <v>0</v>
      </c>
      <c r="E39" s="150">
        <f>SUM($D$3:D39)</f>
        <v>28628</v>
      </c>
      <c r="F39" s="151">
        <f t="shared" si="1"/>
        <v>10</v>
      </c>
    </row>
    <row r="40" spans="1:6" ht="19.5" hidden="1">
      <c r="A40" s="153">
        <f>SUBTOTAL(103,B$4:B40)</f>
        <v>10</v>
      </c>
      <c r="B40" s="364"/>
      <c r="C40" s="169"/>
      <c r="D40" s="130">
        <f t="shared" si="0"/>
        <v>0</v>
      </c>
      <c r="E40" s="150">
        <f>SUM($D$3:D40)</f>
        <v>28628</v>
      </c>
      <c r="F40" s="151">
        <f t="shared" si="1"/>
        <v>10</v>
      </c>
    </row>
    <row r="41" spans="1:6" ht="19.5" hidden="1">
      <c r="A41" s="153">
        <f>SUBTOTAL(103,B$4:B41)</f>
        <v>10</v>
      </c>
      <c r="B41" s="364"/>
      <c r="C41" s="169"/>
      <c r="D41" s="130">
        <f t="shared" si="0"/>
        <v>0</v>
      </c>
      <c r="E41" s="150">
        <f>SUM($D$3:D41)</f>
        <v>28628</v>
      </c>
      <c r="F41" s="151">
        <f t="shared" si="1"/>
        <v>10</v>
      </c>
    </row>
    <row r="42" spans="1:6" ht="19.5" hidden="1">
      <c r="A42" s="153">
        <f>SUBTOTAL(103,B$4:B42)</f>
        <v>10</v>
      </c>
      <c r="B42" s="364"/>
      <c r="C42" s="169"/>
      <c r="D42" s="130">
        <f t="shared" si="0"/>
        <v>0</v>
      </c>
      <c r="E42" s="150">
        <f>SUM($D$3:D42)</f>
        <v>28628</v>
      </c>
      <c r="F42" s="151">
        <f t="shared" si="1"/>
        <v>10</v>
      </c>
    </row>
    <row r="43" spans="1:6" ht="19.5" hidden="1">
      <c r="A43" s="153">
        <f>SUBTOTAL(103,B$4:B43)</f>
        <v>10</v>
      </c>
      <c r="B43" s="364"/>
      <c r="C43" s="169"/>
      <c r="D43" s="130">
        <f t="shared" si="0"/>
        <v>0</v>
      </c>
      <c r="E43" s="150">
        <f>SUM($D$3:D43)</f>
        <v>28628</v>
      </c>
      <c r="F43" s="151">
        <f t="shared" si="1"/>
        <v>10</v>
      </c>
    </row>
    <row r="44" spans="1:6" ht="19.5" hidden="1">
      <c r="A44" s="153">
        <f>SUBTOTAL(103,B$4:B44)</f>
        <v>10</v>
      </c>
      <c r="B44" s="364"/>
      <c r="C44" s="169"/>
      <c r="D44" s="130">
        <f t="shared" si="0"/>
        <v>0</v>
      </c>
      <c r="E44" s="150">
        <f>SUM($D$3:D44)</f>
        <v>28628</v>
      </c>
      <c r="F44" s="151">
        <f t="shared" si="1"/>
        <v>10</v>
      </c>
    </row>
    <row r="45" spans="1:6" ht="19.5" hidden="1">
      <c r="A45" s="153">
        <f>SUBTOTAL(103,B$4:B45)</f>
        <v>10</v>
      </c>
      <c r="B45" s="364"/>
      <c r="C45" s="169"/>
      <c r="D45" s="130">
        <f t="shared" si="0"/>
        <v>0</v>
      </c>
      <c r="E45" s="150">
        <f>SUM($D$3:D45)</f>
        <v>28628</v>
      </c>
      <c r="F45" s="151">
        <f t="shared" si="1"/>
        <v>10</v>
      </c>
    </row>
    <row r="46" spans="1:6" ht="19.5" hidden="1">
      <c r="A46" s="153">
        <f>SUBTOTAL(103,B$4:B46)</f>
        <v>10</v>
      </c>
      <c r="B46" s="364"/>
      <c r="C46" s="169"/>
      <c r="D46" s="130">
        <f t="shared" si="0"/>
        <v>0</v>
      </c>
      <c r="E46" s="150">
        <f>SUM($D$3:D46)</f>
        <v>28628</v>
      </c>
      <c r="F46" s="151">
        <f t="shared" si="1"/>
        <v>10</v>
      </c>
    </row>
    <row r="47" spans="1:6" ht="19.5" hidden="1">
      <c r="A47" s="153">
        <f>SUBTOTAL(103,B$4:B47)</f>
        <v>10</v>
      </c>
      <c r="B47" s="364"/>
      <c r="C47" s="169"/>
      <c r="D47" s="130">
        <f t="shared" si="0"/>
        <v>0</v>
      </c>
      <c r="E47" s="150">
        <f>SUM($D$3:D47)</f>
        <v>28628</v>
      </c>
      <c r="F47" s="151">
        <f t="shared" si="1"/>
        <v>10</v>
      </c>
    </row>
    <row r="48" spans="1:6" ht="19.5" hidden="1">
      <c r="A48" s="153">
        <f>SUBTOTAL(103,B$4:B48)</f>
        <v>10</v>
      </c>
      <c r="B48" s="364"/>
      <c r="C48" s="169"/>
      <c r="D48" s="130">
        <f t="shared" si="0"/>
        <v>0</v>
      </c>
      <c r="E48" s="150">
        <f>SUM($D$3:D48)</f>
        <v>28628</v>
      </c>
      <c r="F48" s="151">
        <f t="shared" si="1"/>
        <v>10</v>
      </c>
    </row>
    <row r="49" spans="1:6" ht="19.5" hidden="1">
      <c r="A49" s="153">
        <f>SUBTOTAL(103,B$4:B49)</f>
        <v>10</v>
      </c>
      <c r="B49" s="364"/>
      <c r="C49" s="169"/>
      <c r="D49" s="130">
        <f t="shared" si="0"/>
        <v>0</v>
      </c>
      <c r="E49" s="150">
        <f>SUM($D$3:D49)</f>
        <v>28628</v>
      </c>
      <c r="F49" s="151">
        <f t="shared" si="1"/>
        <v>10</v>
      </c>
    </row>
    <row r="50" spans="1:6" ht="19.5" hidden="1">
      <c r="A50" s="153">
        <f>SUBTOTAL(103,B$4:B50)</f>
        <v>10</v>
      </c>
      <c r="B50" s="202"/>
      <c r="C50" s="169"/>
      <c r="D50" s="130">
        <f t="shared" si="0"/>
        <v>0</v>
      </c>
      <c r="E50" s="150">
        <f>SUM($D$3:D50)</f>
        <v>28628</v>
      </c>
      <c r="F50" s="151">
        <f>A50</f>
        <v>10</v>
      </c>
    </row>
    <row r="51" spans="1:6" ht="19.5">
      <c r="A51" s="153"/>
      <c r="B51" s="135" t="s">
        <v>235</v>
      </c>
      <c r="C51" s="172">
        <f>SUM(C4:C50)</f>
        <v>28628</v>
      </c>
    </row>
    <row r="52" spans="1:6" ht="19.5">
      <c r="A52" s="502" t="s">
        <v>557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498" t="s">
        <v>237</v>
      </c>
      <c r="B1" s="498"/>
      <c r="C1" s="498"/>
      <c r="F1" s="127">
        <f>P!L3</f>
        <v>45957</v>
      </c>
    </row>
    <row r="2" spans="1:6" ht="29.25" customHeight="1">
      <c r="A2" s="505" t="s">
        <v>481</v>
      </c>
      <c r="B2" s="505"/>
      <c r="C2" s="505"/>
      <c r="E2" s="139"/>
      <c r="F2" s="140"/>
    </row>
    <row r="3" spans="1:6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6">
      <c r="A4" s="153">
        <f>SUBTOTAL(103,B$4:B4)</f>
        <v>1</v>
      </c>
      <c r="B4" s="126" t="s">
        <v>484</v>
      </c>
      <c r="C4" s="169">
        <v>7853</v>
      </c>
      <c r="D4" s="130">
        <f>C4</f>
        <v>7853</v>
      </c>
      <c r="E4" s="143">
        <f>SUM($D$3:D4)</f>
        <v>7853</v>
      </c>
      <c r="F4" s="133">
        <f>A4</f>
        <v>1</v>
      </c>
    </row>
    <row r="5" spans="1:6">
      <c r="A5" s="153">
        <f>SUBTOTAL(103,B$4:B5)</f>
        <v>2</v>
      </c>
      <c r="B5" s="126" t="s">
        <v>227</v>
      </c>
      <c r="C5" s="169">
        <v>20076</v>
      </c>
      <c r="D5" s="130">
        <f t="shared" ref="D5:D50" si="0">C5</f>
        <v>20076</v>
      </c>
      <c r="E5" s="143">
        <f>SUM($D$3:D5)</f>
        <v>27929</v>
      </c>
      <c r="F5" s="133">
        <f t="shared" ref="F5:F50" si="1">A5</f>
        <v>2</v>
      </c>
    </row>
    <row r="6" spans="1:6">
      <c r="A6" s="153">
        <f>SUBTOTAL(103,B$4:B6)</f>
        <v>3</v>
      </c>
      <c r="B6" s="126" t="s">
        <v>510</v>
      </c>
      <c r="C6" s="169">
        <v>2574</v>
      </c>
      <c r="D6" s="130">
        <f t="shared" si="0"/>
        <v>2574</v>
      </c>
      <c r="E6" s="143">
        <f>SUM($D$3:D6)</f>
        <v>30503</v>
      </c>
      <c r="F6" s="133">
        <f t="shared" si="1"/>
        <v>3</v>
      </c>
    </row>
    <row r="7" spans="1:6">
      <c r="A7" s="153">
        <f>SUBTOTAL(103,B$4:B7)</f>
        <v>4</v>
      </c>
      <c r="B7" s="126" t="s">
        <v>488</v>
      </c>
      <c r="C7" s="169">
        <v>4072</v>
      </c>
      <c r="D7" s="130">
        <f t="shared" si="0"/>
        <v>4072</v>
      </c>
      <c r="E7" s="143">
        <f>SUM($D$3:D7)</f>
        <v>34575</v>
      </c>
      <c r="F7" s="133">
        <f t="shared" si="1"/>
        <v>4</v>
      </c>
    </row>
    <row r="8" spans="1:6">
      <c r="A8" s="153">
        <f>SUBTOTAL(103,B$4:B8)</f>
        <v>5</v>
      </c>
      <c r="B8" s="126" t="s">
        <v>511</v>
      </c>
      <c r="C8" s="169">
        <v>500</v>
      </c>
      <c r="D8" s="130">
        <f t="shared" si="0"/>
        <v>500</v>
      </c>
      <c r="E8" s="143">
        <f>SUM($D$3:D8)</f>
        <v>35075</v>
      </c>
      <c r="F8" s="133">
        <f t="shared" si="1"/>
        <v>5</v>
      </c>
    </row>
    <row r="9" spans="1:6">
      <c r="A9" s="153">
        <f>SUBTOTAL(103,B$4:B9)</f>
        <v>6</v>
      </c>
      <c r="B9" s="278" t="s">
        <v>512</v>
      </c>
      <c r="C9" s="169">
        <v>14300</v>
      </c>
      <c r="D9" s="130">
        <f t="shared" si="0"/>
        <v>14300</v>
      </c>
      <c r="E9" s="143">
        <f>SUM($D$3:D9)</f>
        <v>49375</v>
      </c>
      <c r="F9" s="133">
        <f t="shared" si="1"/>
        <v>6</v>
      </c>
    </row>
    <row r="10" spans="1:6">
      <c r="A10" s="153">
        <f>SUBTOTAL(103,B$4:B10)</f>
        <v>7</v>
      </c>
      <c r="B10" s="126" t="s">
        <v>489</v>
      </c>
      <c r="C10" s="169">
        <v>765</v>
      </c>
      <c r="D10" s="130">
        <f t="shared" si="0"/>
        <v>765</v>
      </c>
      <c r="E10" s="143">
        <f>SUM($D$3:D10)</f>
        <v>50140</v>
      </c>
      <c r="F10" s="133">
        <f t="shared" si="1"/>
        <v>7</v>
      </c>
    </row>
    <row r="11" spans="1:6">
      <c r="A11" s="153">
        <f>SUBTOTAL(103,B$4:B11)</f>
        <v>8</v>
      </c>
      <c r="B11" s="126" t="s">
        <v>490</v>
      </c>
      <c r="C11" s="169">
        <v>3100</v>
      </c>
      <c r="D11" s="152">
        <f t="shared" si="0"/>
        <v>3100</v>
      </c>
      <c r="E11" s="143">
        <f>SUM($D$3:D11)</f>
        <v>53240</v>
      </c>
      <c r="F11" s="133">
        <f t="shared" si="1"/>
        <v>8</v>
      </c>
    </row>
    <row r="12" spans="1:6" hidden="1">
      <c r="A12" s="153">
        <f>SUBTOTAL(103,B$4:B12)</f>
        <v>8</v>
      </c>
      <c r="B12" s="126"/>
      <c r="C12" s="169"/>
      <c r="D12" s="152">
        <f t="shared" si="0"/>
        <v>0</v>
      </c>
      <c r="E12" s="143">
        <f>SUM($D$3:D12)</f>
        <v>53240</v>
      </c>
      <c r="F12" s="133">
        <f t="shared" si="1"/>
        <v>8</v>
      </c>
    </row>
    <row r="13" spans="1:6" hidden="1">
      <c r="A13" s="153">
        <f>SUBTOTAL(103,B$4:B13)</f>
        <v>8</v>
      </c>
      <c r="B13" s="126"/>
      <c r="C13" s="169"/>
      <c r="D13" s="152">
        <f t="shared" si="0"/>
        <v>0</v>
      </c>
      <c r="E13" s="143">
        <f>SUM($D$3:D13)</f>
        <v>53240</v>
      </c>
      <c r="F13" s="133">
        <f t="shared" si="1"/>
        <v>8</v>
      </c>
    </row>
    <row r="14" spans="1:6" hidden="1">
      <c r="A14" s="153">
        <f>SUBTOTAL(103,B$4:B14)</f>
        <v>8</v>
      </c>
      <c r="B14" s="126"/>
      <c r="C14" s="169"/>
      <c r="D14" s="152">
        <f t="shared" si="0"/>
        <v>0</v>
      </c>
      <c r="E14" s="143">
        <f>SUM($D$3:D14)</f>
        <v>53240</v>
      </c>
      <c r="F14" s="133">
        <f t="shared" si="1"/>
        <v>8</v>
      </c>
    </row>
    <row r="15" spans="1:6" hidden="1">
      <c r="A15" s="153">
        <f>SUBTOTAL(103,B$4:B15)</f>
        <v>8</v>
      </c>
      <c r="B15" s="126"/>
      <c r="C15" s="169"/>
      <c r="D15" s="152">
        <f t="shared" si="0"/>
        <v>0</v>
      </c>
      <c r="E15" s="143">
        <f>SUM($D$3:D15)</f>
        <v>53240</v>
      </c>
      <c r="F15" s="133">
        <f t="shared" si="1"/>
        <v>8</v>
      </c>
    </row>
    <row r="16" spans="1:6" hidden="1">
      <c r="A16" s="153">
        <f>SUBTOTAL(103,B$4:B16)</f>
        <v>8</v>
      </c>
      <c r="B16" s="126"/>
      <c r="C16" s="169"/>
      <c r="D16" s="152">
        <f t="shared" si="0"/>
        <v>0</v>
      </c>
      <c r="E16" s="143">
        <f>SUM($D$3:D16)</f>
        <v>53240</v>
      </c>
      <c r="F16" s="133">
        <f t="shared" si="1"/>
        <v>8</v>
      </c>
    </row>
    <row r="17" spans="1:6" hidden="1">
      <c r="A17" s="153">
        <f>SUBTOTAL(103,B$4:B17)</f>
        <v>8</v>
      </c>
      <c r="B17" s="126"/>
      <c r="C17" s="169"/>
      <c r="D17" s="152">
        <f t="shared" si="0"/>
        <v>0</v>
      </c>
      <c r="E17" s="143">
        <f>SUM($D$3:D17)</f>
        <v>53240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52">
        <f t="shared" si="0"/>
        <v>0</v>
      </c>
      <c r="E18" s="143">
        <f>SUM($D$3:D18)</f>
        <v>53240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52">
        <f t="shared" si="0"/>
        <v>0</v>
      </c>
      <c r="E19" s="143">
        <f>SUM($D$3:D19)</f>
        <v>53240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52">
        <f t="shared" si="0"/>
        <v>0</v>
      </c>
      <c r="E20" s="143">
        <f>SUM($D$3:D20)</f>
        <v>53240</v>
      </c>
      <c r="F20" s="133">
        <f t="shared" si="1"/>
        <v>8</v>
      </c>
    </row>
    <row r="21" spans="1:6" hidden="1">
      <c r="A21" s="153">
        <f>SUBTOTAL(103,B$4:B21)</f>
        <v>8</v>
      </c>
      <c r="B21" s="216"/>
      <c r="C21" s="169"/>
      <c r="D21" s="152">
        <f t="shared" si="0"/>
        <v>0</v>
      </c>
      <c r="E21" s="143">
        <f>SUM($D$3:D21)</f>
        <v>53240</v>
      </c>
      <c r="F21" s="133">
        <f t="shared" si="1"/>
        <v>8</v>
      </c>
    </row>
    <row r="22" spans="1:6" hidden="1">
      <c r="A22" s="153">
        <f>SUBTOTAL(103,B$4:B22)</f>
        <v>8</v>
      </c>
      <c r="B22" s="216"/>
      <c r="C22" s="169"/>
      <c r="D22" s="152">
        <f t="shared" si="0"/>
        <v>0</v>
      </c>
      <c r="E22" s="143">
        <f>SUM($D$3:D22)</f>
        <v>53240</v>
      </c>
      <c r="F22" s="133">
        <f t="shared" si="1"/>
        <v>8</v>
      </c>
    </row>
    <row r="23" spans="1:6" hidden="1">
      <c r="A23" s="153">
        <f>SUBTOTAL(103,B$4:B23)</f>
        <v>8</v>
      </c>
      <c r="B23" s="364"/>
      <c r="C23" s="169"/>
      <c r="D23" s="152">
        <f t="shared" si="0"/>
        <v>0</v>
      </c>
      <c r="E23" s="143">
        <f>SUM($D$3:D23)</f>
        <v>53240</v>
      </c>
      <c r="F23" s="133">
        <f t="shared" si="1"/>
        <v>8</v>
      </c>
    </row>
    <row r="24" spans="1:6" hidden="1">
      <c r="A24" s="153">
        <f>SUBTOTAL(103,B$4:B24)</f>
        <v>8</v>
      </c>
      <c r="B24" s="364"/>
      <c r="C24" s="169"/>
      <c r="D24" s="152">
        <f t="shared" si="0"/>
        <v>0</v>
      </c>
      <c r="E24" s="143">
        <f>SUM($D$3:D24)</f>
        <v>53240</v>
      </c>
      <c r="F24" s="133">
        <f t="shared" si="1"/>
        <v>8</v>
      </c>
    </row>
    <row r="25" spans="1:6" hidden="1">
      <c r="A25" s="153">
        <f>SUBTOTAL(103,B$4:B25)</f>
        <v>8</v>
      </c>
      <c r="B25" s="364"/>
      <c r="C25" s="169"/>
      <c r="D25" s="152">
        <f t="shared" si="0"/>
        <v>0</v>
      </c>
      <c r="E25" s="143">
        <f>SUM($D$3:D25)</f>
        <v>53240</v>
      </c>
      <c r="F25" s="133">
        <f t="shared" si="1"/>
        <v>8</v>
      </c>
    </row>
    <row r="26" spans="1:6" hidden="1">
      <c r="A26" s="153">
        <f>SUBTOTAL(103,B$4:B26)</f>
        <v>8</v>
      </c>
      <c r="B26" s="364"/>
      <c r="C26" s="169"/>
      <c r="D26" s="152">
        <f t="shared" si="0"/>
        <v>0</v>
      </c>
      <c r="E26" s="143">
        <f>SUM($D$3:D26)</f>
        <v>53240</v>
      </c>
      <c r="F26" s="133">
        <f t="shared" si="1"/>
        <v>8</v>
      </c>
    </row>
    <row r="27" spans="1:6" hidden="1">
      <c r="A27" s="153">
        <f>SUBTOTAL(103,B$4:B27)</f>
        <v>8</v>
      </c>
      <c r="B27" s="364"/>
      <c r="C27" s="169"/>
      <c r="D27" s="152">
        <f t="shared" si="0"/>
        <v>0</v>
      </c>
      <c r="E27" s="143">
        <f>SUM($D$3:D27)</f>
        <v>53240</v>
      </c>
      <c r="F27" s="133">
        <f t="shared" si="1"/>
        <v>8</v>
      </c>
    </row>
    <row r="28" spans="1:6" hidden="1">
      <c r="A28" s="153">
        <f>SUBTOTAL(103,B$4:B28)</f>
        <v>8</v>
      </c>
      <c r="B28" s="364"/>
      <c r="C28" s="169"/>
      <c r="D28" s="152">
        <f t="shared" si="0"/>
        <v>0</v>
      </c>
      <c r="E28" s="143">
        <f>SUM($D$3:D28)</f>
        <v>53240</v>
      </c>
      <c r="F28" s="133">
        <f t="shared" si="1"/>
        <v>8</v>
      </c>
    </row>
    <row r="29" spans="1:6" hidden="1">
      <c r="A29" s="153">
        <f>SUBTOTAL(103,B$4:B29)</f>
        <v>8</v>
      </c>
      <c r="B29" s="364"/>
      <c r="C29" s="169"/>
      <c r="D29" s="152">
        <f t="shared" si="0"/>
        <v>0</v>
      </c>
      <c r="E29" s="143">
        <f>SUM($D$3:D29)</f>
        <v>53240</v>
      </c>
      <c r="F29" s="133">
        <f t="shared" si="1"/>
        <v>8</v>
      </c>
    </row>
    <row r="30" spans="1:6" hidden="1">
      <c r="A30" s="153">
        <f>SUBTOTAL(103,B$4:B30)</f>
        <v>8</v>
      </c>
      <c r="B30" s="364"/>
      <c r="C30" s="169"/>
      <c r="D30" s="152">
        <f t="shared" si="0"/>
        <v>0</v>
      </c>
      <c r="E30" s="143">
        <f>SUM($D$3:D30)</f>
        <v>53240</v>
      </c>
      <c r="F30" s="133">
        <f t="shared" si="1"/>
        <v>8</v>
      </c>
    </row>
    <row r="31" spans="1:6" hidden="1">
      <c r="A31" s="153">
        <f>SUBTOTAL(103,B$4:B31)</f>
        <v>8</v>
      </c>
      <c r="B31" s="364"/>
      <c r="C31" s="169"/>
      <c r="D31" s="152">
        <f t="shared" si="0"/>
        <v>0</v>
      </c>
      <c r="E31" s="143">
        <f>SUM($D$3:D31)</f>
        <v>53240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52">
        <f t="shared" si="0"/>
        <v>0</v>
      </c>
      <c r="E32" s="143">
        <f>SUM($D$3:D32)</f>
        <v>53240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52">
        <f t="shared" si="0"/>
        <v>0</v>
      </c>
      <c r="E33" s="143">
        <f>SUM($D$3:D33)</f>
        <v>53240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52">
        <f t="shared" si="0"/>
        <v>0</v>
      </c>
      <c r="E34" s="143">
        <f>SUM($D$3:D34)</f>
        <v>53240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52">
        <f t="shared" si="0"/>
        <v>0</v>
      </c>
      <c r="E35" s="143">
        <f>SUM($D$3:D35)</f>
        <v>53240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52">
        <f t="shared" si="0"/>
        <v>0</v>
      </c>
      <c r="E36" s="143">
        <f>SUM($D$3:D36)</f>
        <v>53240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52">
        <f t="shared" si="0"/>
        <v>0</v>
      </c>
      <c r="E37" s="143">
        <f>SUM($D$3:D37)</f>
        <v>53240</v>
      </c>
      <c r="F37" s="133">
        <f t="shared" si="1"/>
        <v>8</v>
      </c>
    </row>
    <row r="38" spans="1:6" hidden="1">
      <c r="A38" s="153">
        <f>SUBTOTAL(103,B$4:B38)</f>
        <v>8</v>
      </c>
      <c r="B38" s="364"/>
      <c r="C38" s="169"/>
      <c r="D38" s="152">
        <f t="shared" si="0"/>
        <v>0</v>
      </c>
      <c r="E38" s="143">
        <f>SUM($D$3:D38)</f>
        <v>53240</v>
      </c>
      <c r="F38" s="133">
        <f t="shared" si="1"/>
        <v>8</v>
      </c>
    </row>
    <row r="39" spans="1:6" hidden="1">
      <c r="A39" s="153">
        <f>SUBTOTAL(103,B$4:B39)</f>
        <v>8</v>
      </c>
      <c r="B39" s="364"/>
      <c r="C39" s="169"/>
      <c r="D39" s="152">
        <f t="shared" si="0"/>
        <v>0</v>
      </c>
      <c r="E39" s="143">
        <f>SUM($D$3:D39)</f>
        <v>53240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52">
        <f t="shared" si="0"/>
        <v>0</v>
      </c>
      <c r="E40" s="143">
        <f>SUM($D$3:D40)</f>
        <v>53240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52">
        <f t="shared" si="0"/>
        <v>0</v>
      </c>
      <c r="E41" s="143">
        <f>SUM($D$3:D41)</f>
        <v>53240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52">
        <f t="shared" si="0"/>
        <v>0</v>
      </c>
      <c r="E42" s="143">
        <f>SUM($D$3:D42)</f>
        <v>53240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52">
        <f t="shared" si="0"/>
        <v>0</v>
      </c>
      <c r="E43" s="143">
        <f>SUM($D$3:D43)</f>
        <v>53240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52">
        <f t="shared" si="0"/>
        <v>0</v>
      </c>
      <c r="E44" s="143">
        <f>SUM($D$3:D44)</f>
        <v>53240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52">
        <f t="shared" si="0"/>
        <v>0</v>
      </c>
      <c r="E45" s="143">
        <f>SUM($D$3:D45)</f>
        <v>53240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52">
        <f t="shared" si="0"/>
        <v>0</v>
      </c>
      <c r="E46" s="143">
        <f>SUM($D$3:D46)</f>
        <v>53240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52">
        <f t="shared" si="0"/>
        <v>0</v>
      </c>
      <c r="E47" s="143">
        <f>SUM($D$3:D47)</f>
        <v>53240</v>
      </c>
      <c r="F47" s="133">
        <f t="shared" si="1"/>
        <v>8</v>
      </c>
    </row>
    <row r="48" spans="1:6" hidden="1">
      <c r="A48" s="153">
        <f>SUBTOTAL(103,B$4:B48)</f>
        <v>8</v>
      </c>
      <c r="B48" s="364"/>
      <c r="C48" s="169"/>
      <c r="D48" s="152">
        <f t="shared" si="0"/>
        <v>0</v>
      </c>
      <c r="E48" s="143">
        <f>SUM($D$3:D48)</f>
        <v>53240</v>
      </c>
      <c r="F48" s="133">
        <f t="shared" si="1"/>
        <v>8</v>
      </c>
    </row>
    <row r="49" spans="1:6" hidden="1">
      <c r="A49" s="153">
        <f>SUBTOTAL(103,B$4:B49)</f>
        <v>8</v>
      </c>
      <c r="B49" s="364"/>
      <c r="C49" s="169"/>
      <c r="D49" s="152">
        <f t="shared" si="0"/>
        <v>0</v>
      </c>
      <c r="E49" s="143">
        <f>SUM($D$3:D49)</f>
        <v>53240</v>
      </c>
      <c r="F49" s="133">
        <f t="shared" si="1"/>
        <v>8</v>
      </c>
    </row>
    <row r="50" spans="1:6" hidden="1">
      <c r="A50" s="153">
        <f>SUBTOTAL(103,B$4:B50)</f>
        <v>8</v>
      </c>
      <c r="B50" s="216"/>
      <c r="C50" s="169"/>
      <c r="D50" s="152">
        <f t="shared" si="0"/>
        <v>0</v>
      </c>
      <c r="E50" s="143">
        <f>SUM($D$3:D50)</f>
        <v>53240</v>
      </c>
      <c r="F50" s="133">
        <f t="shared" si="1"/>
        <v>8</v>
      </c>
    </row>
    <row r="51" spans="1:6">
      <c r="A51" s="153"/>
      <c r="B51" s="135" t="s">
        <v>235</v>
      </c>
      <c r="C51" s="136">
        <f>SUM(C4:C50)</f>
        <v>53240</v>
      </c>
    </row>
    <row r="52" spans="1:6">
      <c r="A52" s="502" t="s">
        <v>558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498" t="s">
        <v>237</v>
      </c>
      <c r="B1" s="498"/>
      <c r="C1" s="498"/>
      <c r="G1" s="127">
        <f>P!N3</f>
        <v>45958</v>
      </c>
    </row>
    <row r="2" spans="1:7" ht="39.75" customHeight="1">
      <c r="A2" s="505" t="s">
        <v>482</v>
      </c>
      <c r="B2" s="505"/>
      <c r="C2" s="505"/>
      <c r="F2" s="24"/>
      <c r="G2" s="140"/>
    </row>
    <row r="3" spans="1:7" ht="19.5">
      <c r="A3" s="141" t="s">
        <v>238</v>
      </c>
      <c r="B3" s="141" t="s">
        <v>223</v>
      </c>
      <c r="C3" s="141" t="s">
        <v>239</v>
      </c>
      <c r="D3" s="142">
        <v>0</v>
      </c>
      <c r="E3" s="131"/>
      <c r="F3" s="154"/>
    </row>
    <row r="4" spans="1:7" ht="19.5">
      <c r="A4" s="153">
        <f>SUBTOTAL(103,B$4:B4)</f>
        <v>1</v>
      </c>
      <c r="B4" s="279" t="s">
        <v>484</v>
      </c>
      <c r="C4" s="169">
        <v>9987</v>
      </c>
      <c r="D4" s="142">
        <f>C4</f>
        <v>9987</v>
      </c>
      <c r="E4" s="143">
        <f>SUM($D$3:D4)</f>
        <v>9987</v>
      </c>
      <c r="F4" s="155">
        <f>A4</f>
        <v>1</v>
      </c>
      <c r="G4" s="156"/>
    </row>
    <row r="5" spans="1:7" ht="19.5">
      <c r="A5" s="153">
        <f>SUBTOTAL(103,B$4:B5)</f>
        <v>2</v>
      </c>
      <c r="B5" s="423" t="s">
        <v>227</v>
      </c>
      <c r="C5" s="169">
        <v>9540</v>
      </c>
      <c r="D5" s="142">
        <f t="shared" ref="D5:D50" si="0">C5</f>
        <v>9540</v>
      </c>
      <c r="E5" s="143">
        <f>SUM($D$3:D5)</f>
        <v>19527</v>
      </c>
      <c r="F5" s="155">
        <f t="shared" ref="F5:F50" si="1">A5</f>
        <v>2</v>
      </c>
    </row>
    <row r="6" spans="1:7" ht="19.5">
      <c r="A6" s="153">
        <f>SUBTOTAL(103,B$4:B6)</f>
        <v>3</v>
      </c>
      <c r="B6" s="423" t="s">
        <v>485</v>
      </c>
      <c r="C6" s="169">
        <v>4536</v>
      </c>
      <c r="D6" s="142">
        <f t="shared" si="0"/>
        <v>4536</v>
      </c>
      <c r="E6" s="143">
        <f>SUM($D$3:D6)</f>
        <v>24063</v>
      </c>
      <c r="F6" s="155">
        <f t="shared" si="1"/>
        <v>3</v>
      </c>
    </row>
    <row r="7" spans="1:7" ht="19.5">
      <c r="A7" s="153">
        <f>SUBTOTAL(103,B$4:B7)</f>
        <v>4</v>
      </c>
      <c r="B7" s="423" t="s">
        <v>488</v>
      </c>
      <c r="C7" s="169">
        <v>2780</v>
      </c>
      <c r="D7" s="142">
        <f t="shared" si="0"/>
        <v>2780</v>
      </c>
      <c r="E7" s="143">
        <f>SUM($D$3:D7)</f>
        <v>26843</v>
      </c>
      <c r="F7" s="155">
        <f t="shared" si="1"/>
        <v>4</v>
      </c>
    </row>
    <row r="8" spans="1:7" ht="19.5">
      <c r="A8" s="153">
        <f>SUBTOTAL(103,B$4:B8)</f>
        <v>5</v>
      </c>
      <c r="B8" s="424" t="s">
        <v>201</v>
      </c>
      <c r="C8" s="169">
        <v>10500</v>
      </c>
      <c r="D8" s="142">
        <f t="shared" si="0"/>
        <v>10500</v>
      </c>
      <c r="E8" s="143">
        <f>SUM($D$3:D8)</f>
        <v>37343</v>
      </c>
      <c r="F8" s="155">
        <f t="shared" si="1"/>
        <v>5</v>
      </c>
    </row>
    <row r="9" spans="1:7" ht="19.5">
      <c r="A9" s="153">
        <f>SUBTOTAL(103,B$4:B9)</f>
        <v>6</v>
      </c>
      <c r="B9" s="423" t="s">
        <v>489</v>
      </c>
      <c r="C9" s="169">
        <v>891</v>
      </c>
      <c r="D9" s="142">
        <f t="shared" si="0"/>
        <v>891</v>
      </c>
      <c r="E9" s="143">
        <f>SUM($D$3:D9)</f>
        <v>38234</v>
      </c>
      <c r="F9" s="155">
        <f t="shared" si="1"/>
        <v>6</v>
      </c>
    </row>
    <row r="10" spans="1:7" ht="19.5">
      <c r="A10" s="153">
        <f>SUBTOTAL(103,B$4:B10)</f>
        <v>7</v>
      </c>
      <c r="B10" s="423" t="s">
        <v>490</v>
      </c>
      <c r="C10" s="169">
        <v>2300</v>
      </c>
      <c r="D10" s="142">
        <f t="shared" si="0"/>
        <v>2300</v>
      </c>
      <c r="E10" s="143">
        <f>SUM($D$3:D10)</f>
        <v>40534</v>
      </c>
      <c r="F10" s="155">
        <f t="shared" si="1"/>
        <v>7</v>
      </c>
    </row>
    <row r="11" spans="1:7" ht="19.5" hidden="1">
      <c r="A11" s="153">
        <f>SUBTOTAL(103,B$4:B11)</f>
        <v>7</v>
      </c>
      <c r="B11" s="423"/>
      <c r="C11" s="169"/>
      <c r="D11" s="142">
        <f t="shared" si="0"/>
        <v>0</v>
      </c>
      <c r="E11" s="143">
        <f>SUM($D$3:D11)</f>
        <v>40534</v>
      </c>
      <c r="F11" s="155">
        <f t="shared" si="1"/>
        <v>7</v>
      </c>
    </row>
    <row r="12" spans="1:7" ht="19.5" hidden="1">
      <c r="A12" s="153">
        <f>SUBTOTAL(103,B$4:B12)</f>
        <v>7</v>
      </c>
      <c r="B12" s="423"/>
      <c r="C12" s="169"/>
      <c r="D12" s="142">
        <f t="shared" si="0"/>
        <v>0</v>
      </c>
      <c r="E12" s="143">
        <f>SUM($D$3:D12)</f>
        <v>40534</v>
      </c>
      <c r="F12" s="155">
        <f t="shared" si="1"/>
        <v>7</v>
      </c>
    </row>
    <row r="13" spans="1:7" ht="19.5" hidden="1">
      <c r="A13" s="153">
        <f>SUBTOTAL(103,B$4:B13)</f>
        <v>7</v>
      </c>
      <c r="B13" s="423"/>
      <c r="C13" s="169"/>
      <c r="D13" s="142">
        <f t="shared" si="0"/>
        <v>0</v>
      </c>
      <c r="E13" s="143">
        <f>SUM($D$3:D13)</f>
        <v>40534</v>
      </c>
      <c r="F13" s="155">
        <f t="shared" si="1"/>
        <v>7</v>
      </c>
    </row>
    <row r="14" spans="1:7" ht="19.5" hidden="1">
      <c r="A14" s="153">
        <f>SUBTOTAL(103,B$4:B14)</f>
        <v>7</v>
      </c>
      <c r="B14" s="423"/>
      <c r="C14" s="169"/>
      <c r="D14" s="142">
        <f t="shared" si="0"/>
        <v>0</v>
      </c>
      <c r="E14" s="143">
        <f>SUM($D$3:D14)</f>
        <v>40534</v>
      </c>
      <c r="F14" s="155">
        <f t="shared" si="1"/>
        <v>7</v>
      </c>
    </row>
    <row r="15" spans="1:7" ht="19.5" hidden="1">
      <c r="A15" s="153">
        <f>SUBTOTAL(103,B$4:B15)</f>
        <v>7</v>
      </c>
      <c r="B15" s="126"/>
      <c r="C15" s="169"/>
      <c r="D15" s="142">
        <f t="shared" si="0"/>
        <v>0</v>
      </c>
      <c r="E15" s="143">
        <f>SUM($D$3:D15)</f>
        <v>40534</v>
      </c>
      <c r="F15" s="155">
        <f t="shared" si="1"/>
        <v>7</v>
      </c>
    </row>
    <row r="16" spans="1:7" ht="19.5" hidden="1">
      <c r="A16" s="153">
        <f>SUBTOTAL(103,B$4:B16)</f>
        <v>7</v>
      </c>
      <c r="B16" s="126"/>
      <c r="C16" s="169"/>
      <c r="D16" s="142">
        <f t="shared" si="0"/>
        <v>0</v>
      </c>
      <c r="E16" s="143">
        <f>SUM($D$3:D16)</f>
        <v>40534</v>
      </c>
      <c r="F16" s="155">
        <f t="shared" si="1"/>
        <v>7</v>
      </c>
    </row>
    <row r="17" spans="1:6" ht="19.5" hidden="1">
      <c r="A17" s="153">
        <f>SUBTOTAL(103,B$4:B17)</f>
        <v>7</v>
      </c>
      <c r="B17" s="126"/>
      <c r="C17" s="169"/>
      <c r="D17" s="142">
        <f t="shared" si="0"/>
        <v>0</v>
      </c>
      <c r="E17" s="143">
        <f>SUM($D$3:D17)</f>
        <v>40534</v>
      </c>
      <c r="F17" s="155">
        <f t="shared" si="1"/>
        <v>7</v>
      </c>
    </row>
    <row r="18" spans="1:6" ht="19.5" hidden="1">
      <c r="A18" s="153">
        <f>SUBTOTAL(103,B$4:B18)</f>
        <v>7</v>
      </c>
      <c r="B18" s="126"/>
      <c r="C18" s="169"/>
      <c r="D18" s="142">
        <f t="shared" si="0"/>
        <v>0</v>
      </c>
      <c r="E18" s="143">
        <f>SUM($D$3:D18)</f>
        <v>40534</v>
      </c>
      <c r="F18" s="155">
        <f t="shared" si="1"/>
        <v>7</v>
      </c>
    </row>
    <row r="19" spans="1:6" ht="19.5" hidden="1">
      <c r="A19" s="153">
        <f>SUBTOTAL(103,B$4:B19)</f>
        <v>7</v>
      </c>
      <c r="B19" s="364"/>
      <c r="C19" s="169"/>
      <c r="D19" s="142">
        <f t="shared" si="0"/>
        <v>0</v>
      </c>
      <c r="E19" s="143">
        <f>SUM($D$3:D19)</f>
        <v>40534</v>
      </c>
      <c r="F19" s="155">
        <f t="shared" si="1"/>
        <v>7</v>
      </c>
    </row>
    <row r="20" spans="1:6" ht="19.5" hidden="1">
      <c r="A20" s="153">
        <f>SUBTOTAL(103,B$4:B20)</f>
        <v>7</v>
      </c>
      <c r="B20" s="364"/>
      <c r="C20" s="169"/>
      <c r="D20" s="142">
        <f t="shared" si="0"/>
        <v>0</v>
      </c>
      <c r="E20" s="143">
        <f>SUM($D$3:D20)</f>
        <v>40534</v>
      </c>
      <c r="F20" s="155">
        <f t="shared" si="1"/>
        <v>7</v>
      </c>
    </row>
    <row r="21" spans="1:6" ht="19.5" hidden="1">
      <c r="A21" s="153">
        <f>SUBTOTAL(103,B$4:B21)</f>
        <v>7</v>
      </c>
      <c r="B21" s="364"/>
      <c r="C21" s="169"/>
      <c r="D21" s="142">
        <f t="shared" si="0"/>
        <v>0</v>
      </c>
      <c r="E21" s="143">
        <f>SUM($D$3:D21)</f>
        <v>40534</v>
      </c>
      <c r="F21" s="155">
        <f t="shared" si="1"/>
        <v>7</v>
      </c>
    </row>
    <row r="22" spans="1:6" ht="19.5" hidden="1">
      <c r="A22" s="153">
        <f>SUBTOTAL(103,B$4:B22)</f>
        <v>7</v>
      </c>
      <c r="B22" s="364"/>
      <c r="C22" s="169"/>
      <c r="D22" s="142">
        <f t="shared" si="0"/>
        <v>0</v>
      </c>
      <c r="E22" s="143">
        <f>SUM($D$3:D22)</f>
        <v>40534</v>
      </c>
      <c r="F22" s="155">
        <f t="shared" si="1"/>
        <v>7</v>
      </c>
    </row>
    <row r="23" spans="1:6" ht="19.5" hidden="1">
      <c r="A23" s="153">
        <f>SUBTOTAL(103,B$4:B23)</f>
        <v>7</v>
      </c>
      <c r="B23" s="364"/>
      <c r="C23" s="169"/>
      <c r="D23" s="142">
        <f t="shared" si="0"/>
        <v>0</v>
      </c>
      <c r="E23" s="143">
        <f>SUM($D$3:D23)</f>
        <v>40534</v>
      </c>
      <c r="F23" s="155">
        <f t="shared" si="1"/>
        <v>7</v>
      </c>
    </row>
    <row r="24" spans="1:6" ht="19.5" hidden="1">
      <c r="A24" s="153">
        <f>SUBTOTAL(103,B$4:B24)</f>
        <v>7</v>
      </c>
      <c r="B24" s="364"/>
      <c r="C24" s="169"/>
      <c r="D24" s="142">
        <f t="shared" si="0"/>
        <v>0</v>
      </c>
      <c r="E24" s="143">
        <f>SUM($D$3:D24)</f>
        <v>40534</v>
      </c>
      <c r="F24" s="155">
        <f t="shared" si="1"/>
        <v>7</v>
      </c>
    </row>
    <row r="25" spans="1:6" ht="19.5" hidden="1">
      <c r="A25" s="153">
        <f>SUBTOTAL(103,B$4:B25)</f>
        <v>7</v>
      </c>
      <c r="B25" s="364"/>
      <c r="C25" s="169"/>
      <c r="D25" s="142">
        <f t="shared" si="0"/>
        <v>0</v>
      </c>
      <c r="E25" s="143">
        <f>SUM($D$3:D25)</f>
        <v>40534</v>
      </c>
      <c r="F25" s="155">
        <f t="shared" si="1"/>
        <v>7</v>
      </c>
    </row>
    <row r="26" spans="1:6" ht="19.5" hidden="1">
      <c r="A26" s="153">
        <f>SUBTOTAL(103,B$4:B26)</f>
        <v>7</v>
      </c>
      <c r="B26" s="364"/>
      <c r="C26" s="169"/>
      <c r="D26" s="142">
        <f t="shared" si="0"/>
        <v>0</v>
      </c>
      <c r="E26" s="143">
        <f>SUM($D$3:D26)</f>
        <v>40534</v>
      </c>
      <c r="F26" s="155">
        <f t="shared" si="1"/>
        <v>7</v>
      </c>
    </row>
    <row r="27" spans="1:6" ht="19.5" hidden="1">
      <c r="A27" s="153">
        <f>SUBTOTAL(103,B$4:B27)</f>
        <v>7</v>
      </c>
      <c r="B27" s="364"/>
      <c r="C27" s="169"/>
      <c r="D27" s="142">
        <f t="shared" si="0"/>
        <v>0</v>
      </c>
      <c r="E27" s="143">
        <f>SUM($D$3:D27)</f>
        <v>40534</v>
      </c>
      <c r="F27" s="155">
        <f t="shared" si="1"/>
        <v>7</v>
      </c>
    </row>
    <row r="28" spans="1:6" ht="19.5" hidden="1">
      <c r="A28" s="153">
        <f>SUBTOTAL(103,B$4:B28)</f>
        <v>7</v>
      </c>
      <c r="B28" s="364"/>
      <c r="C28" s="169"/>
      <c r="D28" s="142">
        <f t="shared" si="0"/>
        <v>0</v>
      </c>
      <c r="E28" s="143">
        <f>SUM($D$3:D28)</f>
        <v>40534</v>
      </c>
      <c r="F28" s="155">
        <f t="shared" si="1"/>
        <v>7</v>
      </c>
    </row>
    <row r="29" spans="1:6" ht="19.5" hidden="1">
      <c r="A29" s="153">
        <f>SUBTOTAL(103,B$4:B29)</f>
        <v>7</v>
      </c>
      <c r="B29" s="364"/>
      <c r="C29" s="169"/>
      <c r="D29" s="142">
        <f t="shared" si="0"/>
        <v>0</v>
      </c>
      <c r="E29" s="143">
        <f>SUM($D$3:D29)</f>
        <v>40534</v>
      </c>
      <c r="F29" s="155">
        <f t="shared" si="1"/>
        <v>7</v>
      </c>
    </row>
    <row r="30" spans="1:6" ht="19.5" hidden="1">
      <c r="A30" s="153">
        <f>SUBTOTAL(103,B$4:B30)</f>
        <v>7</v>
      </c>
      <c r="B30" s="364"/>
      <c r="C30" s="169"/>
      <c r="D30" s="142">
        <f t="shared" si="0"/>
        <v>0</v>
      </c>
      <c r="E30" s="143">
        <f>SUM($D$3:D30)</f>
        <v>40534</v>
      </c>
      <c r="F30" s="155">
        <f t="shared" si="1"/>
        <v>7</v>
      </c>
    </row>
    <row r="31" spans="1:6" ht="19.5" hidden="1">
      <c r="A31" s="153">
        <f>SUBTOTAL(103,B$4:B31)</f>
        <v>7</v>
      </c>
      <c r="B31" s="364"/>
      <c r="C31" s="169"/>
      <c r="D31" s="142">
        <f t="shared" si="0"/>
        <v>0</v>
      </c>
      <c r="E31" s="143">
        <f>SUM($D$3:D31)</f>
        <v>40534</v>
      </c>
      <c r="F31" s="155">
        <f t="shared" si="1"/>
        <v>7</v>
      </c>
    </row>
    <row r="32" spans="1:6" ht="19.5" hidden="1">
      <c r="A32" s="153">
        <f>SUBTOTAL(103,B$4:B32)</f>
        <v>7</v>
      </c>
      <c r="B32" s="364"/>
      <c r="C32" s="169"/>
      <c r="D32" s="142">
        <f t="shared" si="0"/>
        <v>0</v>
      </c>
      <c r="E32" s="143">
        <f>SUM($D$3:D32)</f>
        <v>40534</v>
      </c>
      <c r="F32" s="155">
        <f t="shared" si="1"/>
        <v>7</v>
      </c>
    </row>
    <row r="33" spans="1:6" ht="19.5" hidden="1">
      <c r="A33" s="153">
        <f>SUBTOTAL(103,B$4:B33)</f>
        <v>7</v>
      </c>
      <c r="B33" s="364"/>
      <c r="C33" s="169"/>
      <c r="D33" s="142">
        <f t="shared" si="0"/>
        <v>0</v>
      </c>
      <c r="E33" s="143">
        <f>SUM($D$3:D33)</f>
        <v>40534</v>
      </c>
      <c r="F33" s="155">
        <f t="shared" si="1"/>
        <v>7</v>
      </c>
    </row>
    <row r="34" spans="1:6" ht="19.5" hidden="1">
      <c r="A34" s="153">
        <f>SUBTOTAL(103,B$4:B34)</f>
        <v>7</v>
      </c>
      <c r="B34" s="364"/>
      <c r="C34" s="169"/>
      <c r="D34" s="142">
        <f t="shared" si="0"/>
        <v>0</v>
      </c>
      <c r="E34" s="143">
        <f>SUM($D$3:D34)</f>
        <v>40534</v>
      </c>
      <c r="F34" s="155">
        <f t="shared" si="1"/>
        <v>7</v>
      </c>
    </row>
    <row r="35" spans="1:6" ht="19.5" hidden="1">
      <c r="A35" s="153">
        <f>SUBTOTAL(103,B$4:B35)</f>
        <v>7</v>
      </c>
      <c r="B35" s="364"/>
      <c r="C35" s="169"/>
      <c r="D35" s="142">
        <f t="shared" si="0"/>
        <v>0</v>
      </c>
      <c r="E35" s="143">
        <f>SUM($D$3:D35)</f>
        <v>40534</v>
      </c>
      <c r="F35" s="155">
        <f t="shared" si="1"/>
        <v>7</v>
      </c>
    </row>
    <row r="36" spans="1:6" ht="19.5" hidden="1">
      <c r="A36" s="153">
        <f>SUBTOTAL(103,B$4:B36)</f>
        <v>7</v>
      </c>
      <c r="B36" s="364"/>
      <c r="C36" s="169"/>
      <c r="D36" s="142">
        <f t="shared" si="0"/>
        <v>0</v>
      </c>
      <c r="E36" s="143">
        <f>SUM($D$3:D36)</f>
        <v>40534</v>
      </c>
      <c r="F36" s="155">
        <f t="shared" si="1"/>
        <v>7</v>
      </c>
    </row>
    <row r="37" spans="1:6" ht="19.5" hidden="1">
      <c r="A37" s="153">
        <f>SUBTOTAL(103,B$4:B37)</f>
        <v>7</v>
      </c>
      <c r="B37" s="364"/>
      <c r="C37" s="169"/>
      <c r="D37" s="142">
        <f t="shared" si="0"/>
        <v>0</v>
      </c>
      <c r="E37" s="143">
        <f>SUM($D$3:D37)</f>
        <v>40534</v>
      </c>
      <c r="F37" s="155">
        <f t="shared" si="1"/>
        <v>7</v>
      </c>
    </row>
    <row r="38" spans="1:6" ht="19.5" hidden="1">
      <c r="A38" s="153">
        <f>SUBTOTAL(103,B$4:B38)</f>
        <v>7</v>
      </c>
      <c r="B38" s="364"/>
      <c r="C38" s="169"/>
      <c r="D38" s="142">
        <f t="shared" si="0"/>
        <v>0</v>
      </c>
      <c r="E38" s="143">
        <f>SUM($D$3:D38)</f>
        <v>40534</v>
      </c>
      <c r="F38" s="155">
        <f t="shared" si="1"/>
        <v>7</v>
      </c>
    </row>
    <row r="39" spans="1:6" ht="19.5" hidden="1">
      <c r="A39" s="153">
        <f>SUBTOTAL(103,B$4:B39)</f>
        <v>7</v>
      </c>
      <c r="B39" s="364"/>
      <c r="C39" s="169"/>
      <c r="D39" s="142">
        <f t="shared" si="0"/>
        <v>0</v>
      </c>
      <c r="E39" s="143">
        <f>SUM($D$3:D39)</f>
        <v>40534</v>
      </c>
      <c r="F39" s="155">
        <f t="shared" si="1"/>
        <v>7</v>
      </c>
    </row>
    <row r="40" spans="1:6" ht="19.5" hidden="1">
      <c r="A40" s="153">
        <f>SUBTOTAL(103,B$4:B40)</f>
        <v>7</v>
      </c>
      <c r="B40" s="364"/>
      <c r="C40" s="169"/>
      <c r="D40" s="142">
        <f t="shared" si="0"/>
        <v>0</v>
      </c>
      <c r="E40" s="143">
        <f>SUM($D$3:D40)</f>
        <v>40534</v>
      </c>
      <c r="F40" s="155">
        <f t="shared" si="1"/>
        <v>7</v>
      </c>
    </row>
    <row r="41" spans="1:6" ht="19.5" hidden="1">
      <c r="A41" s="153">
        <f>SUBTOTAL(103,B$4:B41)</f>
        <v>7</v>
      </c>
      <c r="B41" s="364"/>
      <c r="C41" s="169"/>
      <c r="D41" s="142">
        <f t="shared" si="0"/>
        <v>0</v>
      </c>
      <c r="E41" s="143">
        <f>SUM($D$3:D41)</f>
        <v>40534</v>
      </c>
      <c r="F41" s="155">
        <f t="shared" si="1"/>
        <v>7</v>
      </c>
    </row>
    <row r="42" spans="1:6" ht="19.5" hidden="1">
      <c r="A42" s="153">
        <f>SUBTOTAL(103,B$4:B42)</f>
        <v>7</v>
      </c>
      <c r="B42" s="364"/>
      <c r="C42" s="169"/>
      <c r="D42" s="142">
        <f t="shared" si="0"/>
        <v>0</v>
      </c>
      <c r="E42" s="143">
        <f>SUM($D$3:D42)</f>
        <v>40534</v>
      </c>
      <c r="F42" s="155">
        <f t="shared" si="1"/>
        <v>7</v>
      </c>
    </row>
    <row r="43" spans="1:6" ht="19.5" hidden="1">
      <c r="A43" s="153">
        <f>SUBTOTAL(103,B$4:B43)</f>
        <v>7</v>
      </c>
      <c r="B43" s="364"/>
      <c r="C43" s="169"/>
      <c r="D43" s="142">
        <f t="shared" si="0"/>
        <v>0</v>
      </c>
      <c r="E43" s="143">
        <f>SUM($D$3:D43)</f>
        <v>40534</v>
      </c>
      <c r="F43" s="155">
        <f t="shared" si="1"/>
        <v>7</v>
      </c>
    </row>
    <row r="44" spans="1:6" ht="19.5" hidden="1">
      <c r="A44" s="153">
        <f>SUBTOTAL(103,B$4:B44)</f>
        <v>7</v>
      </c>
      <c r="B44" s="364"/>
      <c r="C44" s="169"/>
      <c r="D44" s="142">
        <f t="shared" si="0"/>
        <v>0</v>
      </c>
      <c r="E44" s="143">
        <f>SUM($D$3:D44)</f>
        <v>40534</v>
      </c>
      <c r="F44" s="155">
        <f t="shared" si="1"/>
        <v>7</v>
      </c>
    </row>
    <row r="45" spans="1:6" ht="19.5" hidden="1">
      <c r="A45" s="153">
        <f>SUBTOTAL(103,B$4:B45)</f>
        <v>7</v>
      </c>
      <c r="B45" s="364"/>
      <c r="C45" s="169"/>
      <c r="D45" s="142">
        <f t="shared" si="0"/>
        <v>0</v>
      </c>
      <c r="E45" s="143">
        <f>SUM($D$3:D45)</f>
        <v>40534</v>
      </c>
      <c r="F45" s="155">
        <f t="shared" si="1"/>
        <v>7</v>
      </c>
    </row>
    <row r="46" spans="1:6" ht="19.5" hidden="1">
      <c r="A46" s="153">
        <f>SUBTOTAL(103,B$4:B46)</f>
        <v>7</v>
      </c>
      <c r="B46" s="364"/>
      <c r="C46" s="169"/>
      <c r="D46" s="142">
        <f t="shared" si="0"/>
        <v>0</v>
      </c>
      <c r="E46" s="143">
        <f>SUM($D$3:D46)</f>
        <v>40534</v>
      </c>
      <c r="F46" s="155">
        <f t="shared" si="1"/>
        <v>7</v>
      </c>
    </row>
    <row r="47" spans="1:6" ht="19.5" hidden="1">
      <c r="A47" s="153">
        <f>SUBTOTAL(103,B$4:B47)</f>
        <v>7</v>
      </c>
      <c r="B47" s="364"/>
      <c r="C47" s="169"/>
      <c r="D47" s="142">
        <f t="shared" si="0"/>
        <v>0</v>
      </c>
      <c r="E47" s="143">
        <f>SUM($D$3:D47)</f>
        <v>40534</v>
      </c>
      <c r="F47" s="155">
        <f t="shared" si="1"/>
        <v>7</v>
      </c>
    </row>
    <row r="48" spans="1:6" ht="19.5" hidden="1">
      <c r="A48" s="153">
        <f>SUBTOTAL(103,B$4:B48)</f>
        <v>7</v>
      </c>
      <c r="B48" s="364"/>
      <c r="C48" s="169"/>
      <c r="D48" s="142">
        <f t="shared" si="0"/>
        <v>0</v>
      </c>
      <c r="E48" s="143">
        <f>SUM($D$3:D48)</f>
        <v>40534</v>
      </c>
      <c r="F48" s="155">
        <f t="shared" si="1"/>
        <v>7</v>
      </c>
    </row>
    <row r="49" spans="1:6" ht="19.5" hidden="1">
      <c r="A49" s="153">
        <f>SUBTOTAL(103,B$4:B49)</f>
        <v>7</v>
      </c>
      <c r="B49" s="364"/>
      <c r="C49" s="169"/>
      <c r="D49" s="142">
        <f t="shared" si="0"/>
        <v>0</v>
      </c>
      <c r="E49" s="143">
        <f>SUM($D$3:D49)</f>
        <v>40534</v>
      </c>
      <c r="F49" s="155">
        <f t="shared" si="1"/>
        <v>7</v>
      </c>
    </row>
    <row r="50" spans="1:6" ht="19.5" hidden="1">
      <c r="A50" s="153">
        <f>SUBTOTAL(103,B$4:B50)</f>
        <v>7</v>
      </c>
      <c r="B50" s="126"/>
      <c r="C50" s="169"/>
      <c r="D50" s="142">
        <f t="shared" si="0"/>
        <v>0</v>
      </c>
      <c r="E50" s="143">
        <f>SUM($D$3:D50)</f>
        <v>40534</v>
      </c>
      <c r="F50" s="155">
        <f t="shared" si="1"/>
        <v>7</v>
      </c>
    </row>
    <row r="51" spans="1:6" ht="19.5">
      <c r="A51" s="153"/>
      <c r="B51" s="135" t="s">
        <v>235</v>
      </c>
      <c r="C51" s="136">
        <f>SUM(C4:C50)</f>
        <v>40534</v>
      </c>
    </row>
    <row r="52" spans="1:6" ht="19.5">
      <c r="A52" s="502" t="s">
        <v>559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498" t="s">
        <v>237</v>
      </c>
      <c r="B1" s="498"/>
      <c r="C1" s="498"/>
      <c r="G1" s="127">
        <f>P!P3</f>
        <v>45959</v>
      </c>
    </row>
    <row r="2" spans="1:7" ht="31.5" customHeight="1">
      <c r="A2" s="505" t="s">
        <v>483</v>
      </c>
      <c r="B2" s="505"/>
      <c r="C2" s="505"/>
      <c r="F2" s="139"/>
      <c r="G2" s="140"/>
    </row>
    <row r="3" spans="1:7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7">
      <c r="A4" s="153">
        <f>SUBTOTAL(103,B$4:B4)</f>
        <v>1</v>
      </c>
      <c r="B4" s="411" t="s">
        <v>484</v>
      </c>
      <c r="C4" s="169">
        <v>10308</v>
      </c>
      <c r="D4" s="130">
        <f t="shared" ref="D4:D50" si="0">C4</f>
        <v>10308</v>
      </c>
      <c r="E4" s="143">
        <f>SUM($D$3:D4)</f>
        <v>10308</v>
      </c>
      <c r="F4" s="158">
        <f>A4</f>
        <v>1</v>
      </c>
    </row>
    <row r="5" spans="1:7">
      <c r="A5" s="153">
        <f>SUBTOTAL(103,B$4:B5)</f>
        <v>2</v>
      </c>
      <c r="B5" s="411" t="s">
        <v>227</v>
      </c>
      <c r="C5" s="169">
        <v>4775</v>
      </c>
      <c r="D5" s="130">
        <f t="shared" si="0"/>
        <v>4775</v>
      </c>
      <c r="E5" s="143">
        <f>SUM($D$3:D5)</f>
        <v>15083</v>
      </c>
      <c r="F5" s="158">
        <f t="shared" ref="F5:F16" si="1">A5</f>
        <v>2</v>
      </c>
    </row>
    <row r="6" spans="1:7">
      <c r="A6" s="153">
        <f>SUBTOTAL(103,B$4:B6)</f>
        <v>3</v>
      </c>
      <c r="B6" s="411" t="s">
        <v>485</v>
      </c>
      <c r="C6" s="169">
        <v>3596</v>
      </c>
      <c r="D6" s="130">
        <f t="shared" si="0"/>
        <v>3596</v>
      </c>
      <c r="E6" s="143">
        <f>SUM($D$3:D6)</f>
        <v>18679</v>
      </c>
      <c r="F6" s="158">
        <f t="shared" si="1"/>
        <v>3</v>
      </c>
    </row>
    <row r="7" spans="1:7">
      <c r="A7" s="153">
        <f>SUBTOTAL(103,B$4:B7)</f>
        <v>4</v>
      </c>
      <c r="B7" s="411" t="s">
        <v>485</v>
      </c>
      <c r="C7" s="169">
        <v>1836</v>
      </c>
      <c r="D7" s="130">
        <f t="shared" si="0"/>
        <v>1836</v>
      </c>
      <c r="E7" s="143">
        <f>SUM($D$3:D7)</f>
        <v>20515</v>
      </c>
      <c r="F7" s="158">
        <f t="shared" si="1"/>
        <v>4</v>
      </c>
    </row>
    <row r="8" spans="1:7">
      <c r="A8" s="153">
        <f>SUBTOTAL(103,B$4:B8)</f>
        <v>5</v>
      </c>
      <c r="B8" s="411" t="s">
        <v>532</v>
      </c>
      <c r="C8" s="169">
        <v>200</v>
      </c>
      <c r="D8" s="130">
        <f t="shared" si="0"/>
        <v>200</v>
      </c>
      <c r="E8" s="143">
        <f>SUM($D$3:D8)</f>
        <v>20715</v>
      </c>
      <c r="F8" s="158">
        <f t="shared" si="1"/>
        <v>5</v>
      </c>
    </row>
    <row r="9" spans="1:7">
      <c r="A9" s="153">
        <f>SUBTOTAL(103,B$4:B9)</f>
        <v>6</v>
      </c>
      <c r="B9" s="411" t="s">
        <v>533</v>
      </c>
      <c r="C9" s="169">
        <v>15000</v>
      </c>
      <c r="D9" s="130">
        <f t="shared" si="0"/>
        <v>15000</v>
      </c>
      <c r="E9" s="143">
        <f>SUM($D$3:D9)</f>
        <v>35715</v>
      </c>
      <c r="F9" s="158">
        <f t="shared" si="1"/>
        <v>6</v>
      </c>
    </row>
    <row r="10" spans="1:7">
      <c r="A10" s="153">
        <f>SUBTOTAL(103,B$4:B10)</f>
        <v>7</v>
      </c>
      <c r="B10" s="411" t="s">
        <v>534</v>
      </c>
      <c r="C10" s="169">
        <v>3600</v>
      </c>
      <c r="D10" s="130">
        <f t="shared" si="0"/>
        <v>3600</v>
      </c>
      <c r="E10" s="143">
        <f>SUM($D$3:D10)</f>
        <v>39315</v>
      </c>
      <c r="F10" s="158">
        <f t="shared" si="1"/>
        <v>7</v>
      </c>
    </row>
    <row r="11" spans="1:7">
      <c r="A11" s="153">
        <f>SUBTOTAL(103,B$4:B11)</f>
        <v>8</v>
      </c>
      <c r="B11" s="126" t="s">
        <v>489</v>
      </c>
      <c r="C11" s="169">
        <v>1044</v>
      </c>
      <c r="D11" s="130">
        <f t="shared" si="0"/>
        <v>1044</v>
      </c>
      <c r="E11" s="143">
        <f>SUM($D$3:D11)</f>
        <v>40359</v>
      </c>
      <c r="F11" s="158">
        <f t="shared" si="1"/>
        <v>8</v>
      </c>
    </row>
    <row r="12" spans="1:7">
      <c r="A12" s="153">
        <f>SUBTOTAL(103,B$4:B12)</f>
        <v>9</v>
      </c>
      <c r="B12" s="126" t="s">
        <v>490</v>
      </c>
      <c r="C12" s="169">
        <v>3600</v>
      </c>
      <c r="D12" s="130">
        <f t="shared" si="0"/>
        <v>3600</v>
      </c>
      <c r="E12" s="143">
        <f>SUM($D$3:D12)</f>
        <v>43959</v>
      </c>
      <c r="F12" s="158">
        <f t="shared" si="1"/>
        <v>9</v>
      </c>
    </row>
    <row r="13" spans="1:7" hidden="1">
      <c r="A13" s="153">
        <f>SUBTOTAL(103,B$4:B13)</f>
        <v>9</v>
      </c>
      <c r="B13" s="362"/>
      <c r="C13" s="169"/>
      <c r="D13" s="130">
        <f t="shared" si="0"/>
        <v>0</v>
      </c>
      <c r="E13" s="143">
        <f>SUM($D$3:D13)</f>
        <v>43959</v>
      </c>
      <c r="F13" s="158">
        <f t="shared" si="1"/>
        <v>9</v>
      </c>
    </row>
    <row r="14" spans="1:7" hidden="1">
      <c r="A14" s="153">
        <f>SUBTOTAL(103,B$4:B14)</f>
        <v>9</v>
      </c>
      <c r="B14" s="126"/>
      <c r="C14" s="169"/>
      <c r="D14" s="130">
        <f t="shared" si="0"/>
        <v>0</v>
      </c>
      <c r="E14" s="143">
        <f>SUM($D$3:D14)</f>
        <v>43959</v>
      </c>
      <c r="F14" s="158">
        <f t="shared" si="1"/>
        <v>9</v>
      </c>
    </row>
    <row r="15" spans="1:7" hidden="1">
      <c r="A15" s="153">
        <f>SUBTOTAL(103,B$4:B15)</f>
        <v>9</v>
      </c>
      <c r="B15" s="170"/>
      <c r="C15" s="136"/>
      <c r="D15" s="130">
        <f t="shared" si="0"/>
        <v>0</v>
      </c>
      <c r="E15" s="143">
        <f>SUM($D$3:D15)</f>
        <v>43959</v>
      </c>
      <c r="F15" s="158">
        <f t="shared" si="1"/>
        <v>9</v>
      </c>
    </row>
    <row r="16" spans="1:7" hidden="1">
      <c r="A16" s="153">
        <f>SUBTOTAL(103,B$4:B16)</f>
        <v>9</v>
      </c>
      <c r="B16" s="126"/>
      <c r="C16" s="169"/>
      <c r="D16" s="130">
        <f t="shared" si="0"/>
        <v>0</v>
      </c>
      <c r="E16" s="143">
        <f>SUM($D$3:D16)</f>
        <v>43959</v>
      </c>
      <c r="F16" s="158">
        <f t="shared" si="1"/>
        <v>9</v>
      </c>
    </row>
    <row r="17" spans="1:6" hidden="1">
      <c r="A17" s="153">
        <f>SUBTOTAL(103,B$4:B17)</f>
        <v>9</v>
      </c>
      <c r="B17" s="126"/>
      <c r="C17" s="169"/>
      <c r="D17" s="130">
        <f t="shared" si="0"/>
        <v>0</v>
      </c>
      <c r="E17" s="143">
        <f>SUM($D$3:D17)</f>
        <v>43959</v>
      </c>
      <c r="F17" s="158">
        <f t="shared" ref="F17:F50" si="2">A17</f>
        <v>9</v>
      </c>
    </row>
    <row r="18" spans="1:6" hidden="1">
      <c r="A18" s="153">
        <f>SUBTOTAL(103,B$4:B18)</f>
        <v>9</v>
      </c>
      <c r="B18" s="126"/>
      <c r="C18" s="169"/>
      <c r="D18" s="130">
        <f t="shared" si="0"/>
        <v>0</v>
      </c>
      <c r="E18" s="143">
        <f>SUM($D$3:D18)</f>
        <v>43959</v>
      </c>
      <c r="F18" s="158">
        <f t="shared" si="2"/>
        <v>9</v>
      </c>
    </row>
    <row r="19" spans="1:6" hidden="1">
      <c r="A19" s="153">
        <f>SUBTOTAL(103,B$4:B19)</f>
        <v>9</v>
      </c>
      <c r="B19" s="126"/>
      <c r="C19" s="169"/>
      <c r="D19" s="130">
        <f t="shared" si="0"/>
        <v>0</v>
      </c>
      <c r="E19" s="143">
        <f>SUM($D$3:D19)</f>
        <v>43959</v>
      </c>
      <c r="F19" s="158">
        <f t="shared" si="2"/>
        <v>9</v>
      </c>
    </row>
    <row r="20" spans="1:6" hidden="1">
      <c r="A20" s="153">
        <f>SUBTOTAL(103,B$4:B20)</f>
        <v>9</v>
      </c>
      <c r="B20" s="126"/>
      <c r="C20" s="169"/>
      <c r="D20" s="130">
        <f t="shared" si="0"/>
        <v>0</v>
      </c>
      <c r="E20" s="143">
        <f>SUM($D$3:D20)</f>
        <v>43959</v>
      </c>
      <c r="F20" s="158">
        <f t="shared" si="2"/>
        <v>9</v>
      </c>
    </row>
    <row r="21" spans="1:6" hidden="1">
      <c r="A21" s="153">
        <f>SUBTOTAL(103,B$4:B21)</f>
        <v>9</v>
      </c>
      <c r="B21" s="126"/>
      <c r="C21" s="169"/>
      <c r="D21" s="130">
        <f t="shared" si="0"/>
        <v>0</v>
      </c>
      <c r="E21" s="143">
        <f>SUM($D$3:D21)</f>
        <v>43959</v>
      </c>
      <c r="F21" s="158">
        <f t="shared" si="2"/>
        <v>9</v>
      </c>
    </row>
    <row r="22" spans="1:6" hidden="1">
      <c r="A22" s="153">
        <f>SUBTOTAL(103,B$4:B22)</f>
        <v>9</v>
      </c>
      <c r="B22" s="126"/>
      <c r="C22" s="169"/>
      <c r="D22" s="130">
        <f t="shared" si="0"/>
        <v>0</v>
      </c>
      <c r="E22" s="143">
        <f>SUM($D$3:D22)</f>
        <v>43959</v>
      </c>
      <c r="F22" s="158">
        <f t="shared" si="2"/>
        <v>9</v>
      </c>
    </row>
    <row r="23" spans="1:6" hidden="1">
      <c r="A23" s="153">
        <f>SUBTOTAL(103,B$4:B23)</f>
        <v>9</v>
      </c>
      <c r="B23" s="126"/>
      <c r="C23" s="169"/>
      <c r="D23" s="130">
        <f t="shared" si="0"/>
        <v>0</v>
      </c>
      <c r="E23" s="143">
        <f>SUM($D$3:D23)</f>
        <v>43959</v>
      </c>
      <c r="F23" s="158">
        <f t="shared" si="2"/>
        <v>9</v>
      </c>
    </row>
    <row r="24" spans="1:6" hidden="1">
      <c r="A24" s="153">
        <f>SUBTOTAL(103,B$4:B24)</f>
        <v>9</v>
      </c>
      <c r="B24" s="126"/>
      <c r="C24" s="169"/>
      <c r="D24" s="130">
        <f t="shared" si="0"/>
        <v>0</v>
      </c>
      <c r="E24" s="143">
        <f>SUM($D$3:D24)</f>
        <v>43959</v>
      </c>
      <c r="F24" s="158">
        <f t="shared" si="2"/>
        <v>9</v>
      </c>
    </row>
    <row r="25" spans="1:6" hidden="1">
      <c r="A25" s="153">
        <f>SUBTOTAL(103,B$4:B25)</f>
        <v>9</v>
      </c>
      <c r="B25" s="126"/>
      <c r="C25" s="169"/>
      <c r="D25" s="130">
        <f t="shared" si="0"/>
        <v>0</v>
      </c>
      <c r="E25" s="143">
        <f>SUM($D$3:D25)</f>
        <v>43959</v>
      </c>
      <c r="F25" s="158">
        <f t="shared" si="2"/>
        <v>9</v>
      </c>
    </row>
    <row r="26" spans="1:6" hidden="1">
      <c r="A26" s="153">
        <f>SUBTOTAL(103,B$4:B26)</f>
        <v>9</v>
      </c>
      <c r="B26" s="126"/>
      <c r="C26" s="169"/>
      <c r="D26" s="130">
        <f t="shared" si="0"/>
        <v>0</v>
      </c>
      <c r="E26" s="143">
        <f>SUM($D$3:D26)</f>
        <v>43959</v>
      </c>
      <c r="F26" s="158">
        <f t="shared" si="2"/>
        <v>9</v>
      </c>
    </row>
    <row r="27" spans="1:6" hidden="1">
      <c r="A27" s="153">
        <f>SUBTOTAL(103,B$4:B27)</f>
        <v>9</v>
      </c>
      <c r="B27" s="126"/>
      <c r="C27" s="169"/>
      <c r="D27" s="130">
        <f t="shared" si="0"/>
        <v>0</v>
      </c>
      <c r="E27" s="143">
        <f>SUM($D$3:D27)</f>
        <v>43959</v>
      </c>
      <c r="F27" s="158">
        <f t="shared" si="2"/>
        <v>9</v>
      </c>
    </row>
    <row r="28" spans="1:6" hidden="1">
      <c r="A28" s="153">
        <f>SUBTOTAL(103,B$4:B28)</f>
        <v>9</v>
      </c>
      <c r="B28" s="126"/>
      <c r="C28" s="169"/>
      <c r="D28" s="130">
        <f t="shared" si="0"/>
        <v>0</v>
      </c>
      <c r="E28" s="143">
        <f>SUM($D$3:D28)</f>
        <v>43959</v>
      </c>
      <c r="F28" s="158">
        <f t="shared" si="2"/>
        <v>9</v>
      </c>
    </row>
    <row r="29" spans="1:6" hidden="1">
      <c r="A29" s="153">
        <f>SUBTOTAL(103,B$4:B29)</f>
        <v>9</v>
      </c>
      <c r="B29" s="126"/>
      <c r="C29" s="169"/>
      <c r="D29" s="130">
        <f t="shared" si="0"/>
        <v>0</v>
      </c>
      <c r="E29" s="143">
        <f>SUM($D$3:D29)</f>
        <v>43959</v>
      </c>
      <c r="F29" s="158">
        <f t="shared" si="2"/>
        <v>9</v>
      </c>
    </row>
    <row r="30" spans="1:6" hidden="1">
      <c r="A30" s="153">
        <f>SUBTOTAL(103,B$4:B30)</f>
        <v>9</v>
      </c>
      <c r="B30" s="126"/>
      <c r="C30" s="169"/>
      <c r="D30" s="130">
        <f t="shared" si="0"/>
        <v>0</v>
      </c>
      <c r="E30" s="143">
        <f>SUM($D$3:D30)</f>
        <v>43959</v>
      </c>
      <c r="F30" s="158">
        <f t="shared" si="2"/>
        <v>9</v>
      </c>
    </row>
    <row r="31" spans="1:6" hidden="1">
      <c r="A31" s="153">
        <f>SUBTOTAL(103,B$4:B31)</f>
        <v>9</v>
      </c>
      <c r="B31" s="126"/>
      <c r="C31" s="169"/>
      <c r="D31" s="130">
        <f t="shared" si="0"/>
        <v>0</v>
      </c>
      <c r="E31" s="143">
        <f>SUM($D$3:D31)</f>
        <v>43959</v>
      </c>
      <c r="F31" s="158">
        <f t="shared" si="2"/>
        <v>9</v>
      </c>
    </row>
    <row r="32" spans="1:6" hidden="1">
      <c r="A32" s="153">
        <f>SUBTOTAL(103,B$4:B32)</f>
        <v>9</v>
      </c>
      <c r="B32" s="126"/>
      <c r="C32" s="169"/>
      <c r="D32" s="130">
        <f t="shared" si="0"/>
        <v>0</v>
      </c>
      <c r="E32" s="143">
        <f>SUM($D$3:D32)</f>
        <v>43959</v>
      </c>
      <c r="F32" s="158">
        <f t="shared" si="2"/>
        <v>9</v>
      </c>
    </row>
    <row r="33" spans="1:6" hidden="1">
      <c r="A33" s="153">
        <f>SUBTOTAL(103,B$4:B33)</f>
        <v>9</v>
      </c>
      <c r="B33" s="126"/>
      <c r="C33" s="169"/>
      <c r="D33" s="130">
        <f t="shared" si="0"/>
        <v>0</v>
      </c>
      <c r="E33" s="143">
        <f>SUM($D$3:D33)</f>
        <v>43959</v>
      </c>
      <c r="F33" s="158">
        <f t="shared" si="2"/>
        <v>9</v>
      </c>
    </row>
    <row r="34" spans="1:6" hidden="1">
      <c r="A34" s="153">
        <f>SUBTOTAL(103,B$4:B34)</f>
        <v>9</v>
      </c>
      <c r="B34" s="126"/>
      <c r="C34" s="169"/>
      <c r="D34" s="130">
        <f t="shared" si="0"/>
        <v>0</v>
      </c>
      <c r="E34" s="143">
        <f>SUM($D$3:D34)</f>
        <v>43959</v>
      </c>
      <c r="F34" s="158">
        <f t="shared" si="2"/>
        <v>9</v>
      </c>
    </row>
    <row r="35" spans="1:6" hidden="1">
      <c r="A35" s="153">
        <f>SUBTOTAL(103,B$4:B35)</f>
        <v>9</v>
      </c>
      <c r="B35" s="126"/>
      <c r="C35" s="169"/>
      <c r="D35" s="130">
        <f t="shared" si="0"/>
        <v>0</v>
      </c>
      <c r="E35" s="143">
        <f>SUM($D$3:D35)</f>
        <v>43959</v>
      </c>
      <c r="F35" s="158">
        <f t="shared" si="2"/>
        <v>9</v>
      </c>
    </row>
    <row r="36" spans="1:6" hidden="1">
      <c r="A36" s="153">
        <f>SUBTOTAL(103,B$4:B36)</f>
        <v>9</v>
      </c>
      <c r="B36" s="126"/>
      <c r="C36" s="169"/>
      <c r="D36" s="130">
        <f t="shared" si="0"/>
        <v>0</v>
      </c>
      <c r="E36" s="143">
        <f>SUM($D$3:D36)</f>
        <v>43959</v>
      </c>
      <c r="F36" s="158">
        <f t="shared" si="2"/>
        <v>9</v>
      </c>
    </row>
    <row r="37" spans="1:6" hidden="1">
      <c r="A37" s="153">
        <f>SUBTOTAL(103,B$4:B37)</f>
        <v>9</v>
      </c>
      <c r="B37" s="126"/>
      <c r="C37" s="169"/>
      <c r="D37" s="130">
        <f t="shared" si="0"/>
        <v>0</v>
      </c>
      <c r="E37" s="143">
        <f>SUM($D$3:D37)</f>
        <v>43959</v>
      </c>
      <c r="F37" s="158">
        <f t="shared" si="2"/>
        <v>9</v>
      </c>
    </row>
    <row r="38" spans="1:6" hidden="1">
      <c r="A38" s="153">
        <f>SUBTOTAL(103,B$4:B38)</f>
        <v>9</v>
      </c>
      <c r="B38" s="126"/>
      <c r="C38" s="169"/>
      <c r="D38" s="130">
        <f t="shared" si="0"/>
        <v>0</v>
      </c>
      <c r="E38" s="143">
        <f>SUM($D$3:D38)</f>
        <v>43959</v>
      </c>
      <c r="F38" s="158">
        <f t="shared" si="2"/>
        <v>9</v>
      </c>
    </row>
    <row r="39" spans="1:6" hidden="1">
      <c r="A39" s="153">
        <f>SUBTOTAL(103,B$4:B39)</f>
        <v>9</v>
      </c>
      <c r="B39" s="364"/>
      <c r="C39" s="169"/>
      <c r="D39" s="130">
        <f t="shared" si="0"/>
        <v>0</v>
      </c>
      <c r="E39" s="143">
        <f>SUM($D$3:D39)</f>
        <v>43959</v>
      </c>
      <c r="F39" s="158">
        <f t="shared" si="2"/>
        <v>9</v>
      </c>
    </row>
    <row r="40" spans="1:6" hidden="1">
      <c r="A40" s="153">
        <f>SUBTOTAL(103,B$4:B40)</f>
        <v>9</v>
      </c>
      <c r="B40" s="364"/>
      <c r="C40" s="169"/>
      <c r="D40" s="130">
        <f t="shared" si="0"/>
        <v>0</v>
      </c>
      <c r="E40" s="143">
        <f>SUM($D$3:D40)</f>
        <v>43959</v>
      </c>
      <c r="F40" s="158">
        <f t="shared" si="2"/>
        <v>9</v>
      </c>
    </row>
    <row r="41" spans="1:6" hidden="1">
      <c r="A41" s="153">
        <f>SUBTOTAL(103,B$4:B41)</f>
        <v>9</v>
      </c>
      <c r="B41" s="364"/>
      <c r="C41" s="169"/>
      <c r="D41" s="130">
        <f t="shared" si="0"/>
        <v>0</v>
      </c>
      <c r="E41" s="143">
        <f>SUM($D$3:D41)</f>
        <v>43959</v>
      </c>
      <c r="F41" s="158">
        <f t="shared" si="2"/>
        <v>9</v>
      </c>
    </row>
    <row r="42" spans="1:6" hidden="1">
      <c r="A42" s="153">
        <f>SUBTOTAL(103,B$4:B42)</f>
        <v>9</v>
      </c>
      <c r="B42" s="364"/>
      <c r="C42" s="169"/>
      <c r="D42" s="130">
        <f t="shared" si="0"/>
        <v>0</v>
      </c>
      <c r="E42" s="143">
        <f>SUM($D$3:D42)</f>
        <v>43959</v>
      </c>
      <c r="F42" s="158">
        <f t="shared" si="2"/>
        <v>9</v>
      </c>
    </row>
    <row r="43" spans="1:6" hidden="1">
      <c r="A43" s="153">
        <f>SUBTOTAL(103,B$4:B43)</f>
        <v>9</v>
      </c>
      <c r="B43" s="364"/>
      <c r="C43" s="169"/>
      <c r="D43" s="130">
        <f t="shared" si="0"/>
        <v>0</v>
      </c>
      <c r="E43" s="143">
        <f>SUM($D$3:D43)</f>
        <v>43959</v>
      </c>
      <c r="F43" s="158">
        <f t="shared" si="2"/>
        <v>9</v>
      </c>
    </row>
    <row r="44" spans="1:6" hidden="1">
      <c r="A44" s="153">
        <f>SUBTOTAL(103,B$4:B44)</f>
        <v>9</v>
      </c>
      <c r="B44" s="364"/>
      <c r="C44" s="169"/>
      <c r="D44" s="130">
        <f t="shared" si="0"/>
        <v>0</v>
      </c>
      <c r="E44" s="143">
        <f>SUM($D$3:D44)</f>
        <v>43959</v>
      </c>
      <c r="F44" s="158">
        <f t="shared" si="2"/>
        <v>9</v>
      </c>
    </row>
    <row r="45" spans="1:6" hidden="1">
      <c r="A45" s="153">
        <f>SUBTOTAL(103,B$4:B45)</f>
        <v>9</v>
      </c>
      <c r="B45" s="364"/>
      <c r="C45" s="169"/>
      <c r="D45" s="130">
        <f t="shared" si="0"/>
        <v>0</v>
      </c>
      <c r="E45" s="143">
        <f>SUM($D$3:D45)</f>
        <v>43959</v>
      </c>
      <c r="F45" s="158">
        <f t="shared" si="2"/>
        <v>9</v>
      </c>
    </row>
    <row r="46" spans="1:6" hidden="1">
      <c r="A46" s="153">
        <f>SUBTOTAL(103,B$4:B46)</f>
        <v>9</v>
      </c>
      <c r="B46" s="364"/>
      <c r="C46" s="169"/>
      <c r="D46" s="130">
        <f t="shared" si="0"/>
        <v>0</v>
      </c>
      <c r="E46" s="143">
        <f>SUM($D$3:D46)</f>
        <v>43959</v>
      </c>
      <c r="F46" s="158">
        <f t="shared" si="2"/>
        <v>9</v>
      </c>
    </row>
    <row r="47" spans="1:6" hidden="1">
      <c r="A47" s="153">
        <f>SUBTOTAL(103,B$4:B47)</f>
        <v>9</v>
      </c>
      <c r="B47" s="364"/>
      <c r="C47" s="169"/>
      <c r="D47" s="130">
        <f t="shared" si="0"/>
        <v>0</v>
      </c>
      <c r="E47" s="143">
        <f>SUM($D$3:D47)</f>
        <v>43959</v>
      </c>
      <c r="F47" s="158">
        <f t="shared" si="2"/>
        <v>9</v>
      </c>
    </row>
    <row r="48" spans="1:6" hidden="1">
      <c r="A48" s="153">
        <f>SUBTOTAL(103,B$4:B48)</f>
        <v>9</v>
      </c>
      <c r="B48" s="364"/>
      <c r="C48" s="169"/>
      <c r="D48" s="130">
        <f t="shared" si="0"/>
        <v>0</v>
      </c>
      <c r="E48" s="143">
        <f>SUM($D$3:D48)</f>
        <v>43959</v>
      </c>
      <c r="F48" s="158">
        <f t="shared" si="2"/>
        <v>9</v>
      </c>
    </row>
    <row r="49" spans="1:6" hidden="1">
      <c r="A49" s="153">
        <f>SUBTOTAL(103,B$4:B49)</f>
        <v>9</v>
      </c>
      <c r="B49" s="364"/>
      <c r="C49" s="169"/>
      <c r="D49" s="130">
        <f t="shared" si="0"/>
        <v>0</v>
      </c>
      <c r="E49" s="143">
        <f>SUM($D$3:D49)</f>
        <v>43959</v>
      </c>
      <c r="F49" s="158">
        <f t="shared" si="2"/>
        <v>9</v>
      </c>
    </row>
    <row r="50" spans="1:6" hidden="1">
      <c r="A50" s="153">
        <f>SUBTOTAL(103,B$4:B50)</f>
        <v>9</v>
      </c>
      <c r="B50" s="126"/>
      <c r="C50" s="169"/>
      <c r="D50" s="130">
        <f t="shared" si="0"/>
        <v>0</v>
      </c>
      <c r="E50" s="143">
        <f>SUM($D$3:D50)</f>
        <v>43959</v>
      </c>
      <c r="F50" s="158">
        <f t="shared" si="2"/>
        <v>9</v>
      </c>
    </row>
    <row r="51" spans="1:6">
      <c r="A51" s="153"/>
      <c r="B51" s="135" t="s">
        <v>235</v>
      </c>
      <c r="C51" s="136">
        <f>SUM(C4:C50)</f>
        <v>43959</v>
      </c>
      <c r="D51"/>
      <c r="E51"/>
      <c r="F51" s="158"/>
    </row>
    <row r="52" spans="1:6">
      <c r="A52" s="502" t="s">
        <v>560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P!R3</f>
        <v>45960</v>
      </c>
    </row>
    <row r="2" spans="1:7" ht="34.5" customHeight="1">
      <c r="A2" s="505" t="s">
        <v>535</v>
      </c>
      <c r="B2" s="505"/>
      <c r="C2" s="505"/>
      <c r="F2" s="367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68"/>
    </row>
    <row r="4" spans="1:7">
      <c r="A4" s="153">
        <f>SUBTOTAL(103,B$4:B4)</f>
        <v>1</v>
      </c>
      <c r="B4" s="126" t="s">
        <v>484</v>
      </c>
      <c r="C4" s="169">
        <v>20254</v>
      </c>
      <c r="D4" s="161">
        <f t="shared" ref="D4:D8" si="0">C4</f>
        <v>20254</v>
      </c>
      <c r="E4" s="163">
        <f>SUM($D$3:D4)</f>
        <v>20254</v>
      </c>
      <c r="F4" s="369">
        <f>A4</f>
        <v>1</v>
      </c>
    </row>
    <row r="5" spans="1:7">
      <c r="A5" s="153">
        <f>SUBTOTAL(103,B$4:B5)</f>
        <v>2</v>
      </c>
      <c r="B5" s="126" t="s">
        <v>227</v>
      </c>
      <c r="C5" s="169">
        <v>36371</v>
      </c>
      <c r="D5" s="161">
        <f t="shared" si="0"/>
        <v>36371</v>
      </c>
      <c r="E5" s="163">
        <f>SUM($D$3:D5)</f>
        <v>56625</v>
      </c>
      <c r="F5" s="369">
        <f t="shared" ref="F5:F50" si="1">A5</f>
        <v>2</v>
      </c>
    </row>
    <row r="6" spans="1:7">
      <c r="A6" s="153">
        <f>SUBTOTAL(103,B$4:B6)</f>
        <v>3</v>
      </c>
      <c r="B6" s="126" t="s">
        <v>536</v>
      </c>
      <c r="C6" s="169">
        <v>4400</v>
      </c>
      <c r="D6" s="161">
        <f t="shared" si="0"/>
        <v>4400</v>
      </c>
      <c r="E6" s="163">
        <f>SUM($D$3:D6)</f>
        <v>61025</v>
      </c>
      <c r="F6" s="369">
        <f t="shared" si="1"/>
        <v>3</v>
      </c>
    </row>
    <row r="7" spans="1:7">
      <c r="A7" s="153">
        <f>SUBTOTAL(103,B$4:B7)</f>
        <v>4</v>
      </c>
      <c r="B7" s="126" t="s">
        <v>485</v>
      </c>
      <c r="C7" s="169">
        <v>19035</v>
      </c>
      <c r="D7" s="161">
        <f t="shared" si="0"/>
        <v>19035</v>
      </c>
      <c r="E7" s="163">
        <f>SUM($D$3:D7)</f>
        <v>80060</v>
      </c>
      <c r="F7" s="369">
        <f t="shared" si="1"/>
        <v>4</v>
      </c>
    </row>
    <row r="8" spans="1:7">
      <c r="A8" s="153">
        <f>SUBTOTAL(103,B$4:B8)</f>
        <v>5</v>
      </c>
      <c r="B8" s="280" t="s">
        <v>510</v>
      </c>
      <c r="C8" s="169">
        <v>5304</v>
      </c>
      <c r="D8" s="161">
        <f t="shared" si="0"/>
        <v>5304</v>
      </c>
      <c r="E8" s="163">
        <f>SUM($D$3:D8)</f>
        <v>85364</v>
      </c>
      <c r="F8" s="369">
        <f t="shared" si="1"/>
        <v>5</v>
      </c>
    </row>
    <row r="9" spans="1:7">
      <c r="A9" s="153">
        <f>SUBTOTAL(103,B$4:B9)</f>
        <v>6</v>
      </c>
      <c r="B9" s="280" t="s">
        <v>537</v>
      </c>
      <c r="C9" s="169">
        <v>240</v>
      </c>
      <c r="D9" s="161">
        <f>C9</f>
        <v>240</v>
      </c>
      <c r="E9" s="163">
        <f>SUM($D$3:D9)</f>
        <v>85604</v>
      </c>
      <c r="F9" s="369">
        <f t="shared" si="1"/>
        <v>6</v>
      </c>
    </row>
    <row r="10" spans="1:7">
      <c r="A10" s="153">
        <f>SUBTOTAL(103,B$4:B10)</f>
        <v>7</v>
      </c>
      <c r="B10" s="280" t="s">
        <v>494</v>
      </c>
      <c r="C10" s="169">
        <v>970</v>
      </c>
      <c r="D10" s="161">
        <f>C10</f>
        <v>970</v>
      </c>
      <c r="E10" s="163">
        <f>SUM($D$3:D10)</f>
        <v>86574</v>
      </c>
      <c r="F10" s="369">
        <f t="shared" si="1"/>
        <v>7</v>
      </c>
    </row>
    <row r="11" spans="1:7">
      <c r="A11" s="153">
        <f>SUBTOTAL(103,B$4:B11)</f>
        <v>8</v>
      </c>
      <c r="B11" s="126" t="s">
        <v>538</v>
      </c>
      <c r="C11" s="169">
        <v>4104</v>
      </c>
      <c r="D11" s="161">
        <f>C11</f>
        <v>4104</v>
      </c>
      <c r="E11" s="163">
        <f>SUM($D$3:D11)</f>
        <v>90678</v>
      </c>
      <c r="F11" s="369">
        <f t="shared" si="1"/>
        <v>8</v>
      </c>
    </row>
    <row r="12" spans="1:7">
      <c r="A12" s="153">
        <f>SUBTOTAL(103,B$4:B12)</f>
        <v>9</v>
      </c>
      <c r="B12" s="126" t="s">
        <v>539</v>
      </c>
      <c r="C12" s="169">
        <v>5250</v>
      </c>
      <c r="D12" s="161">
        <f>C12</f>
        <v>5250</v>
      </c>
      <c r="E12" s="163">
        <f>SUM($D$3:D12)</f>
        <v>95928</v>
      </c>
      <c r="F12" s="369">
        <f t="shared" si="1"/>
        <v>9</v>
      </c>
    </row>
    <row r="13" spans="1:7">
      <c r="A13" s="153">
        <f>SUBTOTAL(103,B$4:B13)</f>
        <v>10</v>
      </c>
      <c r="B13" s="126" t="s">
        <v>540</v>
      </c>
      <c r="C13" s="169">
        <v>520</v>
      </c>
      <c r="D13" s="161">
        <f t="shared" ref="D13:D50" si="2">C13</f>
        <v>520</v>
      </c>
      <c r="E13" s="163">
        <f>SUM($D$3:D13)</f>
        <v>96448</v>
      </c>
      <c r="F13" s="369">
        <f t="shared" si="1"/>
        <v>10</v>
      </c>
    </row>
    <row r="14" spans="1:7">
      <c r="A14" s="153">
        <f>SUBTOTAL(103,B$4:B14)</f>
        <v>11</v>
      </c>
      <c r="B14" s="139" t="s">
        <v>541</v>
      </c>
      <c r="C14" s="164">
        <v>2783</v>
      </c>
      <c r="D14" s="161">
        <f t="shared" si="2"/>
        <v>2783</v>
      </c>
      <c r="E14" s="163">
        <f>SUM($D$3:D14)</f>
        <v>99231</v>
      </c>
      <c r="F14" s="369">
        <f t="shared" si="1"/>
        <v>11</v>
      </c>
    </row>
    <row r="15" spans="1:7">
      <c r="A15" s="153">
        <f>SUBTOTAL(103,B$4:B15)</f>
        <v>12</v>
      </c>
      <c r="B15" s="126" t="s">
        <v>542</v>
      </c>
      <c r="C15" s="164">
        <v>2040</v>
      </c>
      <c r="D15" s="161">
        <f t="shared" si="2"/>
        <v>2040</v>
      </c>
      <c r="E15" s="163">
        <f>SUM($D$3:D15)</f>
        <v>101271</v>
      </c>
      <c r="F15" s="369">
        <f t="shared" si="1"/>
        <v>12</v>
      </c>
    </row>
    <row r="16" spans="1:7">
      <c r="A16" s="153">
        <f>SUBTOTAL(103,B$4:B16)</f>
        <v>13</v>
      </c>
      <c r="B16" s="126" t="s">
        <v>498</v>
      </c>
      <c r="C16" s="164">
        <v>2240</v>
      </c>
      <c r="D16" s="161">
        <f t="shared" si="2"/>
        <v>2240</v>
      </c>
      <c r="E16" s="163">
        <f>SUM($D$3:D16)</f>
        <v>103511</v>
      </c>
      <c r="F16" s="369">
        <f t="shared" si="1"/>
        <v>13</v>
      </c>
    </row>
    <row r="17" spans="1:6">
      <c r="A17" s="153">
        <f>SUBTOTAL(103,B$4:B17)</f>
        <v>14</v>
      </c>
      <c r="B17" s="126" t="s">
        <v>543</v>
      </c>
      <c r="C17" s="164">
        <v>7200</v>
      </c>
      <c r="D17" s="161">
        <f t="shared" si="2"/>
        <v>7200</v>
      </c>
      <c r="E17" s="163">
        <f>SUM($D$3:D17)</f>
        <v>110711</v>
      </c>
      <c r="F17" s="369">
        <f t="shared" si="1"/>
        <v>14</v>
      </c>
    </row>
    <row r="18" spans="1:6">
      <c r="A18" s="153">
        <f>SUBTOTAL(103,B$4:B18)</f>
        <v>15</v>
      </c>
      <c r="B18" s="126" t="s">
        <v>228</v>
      </c>
      <c r="C18" s="164">
        <v>3500</v>
      </c>
      <c r="D18" s="161">
        <f t="shared" si="2"/>
        <v>3500</v>
      </c>
      <c r="E18" s="163">
        <f>SUM($D$3:D18)</f>
        <v>114211</v>
      </c>
      <c r="F18" s="369">
        <f t="shared" si="1"/>
        <v>15</v>
      </c>
    </row>
    <row r="19" spans="1:6">
      <c r="A19" s="153">
        <f>SUBTOTAL(103,B$4:B19)</f>
        <v>16</v>
      </c>
      <c r="B19" s="126" t="s">
        <v>490</v>
      </c>
      <c r="C19" s="164">
        <v>9300</v>
      </c>
      <c r="D19" s="161">
        <f t="shared" si="2"/>
        <v>9300</v>
      </c>
      <c r="E19" s="163">
        <f>SUM($D$3:D19)</f>
        <v>123511</v>
      </c>
      <c r="F19" s="369">
        <f t="shared" si="1"/>
        <v>16</v>
      </c>
    </row>
    <row r="20" spans="1:6" hidden="1">
      <c r="A20" s="153">
        <f>SUBTOTAL(103,B$4:B20)</f>
        <v>16</v>
      </c>
      <c r="B20" s="126"/>
      <c r="C20" s="164"/>
      <c r="D20" s="161">
        <f t="shared" si="2"/>
        <v>0</v>
      </c>
      <c r="E20" s="163">
        <f>SUM($D$3:D20)</f>
        <v>123511</v>
      </c>
      <c r="F20" s="369">
        <f t="shared" si="1"/>
        <v>16</v>
      </c>
    </row>
    <row r="21" spans="1:6" hidden="1">
      <c r="A21" s="153">
        <f>SUBTOTAL(103,B$4:B21)</f>
        <v>16</v>
      </c>
      <c r="B21" s="126"/>
      <c r="C21" s="164"/>
      <c r="D21" s="161">
        <f t="shared" si="2"/>
        <v>0</v>
      </c>
      <c r="E21" s="163">
        <f>SUM($D$3:D21)</f>
        <v>123511</v>
      </c>
      <c r="F21" s="369">
        <f t="shared" si="1"/>
        <v>16</v>
      </c>
    </row>
    <row r="22" spans="1:6" hidden="1">
      <c r="A22" s="153">
        <f>SUBTOTAL(103,B$4:B22)</f>
        <v>16</v>
      </c>
      <c r="B22" s="126"/>
      <c r="C22" s="164"/>
      <c r="D22" s="161">
        <f t="shared" si="2"/>
        <v>0</v>
      </c>
      <c r="E22" s="163">
        <f>SUM($D$3:D22)</f>
        <v>123511</v>
      </c>
      <c r="F22" s="369">
        <f t="shared" si="1"/>
        <v>16</v>
      </c>
    </row>
    <row r="23" spans="1:6" hidden="1">
      <c r="A23" s="153">
        <f>SUBTOTAL(103,B$4:B23)</f>
        <v>16</v>
      </c>
      <c r="B23" s="126"/>
      <c r="C23" s="164"/>
      <c r="D23" s="161">
        <f t="shared" si="2"/>
        <v>0</v>
      </c>
      <c r="E23" s="163">
        <f>SUM($D$3:D23)</f>
        <v>123511</v>
      </c>
      <c r="F23" s="369">
        <f t="shared" si="1"/>
        <v>16</v>
      </c>
    </row>
    <row r="24" spans="1:6" hidden="1">
      <c r="A24" s="153">
        <f>SUBTOTAL(103,B$4:B24)</f>
        <v>16</v>
      </c>
      <c r="B24" s="126"/>
      <c r="C24" s="164"/>
      <c r="D24" s="161">
        <f t="shared" si="2"/>
        <v>0</v>
      </c>
      <c r="E24" s="163">
        <f>SUM($D$3:D24)</f>
        <v>123511</v>
      </c>
      <c r="F24" s="369">
        <f t="shared" si="1"/>
        <v>16</v>
      </c>
    </row>
    <row r="25" spans="1:6" hidden="1">
      <c r="A25" s="153">
        <f>SUBTOTAL(103,B$4:B25)</f>
        <v>16</v>
      </c>
      <c r="B25" s="126"/>
      <c r="C25" s="164"/>
      <c r="D25" s="161">
        <f t="shared" si="2"/>
        <v>0</v>
      </c>
      <c r="E25" s="163">
        <f>SUM($D$3:D25)</f>
        <v>123511</v>
      </c>
      <c r="F25" s="369">
        <f t="shared" si="1"/>
        <v>16</v>
      </c>
    </row>
    <row r="26" spans="1:6" hidden="1">
      <c r="A26" s="153">
        <f>SUBTOTAL(103,B$4:B26)</f>
        <v>16</v>
      </c>
      <c r="B26" s="126"/>
      <c r="C26" s="164"/>
      <c r="D26" s="161">
        <f t="shared" si="2"/>
        <v>0</v>
      </c>
      <c r="E26" s="163">
        <f>SUM($D$3:D26)</f>
        <v>123511</v>
      </c>
      <c r="F26" s="369">
        <f t="shared" si="1"/>
        <v>16</v>
      </c>
    </row>
    <row r="27" spans="1:6" hidden="1">
      <c r="A27" s="153">
        <f>SUBTOTAL(103,B$4:B27)</f>
        <v>16</v>
      </c>
      <c r="B27" s="126"/>
      <c r="C27" s="164"/>
      <c r="D27" s="161">
        <f t="shared" si="2"/>
        <v>0</v>
      </c>
      <c r="E27" s="163">
        <f>SUM($D$3:D27)</f>
        <v>123511</v>
      </c>
      <c r="F27" s="369">
        <f t="shared" si="1"/>
        <v>16</v>
      </c>
    </row>
    <row r="28" spans="1:6" hidden="1">
      <c r="A28" s="153">
        <f>SUBTOTAL(103,B$4:B28)</f>
        <v>16</v>
      </c>
      <c r="B28" s="126"/>
      <c r="C28" s="164"/>
      <c r="D28" s="161">
        <f t="shared" si="2"/>
        <v>0</v>
      </c>
      <c r="E28" s="163">
        <f>SUM($D$3:D28)</f>
        <v>123511</v>
      </c>
      <c r="F28" s="369">
        <f t="shared" si="1"/>
        <v>16</v>
      </c>
    </row>
    <row r="29" spans="1:6" hidden="1">
      <c r="A29" s="153">
        <f>SUBTOTAL(103,B$4:B29)</f>
        <v>16</v>
      </c>
      <c r="B29" s="126"/>
      <c r="C29" s="164"/>
      <c r="D29" s="161">
        <f t="shared" si="2"/>
        <v>0</v>
      </c>
      <c r="E29" s="163">
        <f>SUM($D$3:D29)</f>
        <v>123511</v>
      </c>
      <c r="F29" s="369">
        <f t="shared" si="1"/>
        <v>16</v>
      </c>
    </row>
    <row r="30" spans="1:6" hidden="1">
      <c r="A30" s="153">
        <f>SUBTOTAL(103,B$4:B30)</f>
        <v>16</v>
      </c>
      <c r="B30" s="126"/>
      <c r="C30" s="164"/>
      <c r="D30" s="161">
        <f t="shared" si="2"/>
        <v>0</v>
      </c>
      <c r="E30" s="163">
        <f>SUM($D$3:D30)</f>
        <v>123511</v>
      </c>
      <c r="F30" s="369">
        <f t="shared" si="1"/>
        <v>16</v>
      </c>
    </row>
    <row r="31" spans="1:6" hidden="1">
      <c r="A31" s="153">
        <f>SUBTOTAL(103,B$4:B31)</f>
        <v>16</v>
      </c>
      <c r="B31" s="126"/>
      <c r="C31" s="164"/>
      <c r="D31" s="161">
        <f t="shared" si="2"/>
        <v>0</v>
      </c>
      <c r="E31" s="163">
        <f>SUM($D$3:D31)</f>
        <v>123511</v>
      </c>
      <c r="F31" s="369">
        <f t="shared" si="1"/>
        <v>16</v>
      </c>
    </row>
    <row r="32" spans="1:6" hidden="1">
      <c r="A32" s="153">
        <f>SUBTOTAL(103,B$4:B32)</f>
        <v>16</v>
      </c>
      <c r="B32" s="126"/>
      <c r="C32" s="164"/>
      <c r="D32" s="161">
        <f t="shared" si="2"/>
        <v>0</v>
      </c>
      <c r="E32" s="163">
        <f>SUM($D$3:D32)</f>
        <v>123511</v>
      </c>
      <c r="F32" s="369">
        <f t="shared" si="1"/>
        <v>16</v>
      </c>
    </row>
    <row r="33" spans="1:6" hidden="1">
      <c r="A33" s="153">
        <f>SUBTOTAL(103,B$4:B33)</f>
        <v>16</v>
      </c>
      <c r="B33" s="126"/>
      <c r="C33" s="164"/>
      <c r="D33" s="161">
        <f t="shared" si="2"/>
        <v>0</v>
      </c>
      <c r="E33" s="163">
        <f>SUM($D$3:D33)</f>
        <v>123511</v>
      </c>
      <c r="F33" s="369">
        <f t="shared" si="1"/>
        <v>16</v>
      </c>
    </row>
    <row r="34" spans="1:6" hidden="1">
      <c r="A34" s="153">
        <f>SUBTOTAL(103,B$4:B34)</f>
        <v>16</v>
      </c>
      <c r="B34" s="126"/>
      <c r="C34" s="164"/>
      <c r="D34" s="161">
        <f t="shared" si="2"/>
        <v>0</v>
      </c>
      <c r="E34" s="163">
        <f>SUM($D$3:D34)</f>
        <v>123511</v>
      </c>
      <c r="F34" s="369">
        <f t="shared" si="1"/>
        <v>16</v>
      </c>
    </row>
    <row r="35" spans="1:6" hidden="1">
      <c r="A35" s="153">
        <f>SUBTOTAL(103,B$4:B35)</f>
        <v>16</v>
      </c>
      <c r="B35" s="126"/>
      <c r="C35" s="164"/>
      <c r="D35" s="161">
        <f t="shared" si="2"/>
        <v>0</v>
      </c>
      <c r="E35" s="163">
        <f>SUM($D$3:D35)</f>
        <v>123511</v>
      </c>
      <c r="F35" s="369">
        <f t="shared" si="1"/>
        <v>16</v>
      </c>
    </row>
    <row r="36" spans="1:6" hidden="1">
      <c r="A36" s="153">
        <f>SUBTOTAL(103,B$4:B36)</f>
        <v>16</v>
      </c>
      <c r="B36" s="126"/>
      <c r="C36" s="164"/>
      <c r="D36" s="161">
        <f t="shared" si="2"/>
        <v>0</v>
      </c>
      <c r="E36" s="163">
        <f>SUM($D$3:D36)</f>
        <v>123511</v>
      </c>
      <c r="F36" s="369">
        <f t="shared" si="1"/>
        <v>16</v>
      </c>
    </row>
    <row r="37" spans="1:6" hidden="1">
      <c r="A37" s="153">
        <f>SUBTOTAL(103,B$4:B37)</f>
        <v>16</v>
      </c>
      <c r="B37" s="126"/>
      <c r="C37" s="164"/>
      <c r="D37" s="161">
        <f t="shared" si="2"/>
        <v>0</v>
      </c>
      <c r="E37" s="163">
        <f>SUM($D$3:D37)</f>
        <v>123511</v>
      </c>
      <c r="F37" s="369">
        <f t="shared" si="1"/>
        <v>16</v>
      </c>
    </row>
    <row r="38" spans="1:6" hidden="1">
      <c r="A38" s="153">
        <f>SUBTOTAL(103,B$4:B38)</f>
        <v>16</v>
      </c>
      <c r="B38" s="126"/>
      <c r="C38" s="164"/>
      <c r="D38" s="161">
        <f t="shared" si="2"/>
        <v>0</v>
      </c>
      <c r="E38" s="163">
        <f>SUM($D$3:D38)</f>
        <v>123511</v>
      </c>
      <c r="F38" s="369">
        <f t="shared" si="1"/>
        <v>16</v>
      </c>
    </row>
    <row r="39" spans="1:6" hidden="1">
      <c r="A39" s="153">
        <f>SUBTOTAL(103,B$4:B39)</f>
        <v>16</v>
      </c>
      <c r="B39" s="126"/>
      <c r="C39" s="164"/>
      <c r="D39" s="161">
        <f t="shared" si="2"/>
        <v>0</v>
      </c>
      <c r="E39" s="163">
        <f>SUM($D$3:D39)</f>
        <v>123511</v>
      </c>
      <c r="F39" s="369">
        <f t="shared" si="1"/>
        <v>16</v>
      </c>
    </row>
    <row r="40" spans="1:6" hidden="1">
      <c r="A40" s="153">
        <f>SUBTOTAL(103,B$4:B40)</f>
        <v>16</v>
      </c>
      <c r="B40" s="126"/>
      <c r="C40" s="164"/>
      <c r="D40" s="161">
        <f t="shared" si="2"/>
        <v>0</v>
      </c>
      <c r="E40" s="163">
        <f>SUM($D$3:D40)</f>
        <v>123511</v>
      </c>
      <c r="F40" s="369">
        <f t="shared" si="1"/>
        <v>16</v>
      </c>
    </row>
    <row r="41" spans="1:6" hidden="1">
      <c r="A41" s="153">
        <f>SUBTOTAL(103,B$4:B41)</f>
        <v>16</v>
      </c>
      <c r="B41" s="364"/>
      <c r="C41" s="164"/>
      <c r="D41" s="161">
        <f t="shared" si="2"/>
        <v>0</v>
      </c>
      <c r="E41" s="163">
        <f>SUM($D$3:D41)</f>
        <v>123511</v>
      </c>
      <c r="F41" s="369">
        <f t="shared" si="1"/>
        <v>16</v>
      </c>
    </row>
    <row r="42" spans="1:6" hidden="1">
      <c r="A42" s="153">
        <f>SUBTOTAL(103,B$4:B42)</f>
        <v>16</v>
      </c>
      <c r="B42" s="364"/>
      <c r="C42" s="164"/>
      <c r="D42" s="161">
        <f t="shared" si="2"/>
        <v>0</v>
      </c>
      <c r="E42" s="163">
        <f>SUM($D$3:D42)</f>
        <v>123511</v>
      </c>
      <c r="F42" s="369">
        <f t="shared" si="1"/>
        <v>16</v>
      </c>
    </row>
    <row r="43" spans="1:6" hidden="1">
      <c r="A43" s="153">
        <f>SUBTOTAL(103,B$4:B43)</f>
        <v>16</v>
      </c>
      <c r="B43" s="364"/>
      <c r="C43" s="164"/>
      <c r="D43" s="161">
        <f t="shared" si="2"/>
        <v>0</v>
      </c>
      <c r="E43" s="163">
        <f>SUM($D$3:D43)</f>
        <v>123511</v>
      </c>
      <c r="F43" s="369">
        <f t="shared" si="1"/>
        <v>16</v>
      </c>
    </row>
    <row r="44" spans="1:6" hidden="1">
      <c r="A44" s="153">
        <f>SUBTOTAL(103,B$4:B44)</f>
        <v>16</v>
      </c>
      <c r="B44" s="364"/>
      <c r="C44" s="164"/>
      <c r="D44" s="161">
        <f t="shared" si="2"/>
        <v>0</v>
      </c>
      <c r="E44" s="163">
        <f>SUM($D$3:D44)</f>
        <v>123511</v>
      </c>
      <c r="F44" s="369">
        <f t="shared" si="1"/>
        <v>16</v>
      </c>
    </row>
    <row r="45" spans="1:6" hidden="1">
      <c r="A45" s="153">
        <f>SUBTOTAL(103,B$4:B45)</f>
        <v>16</v>
      </c>
      <c r="B45" s="364"/>
      <c r="C45" s="164"/>
      <c r="D45" s="161">
        <f t="shared" si="2"/>
        <v>0</v>
      </c>
      <c r="E45" s="163">
        <f>SUM($D$3:D45)</f>
        <v>123511</v>
      </c>
      <c r="F45" s="369">
        <f t="shared" si="1"/>
        <v>16</v>
      </c>
    </row>
    <row r="46" spans="1:6" hidden="1">
      <c r="A46" s="153">
        <f>SUBTOTAL(103,B$4:B46)</f>
        <v>16</v>
      </c>
      <c r="B46" s="364"/>
      <c r="C46" s="164"/>
      <c r="D46" s="161">
        <f t="shared" si="2"/>
        <v>0</v>
      </c>
      <c r="E46" s="163">
        <f>SUM($D$3:D46)</f>
        <v>123511</v>
      </c>
      <c r="F46" s="369">
        <f t="shared" si="1"/>
        <v>16</v>
      </c>
    </row>
    <row r="47" spans="1:6" hidden="1">
      <c r="A47" s="153">
        <f>SUBTOTAL(103,B$4:B47)</f>
        <v>16</v>
      </c>
      <c r="B47" s="364"/>
      <c r="C47" s="164"/>
      <c r="D47" s="161">
        <f t="shared" si="2"/>
        <v>0</v>
      </c>
      <c r="E47" s="163">
        <f>SUM($D$3:D47)</f>
        <v>123511</v>
      </c>
      <c r="F47" s="369">
        <f t="shared" si="1"/>
        <v>16</v>
      </c>
    </row>
    <row r="48" spans="1:6" hidden="1">
      <c r="A48" s="153">
        <f>SUBTOTAL(103,B$4:B48)</f>
        <v>16</v>
      </c>
      <c r="B48" s="364"/>
      <c r="C48" s="164"/>
      <c r="D48" s="161">
        <f t="shared" si="2"/>
        <v>0</v>
      </c>
      <c r="E48" s="163">
        <f>SUM($D$3:D48)</f>
        <v>123511</v>
      </c>
      <c r="F48" s="369">
        <f t="shared" si="1"/>
        <v>16</v>
      </c>
    </row>
    <row r="49" spans="1:6" hidden="1">
      <c r="A49" s="153">
        <f>SUBTOTAL(103,B$4:B49)</f>
        <v>16</v>
      </c>
      <c r="B49" s="364"/>
      <c r="C49" s="164"/>
      <c r="D49" s="161">
        <f t="shared" si="2"/>
        <v>0</v>
      </c>
      <c r="E49" s="163">
        <f>SUM($D$3:D49)</f>
        <v>123511</v>
      </c>
      <c r="F49" s="369">
        <f t="shared" si="1"/>
        <v>16</v>
      </c>
    </row>
    <row r="50" spans="1:6" hidden="1">
      <c r="A50" s="153">
        <f>SUBTOTAL(103,B$4:B50)</f>
        <v>16</v>
      </c>
      <c r="B50" s="126"/>
      <c r="C50" s="164"/>
      <c r="D50" s="161">
        <f t="shared" si="2"/>
        <v>0</v>
      </c>
      <c r="E50" s="163">
        <f>SUM($D$3:D50)</f>
        <v>123511</v>
      </c>
      <c r="F50" s="369">
        <f t="shared" si="1"/>
        <v>16</v>
      </c>
    </row>
    <row r="51" spans="1:6">
      <c r="A51" s="153"/>
      <c r="B51" s="135" t="s">
        <v>235</v>
      </c>
      <c r="C51" s="136">
        <f>SUM(C4:C50)</f>
        <v>123511</v>
      </c>
    </row>
    <row r="52" spans="1:6">
      <c r="A52" s="502" t="s">
        <v>561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P!T3</f>
        <v>45961</v>
      </c>
    </row>
    <row r="2" spans="1:7" ht="34.5" customHeight="1">
      <c r="A2" s="505" t="s">
        <v>544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484</v>
      </c>
      <c r="C4" s="169">
        <v>9988</v>
      </c>
      <c r="D4" s="161">
        <f t="shared" ref="D4:D50" si="0">C4</f>
        <v>9988</v>
      </c>
      <c r="E4" s="163">
        <f>SUM($D$3:D4)</f>
        <v>9988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227</v>
      </c>
      <c r="C5" s="169">
        <v>8948</v>
      </c>
      <c r="D5" s="161">
        <f t="shared" si="0"/>
        <v>8948</v>
      </c>
      <c r="E5" s="163">
        <f>SUM($D$3:D5)</f>
        <v>18936</v>
      </c>
      <c r="F5" s="371">
        <f t="shared" si="1"/>
        <v>2</v>
      </c>
    </row>
    <row r="6" spans="1:7">
      <c r="A6" s="153">
        <f>SUBTOTAL(103,B$4:B6)</f>
        <v>3</v>
      </c>
      <c r="B6" s="228" t="s">
        <v>485</v>
      </c>
      <c r="C6" s="169">
        <v>5401</v>
      </c>
      <c r="D6" s="161">
        <f t="shared" si="0"/>
        <v>5401</v>
      </c>
      <c r="E6" s="163">
        <f>SUM($D$3:D6)</f>
        <v>24337</v>
      </c>
      <c r="F6" s="371">
        <f t="shared" si="1"/>
        <v>3</v>
      </c>
    </row>
    <row r="7" spans="1:7">
      <c r="A7" s="153">
        <f>SUBTOTAL(103,B$4:B7)</f>
        <v>4</v>
      </c>
      <c r="B7" s="228" t="s">
        <v>494</v>
      </c>
      <c r="C7" s="169">
        <v>1650</v>
      </c>
      <c r="D7" s="161">
        <f t="shared" si="0"/>
        <v>1650</v>
      </c>
      <c r="E7" s="163">
        <f>SUM($D$3:D7)</f>
        <v>25987</v>
      </c>
      <c r="F7" s="371">
        <f t="shared" si="1"/>
        <v>4</v>
      </c>
    </row>
    <row r="8" spans="1:7">
      <c r="A8" s="153">
        <f>SUBTOTAL(103,B$4:B8)</f>
        <v>5</v>
      </c>
      <c r="B8" s="228" t="s">
        <v>545</v>
      </c>
      <c r="C8" s="169">
        <v>900</v>
      </c>
      <c r="D8" s="161">
        <f t="shared" si="0"/>
        <v>900</v>
      </c>
      <c r="E8" s="163">
        <f>SUM($D$3:D8)</f>
        <v>26887</v>
      </c>
      <c r="F8" s="371">
        <f t="shared" si="1"/>
        <v>5</v>
      </c>
    </row>
    <row r="9" spans="1:7">
      <c r="A9" s="153">
        <f>SUBTOTAL(103,B$4:B9)</f>
        <v>6</v>
      </c>
      <c r="B9" s="228" t="s">
        <v>546</v>
      </c>
      <c r="C9" s="169">
        <v>574</v>
      </c>
      <c r="D9" s="161">
        <f t="shared" si="0"/>
        <v>574</v>
      </c>
      <c r="E9" s="163">
        <f>SUM($D$3:D9)</f>
        <v>27461</v>
      </c>
      <c r="F9" s="371">
        <f t="shared" si="1"/>
        <v>6</v>
      </c>
    </row>
    <row r="10" spans="1:7">
      <c r="A10" s="153">
        <f>SUBTOTAL(103,B$4:B10)</f>
        <v>7</v>
      </c>
      <c r="B10" s="228" t="s">
        <v>547</v>
      </c>
      <c r="C10" s="169">
        <v>735</v>
      </c>
      <c r="D10" s="161">
        <f t="shared" si="0"/>
        <v>735</v>
      </c>
      <c r="E10" s="163">
        <f>SUM($D$3:D10)</f>
        <v>28196</v>
      </c>
      <c r="F10" s="371">
        <f t="shared" si="1"/>
        <v>7</v>
      </c>
    </row>
    <row r="11" spans="1:7">
      <c r="A11" s="153">
        <f>SUBTOTAL(103,B$4:B11)</f>
        <v>8</v>
      </c>
      <c r="B11" s="228" t="s">
        <v>548</v>
      </c>
      <c r="C11" s="169">
        <v>2652</v>
      </c>
      <c r="D11" s="161">
        <f t="shared" si="0"/>
        <v>2652</v>
      </c>
      <c r="E11" s="163">
        <f>SUM($D$3:D11)</f>
        <v>30848</v>
      </c>
      <c r="F11" s="371">
        <f t="shared" si="1"/>
        <v>8</v>
      </c>
    </row>
    <row r="12" spans="1:7" ht="20.25" customHeight="1">
      <c r="A12" s="153">
        <f>SUBTOTAL(103,B$4:B12)</f>
        <v>9</v>
      </c>
      <c r="B12" s="228" t="s">
        <v>505</v>
      </c>
      <c r="C12" s="169">
        <v>160</v>
      </c>
      <c r="D12" s="161">
        <f t="shared" si="0"/>
        <v>160</v>
      </c>
      <c r="E12" s="163">
        <f>SUM($D$3:D12)</f>
        <v>31008</v>
      </c>
      <c r="F12" s="371">
        <f t="shared" si="1"/>
        <v>9</v>
      </c>
    </row>
    <row r="13" spans="1:7">
      <c r="A13" s="153">
        <f>SUBTOTAL(103,B$4:B13)</f>
        <v>10</v>
      </c>
      <c r="B13" s="228" t="s">
        <v>489</v>
      </c>
      <c r="C13" s="169">
        <v>360</v>
      </c>
      <c r="D13" s="161">
        <f t="shared" si="0"/>
        <v>360</v>
      </c>
      <c r="E13" s="163">
        <f>SUM($D$3:D13)</f>
        <v>31368</v>
      </c>
      <c r="F13" s="371">
        <f t="shared" si="1"/>
        <v>10</v>
      </c>
    </row>
    <row r="14" spans="1:7">
      <c r="A14" s="153">
        <f>SUBTOTAL(103,B$4:B14)</f>
        <v>11</v>
      </c>
      <c r="B14" s="139" t="s">
        <v>563</v>
      </c>
      <c r="C14" s="164">
        <v>150</v>
      </c>
      <c r="D14" s="161">
        <f t="shared" si="0"/>
        <v>150</v>
      </c>
      <c r="E14" s="163">
        <f>SUM($D$3:D14)</f>
        <v>31518</v>
      </c>
      <c r="F14" s="371">
        <f t="shared" si="1"/>
        <v>11</v>
      </c>
    </row>
    <row r="15" spans="1:7">
      <c r="A15" s="153">
        <f>SUBTOTAL(103,B$4:B15)</f>
        <v>12</v>
      </c>
      <c r="B15" s="432" t="s">
        <v>490</v>
      </c>
      <c r="C15" s="164">
        <v>3200</v>
      </c>
      <c r="D15" s="161">
        <f t="shared" si="0"/>
        <v>3200</v>
      </c>
      <c r="E15" s="163">
        <f>SUM($D$3:D15)</f>
        <v>34718</v>
      </c>
      <c r="F15" s="371">
        <f t="shared" si="1"/>
        <v>12</v>
      </c>
    </row>
    <row r="16" spans="1:7" hidden="1">
      <c r="A16" s="153">
        <f>SUBTOTAL(103,B$4:B16)</f>
        <v>12</v>
      </c>
      <c r="B16" s="228"/>
      <c r="C16" s="164"/>
      <c r="D16" s="161">
        <f t="shared" si="0"/>
        <v>0</v>
      </c>
      <c r="E16" s="163">
        <f>SUM($D$3:D16)</f>
        <v>34718</v>
      </c>
      <c r="F16" s="371">
        <f t="shared" si="1"/>
        <v>12</v>
      </c>
    </row>
    <row r="17" spans="1:6" hidden="1">
      <c r="A17" s="153">
        <f>SUBTOTAL(103,B$4:B17)</f>
        <v>12</v>
      </c>
      <c r="B17" s="228"/>
      <c r="C17" s="164"/>
      <c r="D17" s="161">
        <f t="shared" si="0"/>
        <v>0</v>
      </c>
      <c r="E17" s="163">
        <f>SUM($D$3:D17)</f>
        <v>34718</v>
      </c>
      <c r="F17" s="371">
        <f t="shared" si="1"/>
        <v>12</v>
      </c>
    </row>
    <row r="18" spans="1:6" hidden="1">
      <c r="A18" s="153">
        <f>SUBTOTAL(103,B$4:B18)</f>
        <v>12</v>
      </c>
      <c r="B18" s="228"/>
      <c r="C18" s="164"/>
      <c r="D18" s="161">
        <f t="shared" si="0"/>
        <v>0</v>
      </c>
      <c r="E18" s="163">
        <f>SUM($D$3:D18)</f>
        <v>34718</v>
      </c>
      <c r="F18" s="371">
        <f t="shared" si="1"/>
        <v>12</v>
      </c>
    </row>
    <row r="19" spans="1:6" hidden="1">
      <c r="A19" s="153">
        <f>SUBTOTAL(103,B$4:B19)</f>
        <v>12</v>
      </c>
      <c r="B19" s="228"/>
      <c r="C19" s="164"/>
      <c r="D19" s="161">
        <f t="shared" si="0"/>
        <v>0</v>
      </c>
      <c r="E19" s="163">
        <f>SUM($D$3:D19)</f>
        <v>34718</v>
      </c>
      <c r="F19" s="371">
        <f t="shared" si="1"/>
        <v>12</v>
      </c>
    </row>
    <row r="20" spans="1:6" hidden="1">
      <c r="A20" s="153">
        <f>SUBTOTAL(103,B$4:B20)</f>
        <v>12</v>
      </c>
      <c r="B20" s="228"/>
      <c r="C20" s="164"/>
      <c r="D20" s="161">
        <f t="shared" si="0"/>
        <v>0</v>
      </c>
      <c r="E20" s="163">
        <f>SUM($D$3:D20)</f>
        <v>34718</v>
      </c>
      <c r="F20" s="371">
        <f t="shared" si="1"/>
        <v>12</v>
      </c>
    </row>
    <row r="21" spans="1:6" hidden="1">
      <c r="A21" s="153">
        <f>SUBTOTAL(103,B$4:B21)</f>
        <v>12</v>
      </c>
      <c r="B21" s="228"/>
      <c r="C21" s="164"/>
      <c r="D21" s="161">
        <f t="shared" si="0"/>
        <v>0</v>
      </c>
      <c r="E21" s="163">
        <f>SUM($D$3:D21)</f>
        <v>34718</v>
      </c>
      <c r="F21" s="371">
        <f t="shared" si="1"/>
        <v>12</v>
      </c>
    </row>
    <row r="22" spans="1:6" hidden="1">
      <c r="A22" s="153">
        <f>SUBTOTAL(103,B$4:B22)</f>
        <v>12</v>
      </c>
      <c r="B22" s="228"/>
      <c r="C22" s="164"/>
      <c r="D22" s="161">
        <f t="shared" si="0"/>
        <v>0</v>
      </c>
      <c r="E22" s="163">
        <f>SUM($D$3:D22)</f>
        <v>34718</v>
      </c>
      <c r="F22" s="371">
        <f t="shared" si="1"/>
        <v>12</v>
      </c>
    </row>
    <row r="23" spans="1:6" hidden="1">
      <c r="A23" s="153">
        <f>SUBTOTAL(103,B$4:B23)</f>
        <v>12</v>
      </c>
      <c r="B23" s="228"/>
      <c r="C23" s="164"/>
      <c r="D23" s="161">
        <f t="shared" si="0"/>
        <v>0</v>
      </c>
      <c r="E23" s="163">
        <f>SUM($D$3:D23)</f>
        <v>34718</v>
      </c>
      <c r="F23" s="371">
        <f t="shared" si="1"/>
        <v>12</v>
      </c>
    </row>
    <row r="24" spans="1:6" hidden="1">
      <c r="A24" s="153">
        <f>SUBTOTAL(103,B$4:B24)</f>
        <v>12</v>
      </c>
      <c r="B24" s="228"/>
      <c r="C24" s="164"/>
      <c r="D24" s="161">
        <f t="shared" si="0"/>
        <v>0</v>
      </c>
      <c r="E24" s="163">
        <f>SUM($D$3:D24)</f>
        <v>34718</v>
      </c>
      <c r="F24" s="371">
        <f t="shared" si="1"/>
        <v>12</v>
      </c>
    </row>
    <row r="25" spans="1:6" hidden="1">
      <c r="A25" s="153">
        <f>SUBTOTAL(103,B$4:B25)</f>
        <v>12</v>
      </c>
      <c r="B25" s="228"/>
      <c r="C25" s="164"/>
      <c r="D25" s="161">
        <f t="shared" si="0"/>
        <v>0</v>
      </c>
      <c r="E25" s="163">
        <f>SUM($D$3:D25)</f>
        <v>34718</v>
      </c>
      <c r="F25" s="371">
        <f t="shared" si="1"/>
        <v>12</v>
      </c>
    </row>
    <row r="26" spans="1:6" hidden="1">
      <c r="A26" s="153">
        <f>SUBTOTAL(103,B$4:B26)</f>
        <v>12</v>
      </c>
      <c r="B26" s="228"/>
      <c r="C26" s="164"/>
      <c r="D26" s="161">
        <f t="shared" si="0"/>
        <v>0</v>
      </c>
      <c r="E26" s="163">
        <f>SUM($D$3:D26)</f>
        <v>34718</v>
      </c>
      <c r="F26" s="371">
        <f t="shared" si="1"/>
        <v>12</v>
      </c>
    </row>
    <row r="27" spans="1:6" hidden="1">
      <c r="A27" s="153">
        <f>SUBTOTAL(103,B$4:B27)</f>
        <v>12</v>
      </c>
      <c r="B27" s="228"/>
      <c r="C27" s="164"/>
      <c r="D27" s="161">
        <f t="shared" si="0"/>
        <v>0</v>
      </c>
      <c r="E27" s="163">
        <f>SUM($D$3:D27)</f>
        <v>34718</v>
      </c>
      <c r="F27" s="371">
        <f t="shared" si="1"/>
        <v>12</v>
      </c>
    </row>
    <row r="28" spans="1:6" hidden="1">
      <c r="A28" s="153">
        <f>SUBTOTAL(103,B$4:B28)</f>
        <v>12</v>
      </c>
      <c r="B28" s="228"/>
      <c r="C28" s="164"/>
      <c r="D28" s="161">
        <f t="shared" si="0"/>
        <v>0</v>
      </c>
      <c r="E28" s="163">
        <f>SUM($D$3:D28)</f>
        <v>34718</v>
      </c>
      <c r="F28" s="371">
        <f t="shared" si="1"/>
        <v>12</v>
      </c>
    </row>
    <row r="29" spans="1:6" hidden="1">
      <c r="A29" s="153">
        <f>SUBTOTAL(103,B$4:B29)</f>
        <v>12</v>
      </c>
      <c r="B29" s="228"/>
      <c r="C29" s="164"/>
      <c r="D29" s="161">
        <f t="shared" si="0"/>
        <v>0</v>
      </c>
      <c r="E29" s="163">
        <f>SUM($D$3:D29)</f>
        <v>34718</v>
      </c>
      <c r="F29" s="371">
        <f t="shared" si="1"/>
        <v>12</v>
      </c>
    </row>
    <row r="30" spans="1:6" hidden="1">
      <c r="A30" s="153">
        <f>SUBTOTAL(103,B$4:B30)</f>
        <v>12</v>
      </c>
      <c r="B30" s="228"/>
      <c r="C30" s="164"/>
      <c r="D30" s="161">
        <f t="shared" si="0"/>
        <v>0</v>
      </c>
      <c r="E30" s="163">
        <f>SUM($D$3:D30)</f>
        <v>34718</v>
      </c>
      <c r="F30" s="371">
        <f t="shared" si="1"/>
        <v>12</v>
      </c>
    </row>
    <row r="31" spans="1:6" hidden="1">
      <c r="A31" s="153">
        <f>SUBTOTAL(103,B$4:B31)</f>
        <v>12</v>
      </c>
      <c r="B31" s="228"/>
      <c r="C31" s="164"/>
      <c r="D31" s="161">
        <f t="shared" si="0"/>
        <v>0</v>
      </c>
      <c r="E31" s="163">
        <f>SUM($D$3:D31)</f>
        <v>34718</v>
      </c>
      <c r="F31" s="371">
        <f t="shared" si="1"/>
        <v>12</v>
      </c>
    </row>
    <row r="32" spans="1:6" hidden="1">
      <c r="A32" s="153">
        <f>SUBTOTAL(103,B$4:B32)</f>
        <v>12</v>
      </c>
      <c r="B32" s="228"/>
      <c r="C32" s="164"/>
      <c r="D32" s="161">
        <f t="shared" si="0"/>
        <v>0</v>
      </c>
      <c r="E32" s="163">
        <f>SUM($D$3:D32)</f>
        <v>34718</v>
      </c>
      <c r="F32" s="371">
        <f t="shared" si="1"/>
        <v>12</v>
      </c>
    </row>
    <row r="33" spans="1:6" hidden="1">
      <c r="A33" s="153">
        <f>SUBTOTAL(103,B$4:B33)</f>
        <v>12</v>
      </c>
      <c r="B33" s="228"/>
      <c r="C33" s="164"/>
      <c r="D33" s="161">
        <f t="shared" si="0"/>
        <v>0</v>
      </c>
      <c r="E33" s="163">
        <f>SUM($D$3:D33)</f>
        <v>34718</v>
      </c>
      <c r="F33" s="371">
        <f t="shared" si="1"/>
        <v>12</v>
      </c>
    </row>
    <row r="34" spans="1:6" hidden="1">
      <c r="A34" s="153">
        <f>SUBTOTAL(103,B$4:B34)</f>
        <v>12</v>
      </c>
      <c r="B34" s="228"/>
      <c r="C34" s="164"/>
      <c r="D34" s="161">
        <f t="shared" si="0"/>
        <v>0</v>
      </c>
      <c r="E34" s="163">
        <f>SUM($D$3:D34)</f>
        <v>34718</v>
      </c>
      <c r="F34" s="371">
        <f t="shared" si="1"/>
        <v>12</v>
      </c>
    </row>
    <row r="35" spans="1:6" hidden="1">
      <c r="A35" s="153">
        <f>SUBTOTAL(103,B$4:B35)</f>
        <v>12</v>
      </c>
      <c r="B35" s="228"/>
      <c r="C35" s="164"/>
      <c r="D35" s="161">
        <f t="shared" si="0"/>
        <v>0</v>
      </c>
      <c r="E35" s="163">
        <f>SUM($D$3:D35)</f>
        <v>34718</v>
      </c>
      <c r="F35" s="371">
        <f t="shared" si="1"/>
        <v>12</v>
      </c>
    </row>
    <row r="36" spans="1:6" hidden="1">
      <c r="A36" s="153">
        <f>SUBTOTAL(103,B$4:B36)</f>
        <v>12</v>
      </c>
      <c r="B36" s="228"/>
      <c r="C36" s="164"/>
      <c r="D36" s="161">
        <f t="shared" si="0"/>
        <v>0</v>
      </c>
      <c r="E36" s="163">
        <f>SUM($D$3:D36)</f>
        <v>34718</v>
      </c>
      <c r="F36" s="371">
        <f t="shared" si="1"/>
        <v>12</v>
      </c>
    </row>
    <row r="37" spans="1:6" hidden="1">
      <c r="A37" s="153">
        <f>SUBTOTAL(103,B$4:B37)</f>
        <v>12</v>
      </c>
      <c r="B37" s="228"/>
      <c r="C37" s="164"/>
      <c r="D37" s="161">
        <f t="shared" si="0"/>
        <v>0</v>
      </c>
      <c r="E37" s="163">
        <f>SUM($D$3:D37)</f>
        <v>34718</v>
      </c>
      <c r="F37" s="371">
        <f t="shared" si="1"/>
        <v>12</v>
      </c>
    </row>
    <row r="38" spans="1:6" hidden="1">
      <c r="A38" s="153">
        <f>SUBTOTAL(103,B$4:B38)</f>
        <v>12</v>
      </c>
      <c r="B38" s="364"/>
      <c r="C38" s="164"/>
      <c r="D38" s="161">
        <f t="shared" si="0"/>
        <v>0</v>
      </c>
      <c r="E38" s="163">
        <f>SUM($D$3:D38)</f>
        <v>34718</v>
      </c>
      <c r="F38" s="371">
        <f t="shared" si="1"/>
        <v>12</v>
      </c>
    </row>
    <row r="39" spans="1:6" hidden="1">
      <c r="A39" s="153">
        <f>SUBTOTAL(103,B$4:B39)</f>
        <v>12</v>
      </c>
      <c r="B39" s="364"/>
      <c r="C39" s="164"/>
      <c r="D39" s="161">
        <f t="shared" si="0"/>
        <v>0</v>
      </c>
      <c r="E39" s="163">
        <f>SUM($D$3:D39)</f>
        <v>34718</v>
      </c>
      <c r="F39" s="371">
        <f t="shared" si="1"/>
        <v>12</v>
      </c>
    </row>
    <row r="40" spans="1:6" hidden="1">
      <c r="A40" s="153">
        <f>SUBTOTAL(103,B$4:B40)</f>
        <v>12</v>
      </c>
      <c r="B40" s="364"/>
      <c r="C40" s="164"/>
      <c r="D40" s="161">
        <f t="shared" si="0"/>
        <v>0</v>
      </c>
      <c r="E40" s="163">
        <f>SUM($D$3:D40)</f>
        <v>34718</v>
      </c>
      <c r="F40" s="371">
        <f t="shared" si="1"/>
        <v>12</v>
      </c>
    </row>
    <row r="41" spans="1:6" hidden="1">
      <c r="A41" s="153">
        <f>SUBTOTAL(103,B$4:B41)</f>
        <v>12</v>
      </c>
      <c r="B41" s="364"/>
      <c r="C41" s="164"/>
      <c r="D41" s="161">
        <f t="shared" si="0"/>
        <v>0</v>
      </c>
      <c r="E41" s="163">
        <f>SUM($D$3:D41)</f>
        <v>34718</v>
      </c>
      <c r="F41" s="371">
        <f t="shared" si="1"/>
        <v>12</v>
      </c>
    </row>
    <row r="42" spans="1:6" hidden="1">
      <c r="A42" s="153">
        <f>SUBTOTAL(103,B$4:B42)</f>
        <v>12</v>
      </c>
      <c r="B42" s="364"/>
      <c r="C42" s="164"/>
      <c r="D42" s="161">
        <f t="shared" si="0"/>
        <v>0</v>
      </c>
      <c r="E42" s="163">
        <f>SUM($D$3:D42)</f>
        <v>34718</v>
      </c>
      <c r="F42" s="371">
        <f t="shared" si="1"/>
        <v>12</v>
      </c>
    </row>
    <row r="43" spans="1:6" hidden="1">
      <c r="A43" s="153">
        <f>SUBTOTAL(103,B$4:B43)</f>
        <v>12</v>
      </c>
      <c r="B43" s="364"/>
      <c r="C43" s="164"/>
      <c r="D43" s="161">
        <f t="shared" si="0"/>
        <v>0</v>
      </c>
      <c r="E43" s="163">
        <f>SUM($D$3:D43)</f>
        <v>34718</v>
      </c>
      <c r="F43" s="371">
        <f t="shared" si="1"/>
        <v>12</v>
      </c>
    </row>
    <row r="44" spans="1:6" hidden="1">
      <c r="A44" s="153">
        <f>SUBTOTAL(103,B$4:B44)</f>
        <v>12</v>
      </c>
      <c r="B44" s="364"/>
      <c r="C44" s="164"/>
      <c r="D44" s="161">
        <f t="shared" si="0"/>
        <v>0</v>
      </c>
      <c r="E44" s="163">
        <f>SUM($D$3:D44)</f>
        <v>34718</v>
      </c>
      <c r="F44" s="371">
        <f t="shared" si="1"/>
        <v>12</v>
      </c>
    </row>
    <row r="45" spans="1:6" hidden="1">
      <c r="A45" s="153">
        <f>SUBTOTAL(103,B$4:B45)</f>
        <v>12</v>
      </c>
      <c r="B45" s="364"/>
      <c r="C45" s="164"/>
      <c r="D45" s="161">
        <f t="shared" si="0"/>
        <v>0</v>
      </c>
      <c r="E45" s="163">
        <f>SUM($D$3:D45)</f>
        <v>34718</v>
      </c>
      <c r="F45" s="371">
        <f t="shared" si="1"/>
        <v>12</v>
      </c>
    </row>
    <row r="46" spans="1:6" hidden="1">
      <c r="A46" s="153">
        <f>SUBTOTAL(103,B$4:B46)</f>
        <v>12</v>
      </c>
      <c r="B46" s="364"/>
      <c r="C46" s="164"/>
      <c r="D46" s="161">
        <f t="shared" si="0"/>
        <v>0</v>
      </c>
      <c r="E46" s="163">
        <f>SUM($D$3:D46)</f>
        <v>34718</v>
      </c>
      <c r="F46" s="371">
        <f t="shared" si="1"/>
        <v>12</v>
      </c>
    </row>
    <row r="47" spans="1:6" ht="21.75" hidden="1" customHeight="1">
      <c r="A47" s="153">
        <f>SUBTOTAL(103,B$4:B47)</f>
        <v>12</v>
      </c>
      <c r="B47" s="228"/>
      <c r="C47" s="164"/>
      <c r="D47" s="161">
        <f t="shared" si="0"/>
        <v>0</v>
      </c>
      <c r="E47" s="163">
        <f>SUM($D$3:D47)</f>
        <v>34718</v>
      </c>
      <c r="F47" s="371">
        <f t="shared" si="1"/>
        <v>12</v>
      </c>
    </row>
    <row r="48" spans="1:6" hidden="1">
      <c r="A48" s="153">
        <f>SUBTOTAL(103,B$4:B48)</f>
        <v>12</v>
      </c>
      <c r="B48" s="228"/>
      <c r="C48" s="164"/>
      <c r="D48" s="161">
        <f t="shared" si="0"/>
        <v>0</v>
      </c>
      <c r="E48" s="163">
        <f>SUM($D$3:D48)</f>
        <v>34718</v>
      </c>
      <c r="F48" s="371">
        <f t="shared" si="1"/>
        <v>12</v>
      </c>
    </row>
    <row r="49" spans="1:6" hidden="1">
      <c r="A49" s="153">
        <f>SUBTOTAL(103,B$4:B49)</f>
        <v>12</v>
      </c>
      <c r="B49" s="228"/>
      <c r="C49" s="164"/>
      <c r="D49" s="161">
        <f t="shared" si="0"/>
        <v>0</v>
      </c>
      <c r="E49" s="163">
        <f>SUM($D$3:D49)</f>
        <v>34718</v>
      </c>
      <c r="F49" s="371">
        <f t="shared" si="1"/>
        <v>12</v>
      </c>
    </row>
    <row r="50" spans="1:6" hidden="1">
      <c r="A50" s="153">
        <f>SUBTOTAL(103,B$4:B50)</f>
        <v>12</v>
      </c>
      <c r="B50" s="228"/>
      <c r="C50" s="164"/>
      <c r="D50" s="161">
        <f t="shared" si="0"/>
        <v>0</v>
      </c>
      <c r="E50" s="163">
        <f>SUM($D$3:D50)</f>
        <v>34718</v>
      </c>
      <c r="F50" s="371">
        <f t="shared" si="1"/>
        <v>12</v>
      </c>
    </row>
    <row r="51" spans="1:6">
      <c r="A51" s="153"/>
      <c r="B51" s="135" t="s">
        <v>235</v>
      </c>
      <c r="C51" s="136">
        <f>SUM(C4:C50)</f>
        <v>34718</v>
      </c>
    </row>
    <row r="52" spans="1:6">
      <c r="A52" s="502" t="s">
        <v>564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P!V3</f>
        <v>45962</v>
      </c>
    </row>
    <row r="2" spans="1:7" ht="34.5" customHeight="1">
      <c r="A2" s="505" t="s">
        <v>467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469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P!X3</f>
        <v>45963</v>
      </c>
    </row>
    <row r="2" spans="1:7" ht="34.5" customHeight="1">
      <c r="A2" s="505" t="s">
        <v>442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444</v>
      </c>
      <c r="B52" s="503"/>
      <c r="C52" s="50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P!X3+1</f>
        <v>45964</v>
      </c>
    </row>
    <row r="2" spans="1:7" ht="34.5" customHeight="1">
      <c r="A2" s="505" t="s">
        <v>412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SUM(C4:C39)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P!AB3</f>
        <v>45965</v>
      </c>
    </row>
    <row r="2" spans="1:7" ht="34.5" customHeight="1">
      <c r="A2" s="505" t="s">
        <v>414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P!AD3</f>
        <v>45966</v>
      </c>
    </row>
    <row r="2" spans="1:7" ht="34.5" customHeight="1">
      <c r="A2" s="505" t="s">
        <v>413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P!AH3</f>
        <v>45968</v>
      </c>
    </row>
    <row r="2" spans="1:7" ht="34.5" customHeight="1">
      <c r="A2" s="505" t="s">
        <v>415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P!AH3</f>
        <v>45968</v>
      </c>
    </row>
    <row r="2" spans="1:7" ht="34.5" customHeight="1">
      <c r="A2" s="505" t="s">
        <v>426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topLeftCell="A12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498" t="s">
        <v>237</v>
      </c>
      <c r="B1" s="498"/>
      <c r="C1" s="498"/>
      <c r="D1" s="498"/>
      <c r="E1" s="498"/>
      <c r="G1" s="416" t="b">
        <f>D20=P!AM2</f>
        <v>1</v>
      </c>
    </row>
    <row r="2" spans="1:7" ht="54" customHeight="1">
      <c r="A2" s="505" t="s">
        <v>562</v>
      </c>
      <c r="B2" s="505"/>
      <c r="C2" s="505"/>
      <c r="D2" s="505"/>
      <c r="E2" s="505"/>
      <c r="F2" s="24" t="s">
        <v>378</v>
      </c>
      <c r="G2" s="417" t="b">
        <f>D20=PL!T254</f>
        <v>1</v>
      </c>
    </row>
    <row r="3" spans="1:7" ht="19.5">
      <c r="A3" s="166" t="s">
        <v>238</v>
      </c>
      <c r="B3" s="166" t="s">
        <v>241</v>
      </c>
      <c r="C3" s="141" t="s">
        <v>223</v>
      </c>
      <c r="D3" s="166" t="s">
        <v>10</v>
      </c>
      <c r="E3" s="166" t="s">
        <v>242</v>
      </c>
    </row>
    <row r="4" spans="1:7" ht="36">
      <c r="A4" s="21">
        <f>SUBTOTAL(103,B$4:B4)</f>
        <v>1</v>
      </c>
      <c r="B4" s="173">
        <f>P!D3</f>
        <v>45953</v>
      </c>
      <c r="C4" s="249" t="str">
        <f>'1'!A2</f>
        <v>23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22482</v>
      </c>
      <c r="E4" s="11" t="s">
        <v>445</v>
      </c>
      <c r="F4" s="24">
        <f>'1'!F48</f>
        <v>8</v>
      </c>
    </row>
    <row r="5" spans="1:7" ht="36">
      <c r="A5" s="21">
        <f>SUBTOTAL(103,B$4:B5)</f>
        <v>2</v>
      </c>
      <c r="B5" s="173">
        <f>P!F3</f>
        <v>45954</v>
      </c>
      <c r="C5" s="249" t="str">
        <f>'2'!A2</f>
        <v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62408</v>
      </c>
      <c r="E5" s="11" t="s">
        <v>459</v>
      </c>
      <c r="F5" s="24">
        <f>'2'!F50</f>
        <v>13</v>
      </c>
    </row>
    <row r="6" spans="1:7" ht="36">
      <c r="A6" s="21">
        <f>SUBTOTAL(103,B$4:B6)</f>
        <v>3</v>
      </c>
      <c r="B6" s="173">
        <f>P!H3</f>
        <v>45955</v>
      </c>
      <c r="C6" s="249" t="str">
        <f>'3'!A2</f>
        <v>25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129909</v>
      </c>
      <c r="E6" s="11" t="s">
        <v>470</v>
      </c>
      <c r="F6" s="24">
        <f>'3'!F50</f>
        <v>16</v>
      </c>
    </row>
    <row r="7" spans="1:7" ht="36">
      <c r="A7" s="21">
        <f>SUBTOTAL(103,B$4:B7)</f>
        <v>4</v>
      </c>
      <c r="B7" s="173">
        <f>P!J3</f>
        <v>45956</v>
      </c>
      <c r="C7" s="249" t="str">
        <f>'4'!A2</f>
        <v>26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28628</v>
      </c>
      <c r="E7" s="11" t="s">
        <v>471</v>
      </c>
      <c r="F7" s="24">
        <f>'4'!F50</f>
        <v>10</v>
      </c>
    </row>
    <row r="8" spans="1:7" ht="36">
      <c r="A8" s="21">
        <f>SUBTOTAL(103,B$4:B8)</f>
        <v>5</v>
      </c>
      <c r="B8" s="173">
        <f>P!L3</f>
        <v>45957</v>
      </c>
      <c r="C8" s="249" t="str">
        <f>'5'!A2</f>
        <v>27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53240</v>
      </c>
      <c r="E8" s="11" t="s">
        <v>472</v>
      </c>
      <c r="F8" s="24">
        <f>'5'!F50</f>
        <v>8</v>
      </c>
    </row>
    <row r="9" spans="1:7" ht="36">
      <c r="A9" s="21">
        <f>SUBTOTAL(103,B$4:B9)</f>
        <v>6</v>
      </c>
      <c r="B9" s="173">
        <f>P!N3</f>
        <v>45958</v>
      </c>
      <c r="C9" s="249" t="str">
        <f>'6'!A2</f>
        <v>28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40534</v>
      </c>
      <c r="E9" s="11" t="s">
        <v>473</v>
      </c>
      <c r="F9" s="24">
        <f>'6'!F50</f>
        <v>7</v>
      </c>
    </row>
    <row r="10" spans="1:7" ht="36">
      <c r="A10" s="21">
        <f>SUBTOTAL(103,B$4:B10)</f>
        <v>7</v>
      </c>
      <c r="B10" s="173">
        <f>P!P3</f>
        <v>45959</v>
      </c>
      <c r="C10" s="249" t="str">
        <f>'7'!A2</f>
        <v>29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43959</v>
      </c>
      <c r="E10" s="11" t="s">
        <v>474</v>
      </c>
      <c r="F10" s="24">
        <f>'7'!F50</f>
        <v>9</v>
      </c>
    </row>
    <row r="11" spans="1:7" ht="36">
      <c r="A11" s="21">
        <f>SUBTOTAL(103,B$4:B11)</f>
        <v>8</v>
      </c>
      <c r="B11" s="173">
        <f>P!R3</f>
        <v>45960</v>
      </c>
      <c r="C11" s="249" t="str">
        <f>'8'!A2</f>
        <v>৩০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123511</v>
      </c>
      <c r="E11" s="11" t="s">
        <v>475</v>
      </c>
      <c r="F11" s="24">
        <f>'8'!F50</f>
        <v>16</v>
      </c>
    </row>
    <row r="12" spans="1:7" ht="36">
      <c r="A12" s="21">
        <f>SUBTOTAL(103,B$4:B12)</f>
        <v>9</v>
      </c>
      <c r="B12" s="173">
        <f>P!T3</f>
        <v>45961</v>
      </c>
      <c r="C12" s="249" t="str">
        <f>'9'!A2</f>
        <v>31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34718</v>
      </c>
      <c r="E12" s="11" t="s">
        <v>476</v>
      </c>
      <c r="F12" s="24">
        <f>'9'!F50</f>
        <v>12</v>
      </c>
    </row>
    <row r="13" spans="1:7" ht="36" hidden="1">
      <c r="A13" s="21">
        <f>SUBTOTAL(103,B$4:B13)</f>
        <v>9</v>
      </c>
      <c r="B13" s="173">
        <f>P!V3</f>
        <v>45962</v>
      </c>
      <c r="C13" s="249" t="str">
        <f>'10'!A2</f>
        <v>22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446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45963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447</v>
      </c>
      <c r="F14" s="24">
        <f>'11'!F50</f>
        <v>0</v>
      </c>
    </row>
    <row r="15" spans="1:7" ht="36" hidden="1">
      <c r="A15" s="21">
        <f>SUBTOTAL(103,B$4:B15)</f>
        <v>9</v>
      </c>
      <c r="B15" s="173">
        <f>P!Z3</f>
        <v>45964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408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45965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409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45966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410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45967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410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45968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411</v>
      </c>
      <c r="F19" s="24">
        <f>'16'!F50</f>
        <v>0</v>
      </c>
    </row>
    <row r="20" spans="1:6" s="27" customFormat="1" ht="19.5">
      <c r="A20" s="167"/>
      <c r="B20" s="168"/>
      <c r="C20" s="250" t="s">
        <v>235</v>
      </c>
      <c r="D20" s="508">
        <f>SUM(D4:D19)</f>
        <v>539389</v>
      </c>
      <c r="E20" s="509"/>
      <c r="F20" s="139"/>
    </row>
    <row r="21" spans="1:6" ht="19.5">
      <c r="C21" s="507" t="s">
        <v>565</v>
      </c>
      <c r="D21" s="507"/>
      <c r="E21" s="507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2" t="s">
        <v>0</v>
      </c>
      <c r="B2" s="512" t="s">
        <v>1</v>
      </c>
      <c r="C2" s="512" t="s">
        <v>2</v>
      </c>
      <c r="D2" s="513" t="s">
        <v>245</v>
      </c>
      <c r="E2" s="513"/>
      <c r="F2" s="514" t="s">
        <v>246</v>
      </c>
      <c r="G2" s="514"/>
      <c r="H2" s="513" t="s">
        <v>429</v>
      </c>
      <c r="I2" s="513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2"/>
      <c r="B3" s="512"/>
      <c r="C3" s="512"/>
      <c r="D3" s="510" t="s">
        <v>430</v>
      </c>
      <c r="E3" s="510"/>
      <c r="F3" s="511" t="s">
        <v>431</v>
      </c>
      <c r="G3" s="511"/>
      <c r="H3" s="510" t="s">
        <v>432</v>
      </c>
      <c r="I3" s="510"/>
    </row>
    <row r="4" spans="1:39" ht="21" customHeight="1">
      <c r="A4" s="512"/>
      <c r="B4" s="512"/>
      <c r="C4" s="512"/>
      <c r="D4" s="377" t="s">
        <v>307</v>
      </c>
      <c r="E4" s="395" t="s">
        <v>309</v>
      </c>
      <c r="F4" s="400" t="s">
        <v>307</v>
      </c>
      <c r="G4" s="401" t="s">
        <v>309</v>
      </c>
      <c r="H4" s="399" t="s">
        <v>307</v>
      </c>
      <c r="I4" s="377" t="s">
        <v>309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362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387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292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314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259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300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260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354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280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261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230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266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315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324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291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295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293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366</v>
      </c>
      <c r="C108" s="381" t="s">
        <v>363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392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296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330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262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428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265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312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263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267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264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370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382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286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371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395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388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290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361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391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268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424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379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422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423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329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269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421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336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298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310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396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319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270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318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373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320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321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271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272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273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317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316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397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323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282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274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311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353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275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281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294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276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283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285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284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277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425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279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394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384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393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407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322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374</v>
      </c>
    </row>
    <row r="2" spans="1:1" ht="13.5" customHeight="1">
      <c r="A2" s="260" t="s">
        <v>369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5"/>
      <c r="B1" s="516"/>
      <c r="C1" s="517"/>
      <c r="D1" s="518">
        <f>P!D3</f>
        <v>45953</v>
      </c>
      <c r="E1" s="518"/>
      <c r="F1" s="518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380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15</v>
      </c>
      <c r="E5" s="171">
        <f>P!D7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3</v>
      </c>
      <c r="E8" s="171">
        <f>P!D10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25</v>
      </c>
      <c r="F9" s="263" t="str">
        <f t="shared" si="0"/>
        <v>নাই</v>
      </c>
      <c r="G9" s="284" t="str">
        <f t="shared" si="1"/>
        <v>++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1.5</v>
      </c>
      <c r="E10" s="171">
        <f>P!D12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5</v>
      </c>
      <c r="F13" s="263" t="str">
        <f t="shared" si="0"/>
        <v>নাই</v>
      </c>
      <c r="G13" s="284" t="str">
        <f t="shared" si="1"/>
        <v>++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5</v>
      </c>
      <c r="E14" s="171">
        <f>P!D16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0.3</v>
      </c>
      <c r="E15" s="171">
        <f>P!D17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2</v>
      </c>
      <c r="E16" s="171">
        <f>P!D18</f>
        <v>0</v>
      </c>
      <c r="F16" s="263" t="str">
        <f t="shared" si="0"/>
        <v>হ্যা</v>
      </c>
      <c r="G16" s="284" t="str">
        <f t="shared" si="1"/>
        <v>--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6</v>
      </c>
      <c r="E19" s="171">
        <f>P!D21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0.5</v>
      </c>
      <c r="E20" s="171">
        <f>P!D22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35</v>
      </c>
      <c r="E22" s="171">
        <f>P!D24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2</v>
      </c>
      <c r="E34" s="171">
        <f>P!D36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10</v>
      </c>
      <c r="E39" s="171">
        <f>P!D41</f>
        <v>0</v>
      </c>
      <c r="F39" s="263" t="str">
        <f t="shared" si="0"/>
        <v>হ্যা</v>
      </c>
      <c r="G39" s="284" t="str">
        <f t="shared" si="1"/>
        <v>--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0.5</v>
      </c>
      <c r="E40" s="171">
        <f>P!D42</f>
        <v>0</v>
      </c>
      <c r="F40" s="263" t="str">
        <f t="shared" si="0"/>
        <v>হ্যা</v>
      </c>
      <c r="G40" s="284" t="str">
        <f t="shared" si="1"/>
        <v>--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4</v>
      </c>
      <c r="E56" s="171">
        <f>P!D58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1</v>
      </c>
      <c r="E58" s="171">
        <f>P!D60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1</v>
      </c>
      <c r="E60" s="171">
        <f>P!D62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0.2</v>
      </c>
      <c r="E61" s="171">
        <f>P!D63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0.3</v>
      </c>
      <c r="E62" s="171">
        <f>P!D64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0.1</v>
      </c>
      <c r="E65" s="171">
        <f>P!D67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2.5000000000000001E-2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0.05</v>
      </c>
      <c r="E69" s="171">
        <f>P!D71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0.01</v>
      </c>
      <c r="E70" s="171">
        <f>P!D72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0.05</v>
      </c>
      <c r="E78" s="171">
        <f>P!D80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0.5</v>
      </c>
      <c r="E80" s="171">
        <f>P!D82</f>
        <v>1</v>
      </c>
      <c r="F80" s="263" t="str">
        <f t="shared" si="2"/>
        <v>হ্যা</v>
      </c>
      <c r="G80" s="284" t="str">
        <f t="shared" si="3"/>
        <v>++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2.5000000000000001E-2</v>
      </c>
      <c r="E86" s="171">
        <f>P!D88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2.5</v>
      </c>
      <c r="E87" s="171">
        <f>P!D89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1</v>
      </c>
      <c r="E88" s="171">
        <f>P!D90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45</v>
      </c>
      <c r="E89" s="171">
        <f>P!D91</f>
        <v>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1</v>
      </c>
      <c r="E95" s="171">
        <f>P!D97</f>
        <v>1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1</v>
      </c>
      <c r="E98" s="171">
        <f>P!D100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0.5</v>
      </c>
      <c r="E106" s="171">
        <f>P!D108</f>
        <v>0</v>
      </c>
      <c r="F106" s="263" t="str">
        <f t="shared" si="2"/>
        <v>হ্যা</v>
      </c>
      <c r="G106" s="284" t="str">
        <f t="shared" si="3"/>
        <v>--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28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4.4000000000000004</v>
      </c>
      <c r="F129" s="263" t="str">
        <f t="shared" si="2"/>
        <v>নাই</v>
      </c>
      <c r="G129" s="284" t="str">
        <f t="shared" si="3"/>
        <v>++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4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2</v>
      </c>
      <c r="F141" s="263" t="str">
        <f t="shared" si="4"/>
        <v>নাই</v>
      </c>
      <c r="G141" s="284" t="str">
        <f t="shared" si="5"/>
        <v>++</v>
      </c>
      <c r="H141" s="131" t="s">
        <v>448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14</v>
      </c>
      <c r="E150" s="171">
        <f>P!D152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1.5</v>
      </c>
      <c r="E152" s="171">
        <f>P!D154</f>
        <v>1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1</v>
      </c>
      <c r="E161" s="171">
        <f>P!D163</f>
        <v>1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3</v>
      </c>
      <c r="E168" s="171">
        <f>P!D170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2</v>
      </c>
      <c r="E177" s="171">
        <f>P!D179</f>
        <v>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5</v>
      </c>
      <c r="E178" s="171">
        <f>P!D180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0.5</v>
      </c>
      <c r="E179" s="171">
        <f>P!D181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0.5</v>
      </c>
      <c r="E180" s="171">
        <f>P!D182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1</v>
      </c>
      <c r="E181" s="171">
        <f>P!D183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15</v>
      </c>
      <c r="E182" s="171">
        <f>P!D184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3</v>
      </c>
      <c r="E183" s="171">
        <f>P!D185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1</v>
      </c>
      <c r="E184" s="171">
        <f>P!D186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5</v>
      </c>
      <c r="E185" s="171">
        <f>P!D187</f>
        <v>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15</v>
      </c>
      <c r="E194" s="171">
        <f>P!D196</f>
        <v>14</v>
      </c>
      <c r="F194" s="263" t="str">
        <f t="shared" si="4"/>
        <v>হ্যা</v>
      </c>
      <c r="G194" s="284" t="str">
        <f t="shared" si="5"/>
        <v>--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3</v>
      </c>
      <c r="E195" s="171">
        <f>P!D197</f>
        <v>3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1</v>
      </c>
      <c r="E197" s="171">
        <f>P!D199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0.5</v>
      </c>
      <c r="E198" s="171">
        <f>P!D200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5</v>
      </c>
      <c r="E203" s="171">
        <f>P!D205</f>
        <v>5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36</v>
      </c>
      <c r="E229" s="171">
        <f>P!D231</f>
        <v>2.6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0.5</v>
      </c>
      <c r="E230" s="171">
        <f>P!D232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65</v>
      </c>
      <c r="E231" s="171">
        <f>P!D233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30</v>
      </c>
      <c r="E232" s="171">
        <f>P!D234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70</v>
      </c>
      <c r="F243" s="263" t="str">
        <f t="shared" si="6"/>
        <v>নাই</v>
      </c>
      <c r="G243" s="284" t="str">
        <f t="shared" si="7"/>
        <v>++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840</v>
      </c>
      <c r="F247" s="306"/>
      <c r="G247" s="284" t="str">
        <f t="shared" si="7"/>
        <v>++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100</v>
      </c>
      <c r="F250" s="306"/>
      <c r="G250" s="284" t="str">
        <f t="shared" si="7"/>
        <v>++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270</v>
      </c>
      <c r="F251" s="306"/>
      <c r="G251" s="284" t="str">
        <f t="shared" si="7"/>
        <v>++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2000</v>
      </c>
      <c r="F252" s="306"/>
      <c r="G252" s="284" t="str">
        <f t="shared" si="7"/>
        <v>++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P!F3</f>
        <v>45954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17</v>
      </c>
      <c r="E5" s="171">
        <f>P!F7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3</v>
      </c>
      <c r="E6" s="171">
        <f>P!F8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4</v>
      </c>
      <c r="E8" s="171">
        <f>P!F10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2</v>
      </c>
      <c r="E9" s="171">
        <f>P!F11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4</v>
      </c>
      <c r="E10" s="171">
        <f>P!F12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10</v>
      </c>
      <c r="E13" s="171">
        <f>P!F15</f>
        <v>10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0.3</v>
      </c>
      <c r="E14" s="171">
        <f>P!F16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2</v>
      </c>
      <c r="E15" s="171">
        <f>P!F17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8</v>
      </c>
      <c r="E19" s="171">
        <f>P!F21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0.5</v>
      </c>
      <c r="E20" s="171">
        <f>P!F22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80</v>
      </c>
      <c r="E22" s="171">
        <f>P!F24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2</v>
      </c>
      <c r="E34" s="171">
        <f>P!F36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1</v>
      </c>
      <c r="E39" s="171">
        <f>P!F41</f>
        <v>1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1000</v>
      </c>
      <c r="F41" s="263" t="str">
        <f t="shared" si="0"/>
        <v>নাই</v>
      </c>
      <c r="G41" s="284" t="str">
        <f t="shared" si="1"/>
        <v>++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4</v>
      </c>
      <c r="E56" s="171">
        <f>P!F58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2</v>
      </c>
      <c r="E58" s="171">
        <f>P!F60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2</v>
      </c>
      <c r="E60" s="171">
        <f>P!F62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0.3</v>
      </c>
      <c r="E61" s="171">
        <f>P!F63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0.4</v>
      </c>
      <c r="E62" s="171">
        <f>P!F64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0.05</v>
      </c>
      <c r="E65" s="171">
        <f>P!F67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0.02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0.05</v>
      </c>
      <c r="E69" s="171">
        <f>P!F71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0.01</v>
      </c>
      <c r="E70" s="171">
        <f>P!F72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2</v>
      </c>
      <c r="E71" s="171">
        <f>P!F73</f>
        <v>3</v>
      </c>
      <c r="F71" s="263" t="str">
        <f t="shared" si="2"/>
        <v>হ্যা</v>
      </c>
      <c r="G71" s="284" t="str">
        <f t="shared" si="3"/>
        <v>++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456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0.4</v>
      </c>
      <c r="E75" s="171">
        <f>P!F77</f>
        <v>5.4</v>
      </c>
      <c r="F75" s="263" t="str">
        <f t="shared" si="2"/>
        <v>হ্যা</v>
      </c>
      <c r="G75" s="284" t="str">
        <f t="shared" si="3"/>
        <v>++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0.02</v>
      </c>
      <c r="E77" s="171">
        <f>P!F79</f>
        <v>0</v>
      </c>
      <c r="F77" s="263" t="str">
        <f t="shared" si="2"/>
        <v>হ্যা</v>
      </c>
      <c r="G77" s="284" t="str">
        <f t="shared" si="3"/>
        <v>--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0.1</v>
      </c>
      <c r="E78" s="171">
        <f>P!F80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1</v>
      </c>
      <c r="E80" s="171">
        <f>P!F82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449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0.05</v>
      </c>
      <c r="E86" s="171">
        <f>P!F88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2</v>
      </c>
      <c r="E87" s="171">
        <f>P!F89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2</v>
      </c>
      <c r="E88" s="171">
        <f>P!F90</f>
        <v>20</v>
      </c>
      <c r="F88" s="263" t="str">
        <f t="shared" si="2"/>
        <v>হ্যা</v>
      </c>
      <c r="G88" s="284" t="str">
        <f t="shared" si="3"/>
        <v>++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100</v>
      </c>
      <c r="E89" s="171">
        <f>P!F91</f>
        <v>60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0.5</v>
      </c>
      <c r="E92" s="171">
        <f>P!F94</f>
        <v>2</v>
      </c>
      <c r="F92" s="263" t="str">
        <f t="shared" si="2"/>
        <v>হ্যা</v>
      </c>
      <c r="G92" s="284" t="str">
        <f t="shared" si="3"/>
        <v>++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462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2</v>
      </c>
      <c r="E95" s="171">
        <f>P!F97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12</v>
      </c>
      <c r="F104" s="263" t="str">
        <f t="shared" si="2"/>
        <v>নাই</v>
      </c>
      <c r="G104" s="284" t="str">
        <f t="shared" si="3"/>
        <v>++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3</v>
      </c>
      <c r="E105" s="171">
        <f>P!F107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1</v>
      </c>
      <c r="E112" s="171">
        <f>P!F114</f>
        <v>1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40</v>
      </c>
      <c r="E116" s="171">
        <f>P!F118</f>
        <v>0</v>
      </c>
      <c r="F116" s="263" t="str">
        <f t="shared" si="2"/>
        <v>হ্যা</v>
      </c>
      <c r="G116" s="284" t="str">
        <f t="shared" si="3"/>
        <v>--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45</v>
      </c>
      <c r="E123" s="171">
        <f>P!F125</f>
        <v>0.42299999999999999</v>
      </c>
      <c r="F123" s="263" t="str">
        <f t="shared" si="2"/>
        <v>হ্যা</v>
      </c>
      <c r="G123" s="284" t="str">
        <f t="shared" si="3"/>
        <v>--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60</v>
      </c>
      <c r="E124" s="171">
        <f>P!F126</f>
        <v>46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462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462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2.5</v>
      </c>
      <c r="E128" s="171">
        <f>P!F130</f>
        <v>2.5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4</v>
      </c>
      <c r="E134" s="171">
        <f>P!F136</f>
        <v>0</v>
      </c>
      <c r="F134" s="263" t="str">
        <f t="shared" si="4"/>
        <v>হ্যা</v>
      </c>
      <c r="G134" s="284" t="str">
        <f t="shared" si="5"/>
        <v>--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462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7</v>
      </c>
      <c r="E143" s="171">
        <f>P!F145</f>
        <v>7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16</v>
      </c>
      <c r="E150" s="171">
        <f>P!F152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4</v>
      </c>
      <c r="E160" s="171">
        <f>P!F162</f>
        <v>4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5</v>
      </c>
      <c r="E170" s="171">
        <f>P!F172</f>
        <v>6</v>
      </c>
      <c r="F170" s="263" t="str">
        <f t="shared" si="4"/>
        <v>হ্যা</v>
      </c>
      <c r="G170" s="284" t="str">
        <f t="shared" si="5"/>
        <v>++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7</v>
      </c>
      <c r="E177" s="171">
        <f>P!F179</f>
        <v>7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8</v>
      </c>
      <c r="E178" s="171">
        <f>P!F180</f>
        <v>8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1</v>
      </c>
      <c r="E179" s="171">
        <f>P!F181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0.5</v>
      </c>
      <c r="E180" s="171">
        <f>P!F182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1</v>
      </c>
      <c r="E181" s="171">
        <f>P!F183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25</v>
      </c>
      <c r="E182" s="171">
        <f>P!F184</f>
        <v>26</v>
      </c>
      <c r="F182" s="263" t="str">
        <f t="shared" si="4"/>
        <v>হ্যা</v>
      </c>
      <c r="G182" s="284" t="str">
        <f t="shared" si="5"/>
        <v>++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5</v>
      </c>
      <c r="E183" s="171">
        <f>P!F185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2</v>
      </c>
      <c r="E184" s="171">
        <f>P!F186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10</v>
      </c>
      <c r="E186" s="171">
        <f>P!F188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4</v>
      </c>
      <c r="E194" s="171">
        <f>P!F196</f>
        <v>5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10</v>
      </c>
      <c r="E195" s="171">
        <f>P!F197</f>
        <v>10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1</v>
      </c>
      <c r="E197" s="171">
        <f>P!F199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0.5</v>
      </c>
      <c r="E198" s="171">
        <f>P!F200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5</v>
      </c>
      <c r="E206" s="171">
        <f>P!F208</f>
        <v>5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3</v>
      </c>
      <c r="E209" s="171">
        <f>P!F211</f>
        <v>3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3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50</v>
      </c>
      <c r="E229" s="171">
        <f>P!F231</f>
        <v>3.8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110</v>
      </c>
      <c r="E231" s="171">
        <f>P!F233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30</v>
      </c>
      <c r="E232" s="171">
        <f>P!F234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118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1</v>
      </c>
      <c r="E245" s="171">
        <f>P!F247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1175</v>
      </c>
      <c r="F247" s="306"/>
      <c r="G247" s="308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60</v>
      </c>
      <c r="F250" s="306"/>
      <c r="G250" s="308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410</v>
      </c>
      <c r="F251" s="306"/>
      <c r="G251" s="308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2100</v>
      </c>
      <c r="F252" s="306"/>
      <c r="G252" s="308" t="str">
        <f t="shared" si="7"/>
        <v>++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5"/>
      <c r="B1" s="516"/>
      <c r="C1" s="517"/>
      <c r="D1" s="518">
        <f>P!D3+2</f>
        <v>45955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10</v>
      </c>
      <c r="E5" s="171">
        <f>P!H7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25</v>
      </c>
      <c r="E6" s="171">
        <f>P!H8</f>
        <v>50</v>
      </c>
      <c r="F6" s="263" t="str">
        <f t="shared" si="0"/>
        <v>হ্যা</v>
      </c>
      <c r="G6" s="284" t="str">
        <f t="shared" si="1"/>
        <v>++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2.5</v>
      </c>
      <c r="E8" s="171">
        <f>P!H10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26</v>
      </c>
      <c r="E13" s="171">
        <f>P!H15</f>
        <v>30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1.5</v>
      </c>
      <c r="E14" s="171">
        <f>P!H16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5</v>
      </c>
      <c r="E15" s="171">
        <f>P!H17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0.2</v>
      </c>
      <c r="E17" s="171">
        <f>P!H19</f>
        <v>0</v>
      </c>
      <c r="F17" s="263" t="str">
        <f t="shared" si="0"/>
        <v>হ্যা</v>
      </c>
      <c r="G17" s="284" t="str">
        <f t="shared" si="1"/>
        <v>--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20</v>
      </c>
      <c r="E19" s="171">
        <f>P!H21</f>
        <v>63</v>
      </c>
      <c r="F19" s="263" t="str">
        <f t="shared" si="0"/>
        <v>হ্যা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3</v>
      </c>
      <c r="E20" s="171">
        <f>P!H22</f>
        <v>3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2</v>
      </c>
      <c r="E21" s="171">
        <f>P!H23</f>
        <v>3</v>
      </c>
      <c r="F21" s="263" t="str">
        <f t="shared" si="0"/>
        <v>হ্যা</v>
      </c>
      <c r="G21" s="284" t="str">
        <f t="shared" si="1"/>
        <v>++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180</v>
      </c>
      <c r="E22" s="171">
        <f>P!H24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1E-3</v>
      </c>
      <c r="E29" s="171">
        <f>P!H31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2.5000000000000001E-2</v>
      </c>
      <c r="E30" s="171">
        <f>P!H32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6</v>
      </c>
      <c r="E34" s="171">
        <f>P!H36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1.5</v>
      </c>
      <c r="E35" s="171">
        <f>P!H37</f>
        <v>2</v>
      </c>
      <c r="F35" s="263" t="str">
        <f t="shared" si="0"/>
        <v>হ্যা</v>
      </c>
      <c r="G35" s="284" t="str">
        <f t="shared" si="1"/>
        <v>++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0.5</v>
      </c>
      <c r="E36" s="171">
        <f>P!H38</f>
        <v>0.5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1</v>
      </c>
      <c r="E39" s="171">
        <f>P!H41</f>
        <v>15</v>
      </c>
      <c r="F39" s="263" t="str">
        <f t="shared" si="0"/>
        <v>হ্যা</v>
      </c>
      <c r="G39" s="284" t="str">
        <f t="shared" si="1"/>
        <v>++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2</v>
      </c>
      <c r="E40" s="171">
        <f>P!H42</f>
        <v>2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2</v>
      </c>
      <c r="E50" s="171">
        <f>P!H52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10</v>
      </c>
      <c r="E56" s="171">
        <f>P!H58</f>
        <v>10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3</v>
      </c>
      <c r="E58" s="171">
        <f>P!H60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2</v>
      </c>
      <c r="E60" s="171">
        <f>P!H62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0.5</v>
      </c>
      <c r="E61" s="171">
        <f>P!H63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1</v>
      </c>
      <c r="E62" s="171">
        <f>P!H64</f>
        <v>1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0.1</v>
      </c>
      <c r="E63" s="171">
        <f>P!H65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0.3</v>
      </c>
      <c r="E65" s="171">
        <f>P!H67</f>
        <v>0.3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2</v>
      </c>
      <c r="E66" s="171">
        <f>P!H68</f>
        <v>2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2</v>
      </c>
      <c r="E67" s="171">
        <f>P!H69</f>
        <v>2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0.1</v>
      </c>
      <c r="E68" s="171">
        <f>P!H70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0.2</v>
      </c>
      <c r="E69" s="171">
        <f>P!H71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0.05</v>
      </c>
      <c r="E70" s="171">
        <f>P!H72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12</v>
      </c>
      <c r="E71" s="171">
        <f>P!H73</f>
        <v>12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0.7</v>
      </c>
      <c r="E72" s="171">
        <f>P!H74</f>
        <v>0.7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0.7</v>
      </c>
      <c r="E73" s="171">
        <f>P!H75</f>
        <v>0.7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2</v>
      </c>
      <c r="E75" s="171">
        <f>P!H77</f>
        <v>2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2.5000000000000001E-2</v>
      </c>
      <c r="E77" s="171">
        <f>P!H79</f>
        <v>2.5000000000000001E-2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0.1</v>
      </c>
      <c r="E78" s="171">
        <f>P!H80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2.5</v>
      </c>
      <c r="E80" s="171">
        <f>P!H82</f>
        <v>3</v>
      </c>
      <c r="F80" s="263" t="str">
        <f t="shared" si="2"/>
        <v>হ্যা</v>
      </c>
      <c r="G80" s="284" t="str">
        <f t="shared" si="3"/>
        <v>++</v>
      </c>
      <c r="H80" s="131" t="s">
        <v>450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 t="str">
        <f>S!L84</f>
        <v xml:space="preserve"> </v>
      </c>
      <c r="E84" s="171">
        <f>P!H86</f>
        <v>0</v>
      </c>
      <c r="F84" s="263" t="str">
        <f t="shared" si="2"/>
        <v>হ্যা</v>
      </c>
      <c r="G84" s="284" t="e">
        <f t="shared" si="3"/>
        <v>#VALUE!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0.2</v>
      </c>
      <c r="E86" s="171">
        <f>P!H88</f>
        <v>0.2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13</v>
      </c>
      <c r="E87" s="171">
        <f>P!H89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4</v>
      </c>
      <c r="E88" s="171">
        <f>P!H90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170</v>
      </c>
      <c r="E89" s="171">
        <f>P!H91</f>
        <v>180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1.5</v>
      </c>
      <c r="E92" s="171">
        <f>P!H94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3</v>
      </c>
      <c r="E95" s="171">
        <f>P!H97</f>
        <v>2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398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0.1</v>
      </c>
      <c r="E99" s="171">
        <f>P!H101</f>
        <v>0</v>
      </c>
      <c r="F99" s="263" t="str">
        <f t="shared" si="2"/>
        <v>হ্যা</v>
      </c>
      <c r="G99" s="284" t="str">
        <f t="shared" si="3"/>
        <v>--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0.5</v>
      </c>
      <c r="E106" s="171">
        <f>P!H108</f>
        <v>3</v>
      </c>
      <c r="F106" s="263" t="str">
        <f t="shared" si="2"/>
        <v>হ্যা</v>
      </c>
      <c r="G106" s="284" t="str">
        <f t="shared" si="3"/>
        <v>++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0.2</v>
      </c>
      <c r="E107" s="171">
        <f>P!H109</f>
        <v>0</v>
      </c>
      <c r="F107" s="263" t="str">
        <f t="shared" si="2"/>
        <v>হ্যা</v>
      </c>
      <c r="G107" s="284" t="str">
        <f t="shared" si="3"/>
        <v>--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458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30</v>
      </c>
      <c r="E114" s="171">
        <f>P!H116</f>
        <v>0</v>
      </c>
      <c r="F114" s="263" t="str">
        <f t="shared" si="2"/>
        <v>হ্যা</v>
      </c>
      <c r="G114" s="284" t="str">
        <f t="shared" si="3"/>
        <v>--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110</v>
      </c>
      <c r="E116" s="171">
        <f>P!H118</f>
        <v>144</v>
      </c>
      <c r="F116" s="263" t="str">
        <f t="shared" si="2"/>
        <v>হ্যা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52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2.5</v>
      </c>
      <c r="E128" s="171">
        <f>P!H130</f>
        <v>2.5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4</v>
      </c>
      <c r="E130" s="171">
        <f>P!H132</f>
        <v>4.2</v>
      </c>
      <c r="F130" s="263" t="str">
        <f t="shared" si="2"/>
        <v>হ্যা</v>
      </c>
      <c r="G130" s="284" t="str">
        <f t="shared" si="3"/>
        <v>++</v>
      </c>
      <c r="H130" s="131" t="s">
        <v>398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10</v>
      </c>
      <c r="F131" s="263" t="str">
        <f t="shared" si="2"/>
        <v>নাই</v>
      </c>
      <c r="G131" s="284" t="str">
        <f t="shared" si="3"/>
        <v>++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398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25</v>
      </c>
      <c r="E143" s="171">
        <f>P!H145</f>
        <v>18</v>
      </c>
      <c r="F143" s="263" t="str">
        <f t="shared" si="4"/>
        <v>হ্যা</v>
      </c>
      <c r="G143" s="284" t="str">
        <f t="shared" si="5"/>
        <v>--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3</v>
      </c>
      <c r="E146" s="171">
        <f>P!H148</f>
        <v>3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7</v>
      </c>
      <c r="E147" s="171">
        <f>P!H149</f>
        <v>7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45</v>
      </c>
      <c r="E150" s="171">
        <f>P!H152</f>
        <v>45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5.5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399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399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5.3</v>
      </c>
      <c r="F173" s="263" t="str">
        <f t="shared" si="4"/>
        <v>নাই</v>
      </c>
      <c r="G173" s="284" t="str">
        <f t="shared" si="5"/>
        <v>++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15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20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2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1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3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35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8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3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3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32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10</v>
      </c>
      <c r="F194" s="263" t="str">
        <f t="shared" si="4"/>
        <v>নাই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30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3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2.5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1</v>
      </c>
      <c r="F199" s="263" t="str">
        <f t="shared" si="6"/>
        <v>নাই</v>
      </c>
      <c r="G199" s="284" t="str">
        <f t="shared" si="7"/>
        <v>++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4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2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30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5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463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24</v>
      </c>
      <c r="F230" s="263" t="str">
        <f t="shared" si="6"/>
        <v>নাই</v>
      </c>
      <c r="G230" s="284" t="str">
        <f t="shared" si="7"/>
        <v>++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3000</v>
      </c>
      <c r="F231" s="263" t="str">
        <f t="shared" si="6"/>
        <v>নাই</v>
      </c>
      <c r="G231" s="284" t="str">
        <f t="shared" si="7"/>
        <v>++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126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399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158</v>
      </c>
      <c r="F24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100</v>
      </c>
      <c r="F246" s="306"/>
      <c r="G246" s="284" t="str">
        <f t="shared" si="7"/>
        <v>++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1065</v>
      </c>
      <c r="F247" s="306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50</v>
      </c>
      <c r="F250" s="306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880</v>
      </c>
      <c r="F251" s="306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5300</v>
      </c>
      <c r="F252" s="306"/>
      <c r="G252" s="284" t="str">
        <f t="shared" si="7"/>
        <v>++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P!D3+3</f>
        <v>45956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15</v>
      </c>
      <c r="E5" s="171">
        <f>P!J7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3</v>
      </c>
      <c r="E6" s="171">
        <f>P!J8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3</v>
      </c>
      <c r="E8" s="171">
        <f>P!J10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1.5</v>
      </c>
      <c r="E9" s="171">
        <f>P!J11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5</v>
      </c>
      <c r="E13" s="171">
        <f>P!J15</f>
        <v>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0.5</v>
      </c>
      <c r="E14" s="171">
        <f>P!J16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1</v>
      </c>
      <c r="E15" s="171">
        <f>P!J17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6</v>
      </c>
      <c r="E19" s="171">
        <f>P!J21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0.5</v>
      </c>
      <c r="E20" s="171">
        <f>P!J22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35</v>
      </c>
      <c r="E22" s="171">
        <f>P!J24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2</v>
      </c>
      <c r="E34" s="171">
        <f>P!J36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4</v>
      </c>
      <c r="E56" s="171">
        <f>P!J58</f>
        <v>6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1</v>
      </c>
      <c r="E58" s="171">
        <f>P!J60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2</v>
      </c>
      <c r="E60" s="171">
        <f>P!J62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0.2</v>
      </c>
      <c r="E61" s="171">
        <f>P!J63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0.3</v>
      </c>
      <c r="E62" s="171">
        <f>P!J64</f>
        <v>0.5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0.1</v>
      </c>
      <c r="E65" s="171">
        <f>P!J67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2.5000000000000001E-2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0.05</v>
      </c>
      <c r="E69" s="171">
        <f>P!J71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0.02</v>
      </c>
      <c r="E70" s="171">
        <f>P!J72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0.3</v>
      </c>
      <c r="E75" s="171">
        <f>P!J77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0.05</v>
      </c>
      <c r="E78" s="171">
        <f>P!J80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0.5</v>
      </c>
      <c r="E80" s="171">
        <f>P!J82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5</v>
      </c>
      <c r="E87" s="171">
        <f>P!J89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0.5</v>
      </c>
      <c r="E88" s="171">
        <f>P!J90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0.1</v>
      </c>
      <c r="E89" s="171">
        <f>P!J91</f>
        <v>90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0.5</v>
      </c>
      <c r="E92" s="171">
        <f>P!J94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1</v>
      </c>
      <c r="E95" s="171">
        <f>P!J97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1</v>
      </c>
      <c r="F98" s="263" t="str">
        <f t="shared" si="2"/>
        <v>নাই</v>
      </c>
      <c r="G98" s="284" t="str">
        <f t="shared" si="3"/>
        <v>++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3</v>
      </c>
      <c r="E105" s="171">
        <f>P!J107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0.9</v>
      </c>
      <c r="F112" s="263" t="str">
        <f t="shared" si="2"/>
        <v>নাই</v>
      </c>
      <c r="G112" s="284" t="str">
        <f t="shared" si="3"/>
        <v>++</v>
      </c>
      <c r="H112" s="131" t="s">
        <v>377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0.25</v>
      </c>
      <c r="F113" s="263" t="str">
        <f t="shared" si="2"/>
        <v>নাই</v>
      </c>
      <c r="G113" s="284" t="str">
        <f t="shared" si="3"/>
        <v>++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30</v>
      </c>
      <c r="E124" s="171">
        <f>P!J126</f>
        <v>40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1.6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377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4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2</v>
      </c>
      <c r="F131" s="263" t="str">
        <f t="shared" si="2"/>
        <v>নাই</v>
      </c>
      <c r="G131" s="284" t="str">
        <f t="shared" si="3"/>
        <v>++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10</v>
      </c>
      <c r="E133" s="171">
        <f>P!J135</f>
        <v>0</v>
      </c>
      <c r="F133" s="263" t="str">
        <f t="shared" si="4"/>
        <v>হ্যা</v>
      </c>
      <c r="G133" s="284" t="str">
        <f t="shared" si="5"/>
        <v>--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14</v>
      </c>
      <c r="E150" s="171">
        <f>P!J152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5</v>
      </c>
      <c r="E153" s="171">
        <f>P!J155</f>
        <v>5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3</v>
      </c>
      <c r="E177" s="171">
        <f>P!J179</f>
        <v>3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5</v>
      </c>
      <c r="E178" s="171">
        <f>P!J180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0.5</v>
      </c>
      <c r="E179" s="171">
        <f>P!J181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0.5</v>
      </c>
      <c r="E180" s="171">
        <f>P!J182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1</v>
      </c>
      <c r="E181" s="171">
        <f>P!J183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15</v>
      </c>
      <c r="E182" s="171">
        <f>P!J184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3</v>
      </c>
      <c r="E183" s="171">
        <f>P!J185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1</v>
      </c>
      <c r="E184" s="171">
        <f>P!J186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3</v>
      </c>
      <c r="E185" s="171">
        <f>P!J187</f>
        <v>3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15</v>
      </c>
      <c r="E187" s="171">
        <f>P!J189</f>
        <v>18</v>
      </c>
      <c r="F187" s="263" t="str">
        <f t="shared" si="4"/>
        <v>হ্যা</v>
      </c>
      <c r="G187" s="284" t="str">
        <f t="shared" si="5"/>
        <v>++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1</v>
      </c>
      <c r="E195" s="171">
        <f>P!J197</f>
        <v>1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1</v>
      </c>
      <c r="E197" s="171">
        <f>P!J199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0.5</v>
      </c>
      <c r="E198" s="171">
        <f>P!J200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1</v>
      </c>
      <c r="E204" s="171">
        <f>P!J206</f>
        <v>2</v>
      </c>
      <c r="F204" s="263" t="str">
        <f t="shared" si="6"/>
        <v>হ্যা</v>
      </c>
      <c r="G204" s="284" t="str">
        <f t="shared" si="7"/>
        <v>++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1</v>
      </c>
      <c r="E206" s="171">
        <f>P!J208</f>
        <v>1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1</v>
      </c>
      <c r="E214" s="171">
        <f>P!J216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2.4</v>
      </c>
      <c r="F228" s="263" t="str">
        <f t="shared" si="6"/>
        <v>নাই</v>
      </c>
      <c r="G228" s="284" t="str">
        <f t="shared" si="7"/>
        <v>++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1.1000000000000001</v>
      </c>
      <c r="F229" s="263" t="str">
        <f t="shared" si="6"/>
        <v>নাই</v>
      </c>
      <c r="G229" s="284" t="str">
        <f t="shared" si="7"/>
        <v>++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0.5</v>
      </c>
      <c r="E230" s="171">
        <f>P!J232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30</v>
      </c>
      <c r="E231" s="171">
        <f>P!J233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30</v>
      </c>
      <c r="E232" s="171">
        <f>P!J234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0.5</v>
      </c>
      <c r="E245" s="171">
        <f>P!J247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4000</v>
      </c>
      <c r="F246" s="263"/>
      <c r="G246" s="284" t="str">
        <f t="shared" si="7"/>
        <v>++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50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260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3300</v>
      </c>
      <c r="F252" s="263"/>
      <c r="G252" s="284" t="str">
        <f t="shared" si="7"/>
        <v>++</v>
      </c>
      <c r="H252" s="131"/>
    </row>
    <row r="259" spans="4:4">
      <c r="D259" s="27" t="s">
        <v>308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P!D3+4</f>
        <v>45957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15</v>
      </c>
      <c r="E5" s="171">
        <f>P!L7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3</v>
      </c>
      <c r="E8" s="171">
        <f>P!L10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2</v>
      </c>
      <c r="E10" s="171">
        <f>P!L12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5</v>
      </c>
      <c r="E13" s="171">
        <f>P!L15</f>
        <v>15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0.3</v>
      </c>
      <c r="E14" s="171">
        <f>P!L16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1</v>
      </c>
      <c r="E15" s="171">
        <f>P!L17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4</v>
      </c>
      <c r="E19" s="171">
        <f>P!L21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0.2</v>
      </c>
      <c r="E20" s="171">
        <f>P!L22</f>
        <v>0.5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1060</v>
      </c>
      <c r="F22" s="263" t="str">
        <f t="shared" si="0"/>
        <v>নাই</v>
      </c>
      <c r="G22" s="284" t="str">
        <f t="shared" si="1"/>
        <v>++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2</v>
      </c>
      <c r="E34" s="171">
        <f>P!L36</f>
        <v>32</v>
      </c>
      <c r="F34" s="263" t="str">
        <f t="shared" si="0"/>
        <v>হ্যা</v>
      </c>
      <c r="G34" s="284" t="str">
        <f t="shared" si="1"/>
        <v>++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0.5</v>
      </c>
      <c r="F38" s="263" t="str">
        <f t="shared" si="0"/>
        <v>নাই</v>
      </c>
      <c r="G38" s="284" t="str">
        <f t="shared" si="1"/>
        <v>++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1</v>
      </c>
      <c r="F39" s="263" t="str">
        <f t="shared" si="0"/>
        <v>নাই</v>
      </c>
      <c r="G39" s="284" t="str">
        <f t="shared" si="1"/>
        <v>++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452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4</v>
      </c>
      <c r="E56" s="171">
        <f>P!L58</f>
        <v>10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2</v>
      </c>
      <c r="E58" s="171">
        <f>P!L60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2</v>
      </c>
      <c r="E60" s="171">
        <f>P!L62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0.2</v>
      </c>
      <c r="E61" s="171">
        <f>P!L63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0.3</v>
      </c>
      <c r="E62" s="171">
        <f>P!L64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0.1</v>
      </c>
      <c r="E65" s="171">
        <f>P!L67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2.5000000000000001E-2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0.05</v>
      </c>
      <c r="E69" s="171">
        <f>P!L71</f>
        <v>0.5</v>
      </c>
      <c r="F69" s="263" t="str">
        <f t="shared" si="2"/>
        <v>হ্যা</v>
      </c>
      <c r="G69" s="284" t="str">
        <f t="shared" si="3"/>
        <v>++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0.01</v>
      </c>
      <c r="E70" s="171">
        <f>P!L72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0.1</v>
      </c>
      <c r="E78" s="171">
        <f>P!L80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1</v>
      </c>
      <c r="E80" s="171">
        <f>P!L82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24</v>
      </c>
      <c r="E87" s="171">
        <f>P!L89</f>
        <v>24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0.5</v>
      </c>
      <c r="E88" s="171">
        <f>P!L90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40</v>
      </c>
      <c r="E89" s="171">
        <f>P!L91</f>
        <v>60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2</v>
      </c>
      <c r="E95" s="171">
        <f>P!L97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25</v>
      </c>
      <c r="E116" s="171">
        <f>P!L118</f>
        <v>144</v>
      </c>
      <c r="F116" s="263" t="str">
        <f t="shared" si="2"/>
        <v>হ্যা</v>
      </c>
      <c r="G116" s="284" t="str">
        <f t="shared" si="3"/>
        <v>++</v>
      </c>
      <c r="H116" s="131" t="s">
        <v>452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30</v>
      </c>
      <c r="E124" s="171">
        <f>P!L126</f>
        <v>27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10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377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10</v>
      </c>
      <c r="F133" s="263" t="str">
        <f t="shared" si="4"/>
        <v>নাই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8</v>
      </c>
      <c r="E150" s="171">
        <f>P!L152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14.3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5</v>
      </c>
      <c r="E169" s="171">
        <f>P!L171</f>
        <v>5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2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5</v>
      </c>
      <c r="E178" s="171">
        <f>P!L180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0.5</v>
      </c>
      <c r="E179" s="171">
        <f>P!L181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0.5</v>
      </c>
      <c r="E180" s="171">
        <f>P!L182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1</v>
      </c>
      <c r="E181" s="171">
        <f>P!L183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15</v>
      </c>
      <c r="E182" s="171">
        <f>P!L184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3</v>
      </c>
      <c r="E183" s="171">
        <f>P!L185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1</v>
      </c>
      <c r="E184" s="171">
        <f>P!L186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5</v>
      </c>
      <c r="E191" s="171">
        <f>P!L193</f>
        <v>6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8</v>
      </c>
      <c r="E193" s="171">
        <f>P!L195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15</v>
      </c>
      <c r="E194" s="171">
        <f>P!L196</f>
        <v>15.1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3</v>
      </c>
      <c r="E195" s="171">
        <f>P!L197</f>
        <v>3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2</v>
      </c>
      <c r="E197" s="171">
        <f>P!L199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0.5</v>
      </c>
      <c r="E198" s="171">
        <f>P!L200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5</v>
      </c>
      <c r="E209" s="171">
        <f>P!L211</f>
        <v>5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5.9</v>
      </c>
      <c r="F229" s="263" t="str">
        <f t="shared" si="6"/>
        <v>নাই</v>
      </c>
      <c r="G229" s="284" t="str">
        <f t="shared" si="7"/>
        <v>++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0.5</v>
      </c>
      <c r="E230" s="171">
        <f>P!L232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30</v>
      </c>
      <c r="E231" s="171">
        <f>P!L233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30</v>
      </c>
      <c r="E232" s="171">
        <f>P!L234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85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14860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60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100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580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3100</v>
      </c>
      <c r="F252" s="263"/>
      <c r="G252" s="284" t="str">
        <f t="shared" si="7"/>
        <v>++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P!D3+5</f>
        <v>45958</v>
      </c>
      <c r="E1" s="518"/>
      <c r="F1" s="518"/>
      <c r="G1" s="283"/>
      <c r="H1" s="131" t="s">
        <v>385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243</v>
      </c>
      <c r="E2" s="285" t="s">
        <v>365</v>
      </c>
      <c r="F2" s="285" t="s">
        <v>375</v>
      </c>
      <c r="G2" s="285" t="s">
        <v>383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19</v>
      </c>
      <c r="E5" s="171">
        <f>P!N7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1</v>
      </c>
      <c r="E6" s="171">
        <f>P!N8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4.5</v>
      </c>
      <c r="E8" s="171">
        <f>P!N10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2</v>
      </c>
      <c r="E9" s="171">
        <f>P!N11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2</v>
      </c>
      <c r="E10" s="171">
        <f>P!N12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8</v>
      </c>
      <c r="E13" s="171">
        <f>P!N15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0.4</v>
      </c>
      <c r="E14" s="171">
        <f>P!N16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2</v>
      </c>
      <c r="E15" s="171">
        <f>P!N17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8</v>
      </c>
      <c r="E19" s="171">
        <f>P!N21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2</v>
      </c>
      <c r="E20" s="171">
        <f>P!N22</f>
        <v>2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75</v>
      </c>
      <c r="E22" s="171">
        <f>P!N24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2</v>
      </c>
      <c r="E34" s="171">
        <f>P!N36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100</v>
      </c>
      <c r="E54" s="171">
        <f>P!N56</f>
        <v>100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100</v>
      </c>
      <c r="E55" s="171">
        <f>P!N57</f>
        <v>100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6</v>
      </c>
      <c r="E56" s="171">
        <f>P!N58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2</v>
      </c>
      <c r="E58" s="171">
        <f>P!N60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3</v>
      </c>
      <c r="E60" s="171">
        <f>P!N62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0.2</v>
      </c>
      <c r="E61" s="171">
        <f>P!N63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0.3</v>
      </c>
      <c r="E62" s="171">
        <f>P!N64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0.1</v>
      </c>
      <c r="E65" s="171">
        <f>P!N67</f>
        <v>0.5</v>
      </c>
      <c r="F65" s="263" t="str">
        <f t="shared" si="0"/>
        <v>হ্যা</v>
      </c>
      <c r="G65" s="284" t="str">
        <f t="shared" si="1"/>
        <v>++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0.03</v>
      </c>
      <c r="E68" s="171">
        <f>P!N70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0.1</v>
      </c>
      <c r="E69" s="171">
        <f>P!N71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2.5000000000000001E-2</v>
      </c>
      <c r="E70" s="171">
        <f>P!N72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0.25</v>
      </c>
      <c r="E75" s="171">
        <f>P!N77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0.1</v>
      </c>
      <c r="E78" s="171">
        <f>P!N80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1</v>
      </c>
      <c r="E80" s="171">
        <f>P!N82</f>
        <v>1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3</v>
      </c>
      <c r="E87" s="171">
        <f>P!N89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3</v>
      </c>
      <c r="E88" s="171">
        <f>P!N90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50</v>
      </c>
      <c r="E89" s="171">
        <f>P!N91</f>
        <v>50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1</v>
      </c>
      <c r="E92" s="171">
        <f>P!N94</f>
        <v>16</v>
      </c>
      <c r="F92" s="263" t="str">
        <f t="shared" si="2"/>
        <v>হ্যা</v>
      </c>
      <c r="G92" s="284" t="str">
        <f t="shared" si="3"/>
        <v>++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2</v>
      </c>
      <c r="E95" s="171">
        <f>P!N97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1</v>
      </c>
      <c r="E98" s="171">
        <f>P!N100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1</v>
      </c>
      <c r="E109" s="171">
        <f>P!N111</f>
        <v>0</v>
      </c>
      <c r="F109" s="263" t="str">
        <f t="shared" si="2"/>
        <v>হ্যা</v>
      </c>
      <c r="G109" s="284" t="str">
        <f t="shared" si="3"/>
        <v>--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55</v>
      </c>
      <c r="E124" s="171">
        <f>P!N126</f>
        <v>62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7</v>
      </c>
      <c r="E126" s="171">
        <f>P!N128</f>
        <v>7.3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5</v>
      </c>
      <c r="E130" s="171">
        <f>P!N132</f>
        <v>5</v>
      </c>
      <c r="F130" s="263" t="str">
        <f t="shared" si="2"/>
        <v>হ্যা</v>
      </c>
      <c r="G130" s="284" t="str">
        <f t="shared" si="3"/>
        <v>OK</v>
      </c>
      <c r="H130" s="418" t="s">
        <v>453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453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453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0.7</v>
      </c>
      <c r="E145" s="171">
        <f>P!N147</f>
        <v>0</v>
      </c>
      <c r="F145" s="263" t="str">
        <f t="shared" si="4"/>
        <v>হ্যা</v>
      </c>
      <c r="G145" s="284" t="str">
        <f t="shared" si="5"/>
        <v>--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20</v>
      </c>
      <c r="E150" s="171">
        <f>P!N152</f>
        <v>20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5</v>
      </c>
      <c r="E153" s="171">
        <f>P!N155</f>
        <v>5</v>
      </c>
      <c r="F153" s="263" t="str">
        <f t="shared" si="4"/>
        <v>হ্যা</v>
      </c>
      <c r="G153" s="284" t="str">
        <f t="shared" si="5"/>
        <v>OK</v>
      </c>
      <c r="H153" s="131" t="s">
        <v>453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386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453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2</v>
      </c>
      <c r="E160" s="171">
        <f>P!N162</f>
        <v>2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2</v>
      </c>
      <c r="E161" s="171">
        <f>P!N163</f>
        <v>2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386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8</v>
      </c>
      <c r="E177" s="171">
        <f>P!N179</f>
        <v>8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7</v>
      </c>
      <c r="E178" s="171">
        <f>P!N180</f>
        <v>7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0.5</v>
      </c>
      <c r="E179" s="171">
        <f>P!N181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0.5</v>
      </c>
      <c r="E180" s="171">
        <f>P!N182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1.5</v>
      </c>
      <c r="E181" s="171">
        <f>P!N183</f>
        <v>1.5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20</v>
      </c>
      <c r="E182" s="171">
        <f>P!N184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4</v>
      </c>
      <c r="E183" s="171">
        <f>P!N185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1</v>
      </c>
      <c r="E184" s="171">
        <f>P!N186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18</v>
      </c>
      <c r="E187" s="171">
        <f>P!N189</f>
        <v>18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1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1</v>
      </c>
      <c r="E195" s="171">
        <f>P!N197</f>
        <v>0</v>
      </c>
      <c r="F195" s="263" t="str">
        <f t="shared" si="4"/>
        <v>হ্যা</v>
      </c>
      <c r="G195" s="284" t="str">
        <f t="shared" si="5"/>
        <v>--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453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1</v>
      </c>
      <c r="E197" s="171">
        <f>P!N199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0.5</v>
      </c>
      <c r="E198" s="171">
        <f>P!N200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2</v>
      </c>
      <c r="E204" s="171">
        <f>P!N206</f>
        <v>2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1</v>
      </c>
      <c r="E206" s="171">
        <f>P!N208</f>
        <v>1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5</v>
      </c>
      <c r="E207" s="171">
        <f>P!N209</f>
        <v>0</v>
      </c>
      <c r="F207" s="263" t="str">
        <f t="shared" si="6"/>
        <v>হ্যা</v>
      </c>
      <c r="G207" s="284" t="str">
        <f t="shared" si="7"/>
        <v>--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1</v>
      </c>
      <c r="E214" s="171">
        <f>P!N216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4</v>
      </c>
      <c r="E229" s="171">
        <f>P!N231</f>
        <v>4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2</v>
      </c>
      <c r="E230" s="171">
        <f>P!N232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150</v>
      </c>
      <c r="E231" s="171">
        <f>P!N233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453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99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1</v>
      </c>
      <c r="E245" s="171">
        <f>P!N247</f>
        <v>30</v>
      </c>
      <c r="F245" s="263" t="str">
        <f t="shared" si="6"/>
        <v>হ্যা</v>
      </c>
      <c r="G245" s="284" t="str">
        <f t="shared" si="7"/>
        <v>++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1000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60</v>
      </c>
      <c r="F248" s="263" t="str">
        <f t="shared" si="6"/>
        <v>নাই</v>
      </c>
      <c r="G248" s="284" t="str">
        <f t="shared" si="7"/>
        <v>++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50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440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2300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P!D3+6</f>
        <v>45959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20</v>
      </c>
      <c r="E5" s="171">
        <f>P!P7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4</v>
      </c>
      <c r="E8" s="171">
        <f>P!P10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2</v>
      </c>
      <c r="E9" s="171">
        <f>P!P11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8</v>
      </c>
      <c r="E13" s="171">
        <f>P!P15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0.2</v>
      </c>
      <c r="E14" s="171">
        <f>P!P16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1</v>
      </c>
      <c r="E15" s="171">
        <f>P!P17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8</v>
      </c>
      <c r="E19" s="171">
        <f>P!P21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0.5</v>
      </c>
      <c r="E20" s="171">
        <f>P!P22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25</v>
      </c>
      <c r="E22" s="171">
        <f>P!P24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2</v>
      </c>
      <c r="E34" s="171">
        <f>P!P36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454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1500</v>
      </c>
      <c r="F45" s="263" t="str">
        <f t="shared" si="0"/>
        <v>নাই</v>
      </c>
      <c r="G45" s="284" t="str">
        <f t="shared" si="1"/>
        <v>++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6</v>
      </c>
      <c r="E56" s="171">
        <f>P!P58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2</v>
      </c>
      <c r="E58" s="171">
        <f>P!P60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2</v>
      </c>
      <c r="E60" s="171">
        <f>P!P62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0.3</v>
      </c>
      <c r="E61" s="171">
        <f>P!P63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0.4</v>
      </c>
      <c r="E62" s="171">
        <f>P!P64</f>
        <v>1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0.1</v>
      </c>
      <c r="E65" s="171">
        <f>P!P67</f>
        <v>0</v>
      </c>
      <c r="F65" s="263" t="str">
        <f t="shared" si="0"/>
        <v>হ্যা</v>
      </c>
      <c r="G65" s="284" t="str">
        <f t="shared" si="1"/>
        <v>--</v>
      </c>
      <c r="H65" s="131" t="s">
        <v>451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0.1</v>
      </c>
      <c r="E68" s="171">
        <f>P!P70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0.05</v>
      </c>
      <c r="E69" s="171">
        <f>P!P71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0.01</v>
      </c>
      <c r="E70" s="171">
        <f>P!P72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0.1</v>
      </c>
      <c r="E78" s="171">
        <f>P!P80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1</v>
      </c>
      <c r="E80" s="171">
        <f>P!P82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3</v>
      </c>
      <c r="E87" s="171">
        <f>P!P89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1</v>
      </c>
      <c r="E88" s="171">
        <f>P!P90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50</v>
      </c>
      <c r="E89" s="171">
        <f>P!P91</f>
        <v>60</v>
      </c>
      <c r="F89" s="263" t="str">
        <f t="shared" si="2"/>
        <v>হ্যা</v>
      </c>
      <c r="G89" s="284" t="str">
        <f t="shared" si="3"/>
        <v>++</v>
      </c>
      <c r="H89" s="131" t="s">
        <v>451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2</v>
      </c>
      <c r="E95" s="171">
        <f>P!P97</f>
        <v>5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1</v>
      </c>
      <c r="E100" s="171">
        <f>P!P102</f>
        <v>1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30</v>
      </c>
      <c r="E124" s="171">
        <f>P!P126</f>
        <v>45</v>
      </c>
      <c r="F124" s="263" t="str">
        <f t="shared" si="2"/>
        <v>হ্যা</v>
      </c>
      <c r="G124" s="284" t="str">
        <f t="shared" si="3"/>
        <v>++</v>
      </c>
      <c r="H124" s="131" t="s">
        <v>451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377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2</v>
      </c>
      <c r="E130" s="171">
        <f>P!P132</f>
        <v>2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377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3</v>
      </c>
      <c r="E133" s="171">
        <f>P!P135</f>
        <v>3.1</v>
      </c>
      <c r="F133" s="263" t="str">
        <f t="shared" si="4"/>
        <v>হ্যা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377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10</v>
      </c>
      <c r="F141" s="263" t="str">
        <f t="shared" si="4"/>
        <v>নাই</v>
      </c>
      <c r="G141" s="284" t="str">
        <f t="shared" si="5"/>
        <v>++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14</v>
      </c>
      <c r="E150" s="171">
        <f>P!P152</f>
        <v>24</v>
      </c>
      <c r="F150" s="263" t="str">
        <f t="shared" si="4"/>
        <v>হ্যা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1.5</v>
      </c>
      <c r="E152" s="171">
        <f>P!P154</f>
        <v>1</v>
      </c>
      <c r="F152" s="263" t="str">
        <f t="shared" si="4"/>
        <v>হ্যা</v>
      </c>
      <c r="G152" s="284" t="str">
        <f t="shared" si="5"/>
        <v>--</v>
      </c>
      <c r="H152" s="131" t="s">
        <v>451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14</v>
      </c>
      <c r="E170" s="171">
        <f>P!P172</f>
        <v>14.1</v>
      </c>
      <c r="F170" s="263" t="str">
        <f t="shared" si="4"/>
        <v>হ্যা</v>
      </c>
      <c r="G170" s="284" t="str">
        <f t="shared" si="5"/>
        <v>++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5</v>
      </c>
      <c r="E177" s="171">
        <f>P!P179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5</v>
      </c>
      <c r="E178" s="171">
        <f>P!P180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1</v>
      </c>
      <c r="E179" s="171">
        <f>P!P181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0.5</v>
      </c>
      <c r="E180" s="171">
        <f>P!P182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1</v>
      </c>
      <c r="E181" s="171">
        <f>P!P183</f>
        <v>2</v>
      </c>
      <c r="F181" s="263" t="str">
        <f t="shared" si="4"/>
        <v>হ্যা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20</v>
      </c>
      <c r="E182" s="171">
        <f>P!P184</f>
        <v>40</v>
      </c>
      <c r="F182" s="263" t="str">
        <f t="shared" si="4"/>
        <v>হ্যা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4</v>
      </c>
      <c r="E183" s="171">
        <f>P!P185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1</v>
      </c>
      <c r="E184" s="171">
        <f>P!P186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5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7</v>
      </c>
      <c r="E195" s="171">
        <f>P!P197</f>
        <v>7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1</v>
      </c>
      <c r="E197" s="171">
        <f>P!P199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0.5</v>
      </c>
      <c r="E198" s="171">
        <f>P!P200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5</v>
      </c>
      <c r="E206" s="171">
        <f>P!P208</f>
        <v>12</v>
      </c>
      <c r="F206" s="263" t="str">
        <f t="shared" si="6"/>
        <v>হ্যা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15</v>
      </c>
      <c r="E207" s="171">
        <f>P!P209</f>
        <v>15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1</v>
      </c>
      <c r="E214" s="171">
        <f>P!P216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1.5</v>
      </c>
      <c r="E230" s="171">
        <f>P!P232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80</v>
      </c>
      <c r="E231" s="171">
        <f>P!P233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54</v>
      </c>
      <c r="E232" s="171">
        <f>P!P234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216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3600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150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240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3600</v>
      </c>
      <c r="F252" s="263"/>
      <c r="G252" s="284" t="str">
        <f t="shared" si="7"/>
        <v>++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P!D3+7</f>
        <v>45960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32</v>
      </c>
      <c r="E5" s="171">
        <f>P!R7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24</v>
      </c>
      <c r="E6" s="171">
        <f>P!R8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4</v>
      </c>
      <c r="E8" s="171">
        <f>P!R10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5</v>
      </c>
      <c r="E9" s="171">
        <f>P!R11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3</v>
      </c>
      <c r="E10" s="171">
        <f>P!R12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30</v>
      </c>
      <c r="E13" s="171">
        <f>P!R15</f>
        <v>30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0.5</v>
      </c>
      <c r="E14" s="171">
        <f>P!R16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6</v>
      </c>
      <c r="E15" s="171">
        <f>P!R17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0.2</v>
      </c>
      <c r="E17" s="171">
        <f>P!R19</f>
        <v>0.2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30</v>
      </c>
      <c r="E19" s="171">
        <f>P!R21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1</v>
      </c>
      <c r="E20" s="171">
        <f>P!R22</f>
        <v>2.5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1</v>
      </c>
      <c r="E21" s="171">
        <f>P!R23</f>
        <v>0</v>
      </c>
      <c r="F21" s="263" t="str">
        <f t="shared" si="0"/>
        <v>হ্যা</v>
      </c>
      <c r="G21" s="284" t="str">
        <f t="shared" si="1"/>
        <v>--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1100</v>
      </c>
      <c r="E22" s="171">
        <f>P!R24</f>
        <v>1000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1E-3</v>
      </c>
      <c r="E29" s="171">
        <f>P!R31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0.05</v>
      </c>
      <c r="E30" s="171">
        <f>P!R32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6</v>
      </c>
      <c r="E34" s="171">
        <f>P!R36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0.5</v>
      </c>
      <c r="E36" s="171">
        <f>P!R38</f>
        <v>0.5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457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1</v>
      </c>
      <c r="E39" s="171">
        <f>P!R41</f>
        <v>1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1000</v>
      </c>
      <c r="E45" s="171">
        <f>P!R47</f>
        <v>0</v>
      </c>
      <c r="F45" s="263" t="str">
        <f t="shared" si="0"/>
        <v>হ্যা</v>
      </c>
      <c r="G45" s="284" t="str">
        <f t="shared" si="1"/>
        <v>--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2</v>
      </c>
      <c r="E50" s="171">
        <f>P!R52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12</v>
      </c>
      <c r="E56" s="171">
        <f>P!R58</f>
        <v>12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4</v>
      </c>
      <c r="E58" s="171">
        <f>P!R60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2</v>
      </c>
      <c r="E60" s="171">
        <f>P!R62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0.5</v>
      </c>
      <c r="E61" s="171">
        <f>P!R63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1</v>
      </c>
      <c r="E62" s="171">
        <f>P!R64</f>
        <v>1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0.2</v>
      </c>
      <c r="E65" s="171">
        <f>P!R67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5</v>
      </c>
      <c r="E66" s="171">
        <f>P!R68</f>
        <v>2</v>
      </c>
      <c r="F66" s="263" t="str">
        <f t="shared" si="0"/>
        <v>হ্যা</v>
      </c>
      <c r="G66" s="284" t="str">
        <f t="shared" si="1"/>
        <v>--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5</v>
      </c>
      <c r="E67" s="171">
        <f>P!R69</f>
        <v>2</v>
      </c>
      <c r="F67" s="263" t="str">
        <f t="shared" si="0"/>
        <v>হ্যা</v>
      </c>
      <c r="G67" s="284" t="str">
        <f t="shared" si="1"/>
        <v>--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0.1</v>
      </c>
      <c r="E68" s="171">
        <f>P!R70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0.3</v>
      </c>
      <c r="E69" s="171">
        <f>P!R71</f>
        <v>0.3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0.05</v>
      </c>
      <c r="E70" s="171">
        <f>P!R72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2</v>
      </c>
      <c r="E71" s="171">
        <f>P!R73</f>
        <v>2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0.5</v>
      </c>
      <c r="E72" s="171">
        <f>P!R74</f>
        <v>0.5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0.5</v>
      </c>
      <c r="E73" s="171">
        <f>P!R75</f>
        <v>0.5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2</v>
      </c>
      <c r="E75" s="171">
        <f>P!R77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0.05</v>
      </c>
      <c r="E77" s="171">
        <f>P!R79</f>
        <v>0.05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0.1</v>
      </c>
      <c r="E78" s="171">
        <f>P!R80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1</v>
      </c>
      <c r="E80" s="171">
        <f>P!R82</f>
        <v>2</v>
      </c>
      <c r="F80" s="263" t="str">
        <f t="shared" si="2"/>
        <v>হ্যা</v>
      </c>
      <c r="G80" s="284" t="str">
        <f t="shared" si="3"/>
        <v>++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0.1</v>
      </c>
      <c r="E86" s="171">
        <f>P!R88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40</v>
      </c>
      <c r="E87" s="171">
        <f>P!R89</f>
        <v>48</v>
      </c>
      <c r="F87" s="263" t="str">
        <f t="shared" si="2"/>
        <v>হ্যা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20</v>
      </c>
      <c r="E88" s="171">
        <f>P!R90</f>
        <v>20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700</v>
      </c>
      <c r="E89" s="171">
        <f>P!R91</f>
        <v>727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12</v>
      </c>
      <c r="E92" s="171">
        <f>P!R94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4</v>
      </c>
      <c r="E95" s="171">
        <f>P!R97</f>
        <v>4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1</v>
      </c>
      <c r="E98" s="171">
        <f>P!R100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2</v>
      </c>
      <c r="E103" s="171">
        <f>P!R105</f>
        <v>2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1</v>
      </c>
      <c r="E107" s="171">
        <f>P!R109</f>
        <v>1.6</v>
      </c>
      <c r="F107" s="263" t="str">
        <f t="shared" si="2"/>
        <v>হ্যা</v>
      </c>
      <c r="G107" s="284" t="str">
        <f t="shared" si="3"/>
        <v>++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1</v>
      </c>
      <c r="E109" s="171">
        <f>P!R111</f>
        <v>1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0.4</v>
      </c>
      <c r="F112" s="263" t="str">
        <f t="shared" si="2"/>
        <v>নাই</v>
      </c>
      <c r="G112" s="284" t="str">
        <f t="shared" si="3"/>
        <v>++</v>
      </c>
      <c r="H112" s="131" t="s">
        <v>464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144</v>
      </c>
      <c r="F116" s="263" t="str">
        <f t="shared" si="2"/>
        <v>নাই</v>
      </c>
      <c r="G116" s="284" t="str">
        <f t="shared" si="3"/>
        <v>++</v>
      </c>
      <c r="H116" s="131" t="s">
        <v>464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80</v>
      </c>
      <c r="E124" s="171">
        <f>P!R126</f>
        <v>85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8</v>
      </c>
      <c r="E126" s="171">
        <f>P!R128</f>
        <v>8</v>
      </c>
      <c r="F126" s="263" t="str">
        <f t="shared" si="2"/>
        <v>হ্যা</v>
      </c>
      <c r="G126" s="284" t="str">
        <f t="shared" si="3"/>
        <v>OK</v>
      </c>
      <c r="H126" s="131" t="s">
        <v>464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10</v>
      </c>
      <c r="E130" s="171">
        <f>P!R132</f>
        <v>10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10</v>
      </c>
      <c r="E136" s="171">
        <f>P!R138</f>
        <v>3.1739999999999999</v>
      </c>
      <c r="F136" s="263" t="str">
        <f t="shared" si="4"/>
        <v>হ্যা</v>
      </c>
      <c r="G136" s="284" t="str">
        <f t="shared" si="5"/>
        <v>--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44</v>
      </c>
      <c r="E141" s="171">
        <f>P!R143</f>
        <v>32</v>
      </c>
      <c r="F141" s="263" t="str">
        <f t="shared" si="4"/>
        <v>হ্যা</v>
      </c>
      <c r="G141" s="284" t="str">
        <f t="shared" si="5"/>
        <v>--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4</v>
      </c>
      <c r="E143" s="171">
        <f>P!R145</f>
        <v>4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85</v>
      </c>
      <c r="E150" s="171">
        <f>P!R152</f>
        <v>85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30</v>
      </c>
      <c r="E152" s="171">
        <f>P!R154</f>
        <v>20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4</v>
      </c>
      <c r="E153" s="171">
        <f>P!R155</f>
        <v>4.9000000000000004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3</v>
      </c>
      <c r="E168" s="171">
        <f>P!R170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8</v>
      </c>
      <c r="E173" s="171">
        <f>P!R175</f>
        <v>8.1999999999999993</v>
      </c>
      <c r="F173" s="263" t="str">
        <f t="shared" si="4"/>
        <v>হ্যা</v>
      </c>
      <c r="G173" s="284" t="str">
        <f t="shared" si="5"/>
        <v>++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3</v>
      </c>
      <c r="E177" s="171">
        <f>P!R179</f>
        <v>3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20</v>
      </c>
      <c r="E178" s="171">
        <f>P!R180</f>
        <v>20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3</v>
      </c>
      <c r="E179" s="171">
        <f>P!R181</f>
        <v>3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1.5</v>
      </c>
      <c r="E180" s="171">
        <f>P!R182</f>
        <v>1.5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5</v>
      </c>
      <c r="E181" s="171">
        <f>P!R183</f>
        <v>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40</v>
      </c>
      <c r="E182" s="171">
        <f>P!R184</f>
        <v>40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15</v>
      </c>
      <c r="E183" s="171">
        <f>P!R185</f>
        <v>15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2</v>
      </c>
      <c r="E184" s="171">
        <f>P!R186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110</v>
      </c>
      <c r="E188" s="171">
        <f>P!R190</f>
        <v>112</v>
      </c>
      <c r="F188" s="263" t="str">
        <f t="shared" si="4"/>
        <v>হ্যা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20</v>
      </c>
      <c r="E191" s="171">
        <f>P!R193</f>
        <v>25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20</v>
      </c>
      <c r="E194" s="171">
        <f>P!R196</f>
        <v>20.3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4</v>
      </c>
      <c r="E195" s="171">
        <f>P!R197</f>
        <v>4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2</v>
      </c>
      <c r="E197" s="171">
        <f>P!R199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0.5</v>
      </c>
      <c r="E198" s="171">
        <f>P!R200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7</v>
      </c>
      <c r="E203" s="171">
        <f>P!R205</f>
        <v>7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464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35</v>
      </c>
      <c r="E214" s="171">
        <f>P!R216</f>
        <v>35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3.3</v>
      </c>
      <c r="E229" s="171">
        <f>P!R231</f>
        <v>3.3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4</v>
      </c>
      <c r="E230" s="171">
        <f>P!R232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220</v>
      </c>
      <c r="E231" s="171">
        <f>P!R233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194</v>
      </c>
      <c r="E232" s="171">
        <f>P!R234</f>
        <v>288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50</v>
      </c>
      <c r="E233" s="171">
        <f>P!R235</f>
        <v>3.6</v>
      </c>
      <c r="F233" s="263" t="str">
        <f t="shared" si="6"/>
        <v>হ্যা</v>
      </c>
      <c r="G233" s="284" t="str">
        <f t="shared" si="7"/>
        <v>--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28</v>
      </c>
      <c r="E245" s="171">
        <f>P!R247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140</v>
      </c>
      <c r="F246" s="263" t="str">
        <f t="shared" si="6"/>
        <v>নাই</v>
      </c>
      <c r="G246" s="284" t="str">
        <f t="shared" si="7"/>
        <v>++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7530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60</v>
      </c>
      <c r="F248" s="263" t="str">
        <f t="shared" si="6"/>
        <v>নাই</v>
      </c>
      <c r="G248" s="284" t="str">
        <f t="shared" si="7"/>
        <v>++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230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860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9300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P!D3+8</f>
        <v>45961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26</v>
      </c>
      <c r="E5" s="171">
        <f>P!T7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8</v>
      </c>
      <c r="E6" s="171">
        <f>P!T8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5</v>
      </c>
      <c r="E8" s="171">
        <f>P!T10</f>
        <v>25</v>
      </c>
      <c r="F8" s="263" t="str">
        <f t="shared" si="0"/>
        <v>হ্যা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4</v>
      </c>
      <c r="E9" s="171">
        <f>P!T11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12</v>
      </c>
      <c r="E13" s="171">
        <f>P!T15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0.5</v>
      </c>
      <c r="E14" s="171">
        <f>P!T16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3</v>
      </c>
      <c r="E15" s="171">
        <f>P!T17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12</v>
      </c>
      <c r="E19" s="171">
        <f>P!T21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1</v>
      </c>
      <c r="E20" s="171">
        <f>P!T22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50</v>
      </c>
      <c r="E22" s="171">
        <f>P!T24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3</v>
      </c>
      <c r="E34" s="171">
        <f>P!T36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6</v>
      </c>
      <c r="F40" s="263" t="str">
        <f t="shared" si="0"/>
        <v>নাই</v>
      </c>
      <c r="G40" s="284" t="str">
        <f t="shared" si="1"/>
        <v>++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100</v>
      </c>
      <c r="E41" s="171">
        <f>P!T43</f>
        <v>0</v>
      </c>
      <c r="F41" s="263" t="str">
        <f t="shared" si="0"/>
        <v>হ্যা</v>
      </c>
      <c r="G41" s="284" t="str">
        <f t="shared" si="1"/>
        <v>--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8</v>
      </c>
      <c r="E56" s="171">
        <f>P!T58</f>
        <v>10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3</v>
      </c>
      <c r="E58" s="171">
        <f>P!T60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2</v>
      </c>
      <c r="E60" s="171">
        <f>P!T62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0.5</v>
      </c>
      <c r="E61" s="171">
        <f>P!T63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0.5</v>
      </c>
      <c r="E62" s="171">
        <f>P!T64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0.1</v>
      </c>
      <c r="E65" s="171">
        <f>P!T67</f>
        <v>0.1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0.05</v>
      </c>
      <c r="E68" s="171">
        <f>P!T70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0.1</v>
      </c>
      <c r="E69" s="171">
        <f>P!T71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0.02</v>
      </c>
      <c r="E70" s="171">
        <f>P!T72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0.5</v>
      </c>
      <c r="E75" s="171">
        <f>P!T77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0.1</v>
      </c>
      <c r="E78" s="171">
        <f>P!T80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1</v>
      </c>
      <c r="E80" s="171">
        <f>P!T82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0.05</v>
      </c>
      <c r="E86" s="171">
        <f>P!T88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2</v>
      </c>
      <c r="E88" s="171">
        <f>P!T90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120</v>
      </c>
      <c r="E89" s="171">
        <f>P!T91</f>
        <v>120</v>
      </c>
      <c r="F89" s="263" t="str">
        <f t="shared" si="2"/>
        <v>হ্যা</v>
      </c>
      <c r="G89" s="284" t="str">
        <f t="shared" si="3"/>
        <v>OK</v>
      </c>
      <c r="H89" s="131" t="s">
        <v>451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8</v>
      </c>
      <c r="E104" s="171">
        <f>P!T106</f>
        <v>2</v>
      </c>
      <c r="F104" s="263" t="str">
        <f t="shared" si="2"/>
        <v>হ্যা</v>
      </c>
      <c r="G104" s="284" t="str">
        <f t="shared" si="3"/>
        <v>--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1</v>
      </c>
      <c r="E106" s="171">
        <f>P!T108</f>
        <v>1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1</v>
      </c>
      <c r="E112" s="171">
        <f>P!T114</f>
        <v>1</v>
      </c>
      <c r="F112" s="263" t="str">
        <f t="shared" si="2"/>
        <v>হ্যা</v>
      </c>
      <c r="G112" s="284" t="str">
        <f t="shared" si="3"/>
        <v>OK</v>
      </c>
      <c r="H112" s="131" t="s">
        <v>451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2.5</v>
      </c>
      <c r="E121" s="171">
        <f>P!T123</f>
        <v>2.5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1.5</v>
      </c>
      <c r="E122" s="171">
        <f>P!T124</f>
        <v>0</v>
      </c>
      <c r="F122" s="263" t="str">
        <f t="shared" si="2"/>
        <v>হ্যা</v>
      </c>
      <c r="G122" s="284" t="str">
        <f t="shared" si="3"/>
        <v>--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0.61499999999999999</v>
      </c>
      <c r="F123" s="263" t="str">
        <f t="shared" si="2"/>
        <v>নাই</v>
      </c>
      <c r="G123" s="284" t="str">
        <f t="shared" si="3"/>
        <v>++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80</v>
      </c>
      <c r="E124" s="171">
        <f>P!T126</f>
        <v>80</v>
      </c>
      <c r="F124" s="263" t="str">
        <f t="shared" si="2"/>
        <v>হ্যা</v>
      </c>
      <c r="G124" s="284" t="str">
        <f t="shared" si="3"/>
        <v>OK</v>
      </c>
      <c r="H124" s="131" t="s">
        <v>465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5</v>
      </c>
      <c r="E126" s="171">
        <f>P!T128</f>
        <v>5.5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1.4</v>
      </c>
      <c r="F128" s="263" t="str">
        <f t="shared" si="2"/>
        <v>নাই</v>
      </c>
      <c r="G128" s="284" t="str">
        <f t="shared" si="3"/>
        <v>++</v>
      </c>
      <c r="H128" s="131" t="s">
        <v>466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50</v>
      </c>
      <c r="E137" s="171">
        <f>P!T139</f>
        <v>5.3</v>
      </c>
      <c r="F137" s="263" t="str">
        <f t="shared" si="4"/>
        <v>হ্যা</v>
      </c>
      <c r="G137" s="284" t="str">
        <f t="shared" si="5"/>
        <v>--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22</v>
      </c>
      <c r="E150" s="171">
        <f>P!T152</f>
        <v>21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3</v>
      </c>
      <c r="E152" s="171">
        <f>P!T154</f>
        <v>3.5</v>
      </c>
      <c r="F152" s="263" t="str">
        <f t="shared" si="4"/>
        <v>হ্যা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12</v>
      </c>
      <c r="E154" s="171">
        <f>P!T156</f>
        <v>13.1</v>
      </c>
      <c r="F154" s="263" t="str">
        <f t="shared" si="4"/>
        <v>হ্যা</v>
      </c>
      <c r="G154" s="284" t="str">
        <f t="shared" si="5"/>
        <v>++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466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5</v>
      </c>
      <c r="E177" s="171">
        <f>P!T179</f>
        <v>8</v>
      </c>
      <c r="F177" s="263" t="str">
        <f t="shared" si="4"/>
        <v>হ্যা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10</v>
      </c>
      <c r="E178" s="171">
        <f>P!T180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1.5</v>
      </c>
      <c r="E179" s="171">
        <f>P!T181</f>
        <v>0</v>
      </c>
      <c r="F179" s="263" t="str">
        <f t="shared" si="4"/>
        <v>হ্যা</v>
      </c>
      <c r="G179" s="284" t="str">
        <f t="shared" si="5"/>
        <v>--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1</v>
      </c>
      <c r="E180" s="171">
        <f>P!T182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2</v>
      </c>
      <c r="E181" s="171">
        <f>P!T183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25</v>
      </c>
      <c r="E182" s="171">
        <f>P!T184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5</v>
      </c>
      <c r="E183" s="171">
        <f>P!T185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1</v>
      </c>
      <c r="E184" s="171">
        <f>P!T186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10</v>
      </c>
      <c r="E186" s="171">
        <f>P!T188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30</v>
      </c>
      <c r="E190" s="171">
        <f>P!T192</f>
        <v>90</v>
      </c>
      <c r="F190" s="263" t="str">
        <f t="shared" si="4"/>
        <v>হ্যা</v>
      </c>
      <c r="G190" s="284" t="str">
        <f t="shared" si="5"/>
        <v>++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1</v>
      </c>
      <c r="E197" s="171">
        <f>P!T199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0.5</v>
      </c>
      <c r="E198" s="171">
        <f>P!T200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1.6</v>
      </c>
      <c r="F228" s="263" t="str">
        <f t="shared" si="6"/>
        <v>নাই</v>
      </c>
      <c r="G228" s="284" t="str">
        <f t="shared" si="7"/>
        <v>++</v>
      </c>
      <c r="H228" s="131" t="s">
        <v>401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30</v>
      </c>
      <c r="E229" s="171">
        <f>P!T231</f>
        <v>2.4</v>
      </c>
      <c r="F229" s="263" t="str">
        <f t="shared" si="6"/>
        <v>হ্যা</v>
      </c>
      <c r="G229" s="284" t="str">
        <f t="shared" si="7"/>
        <v>--</v>
      </c>
      <c r="H229" s="131" t="s">
        <v>402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4</v>
      </c>
      <c r="E230" s="171">
        <f>P!T232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230</v>
      </c>
      <c r="E231" s="171">
        <f>P!T233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80</v>
      </c>
      <c r="E232" s="171">
        <f>P!T234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55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970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60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130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430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3200</v>
      </c>
      <c r="F252" s="263"/>
      <c r="G252" s="284" t="str">
        <f t="shared" si="7"/>
        <v>++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P!D3+9</f>
        <v>45962</v>
      </c>
      <c r="E1" s="518"/>
      <c r="F1" s="518"/>
      <c r="G1" s="283"/>
      <c r="H1" s="131" t="s">
        <v>389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P!D3+10</f>
        <v>45963</v>
      </c>
      <c r="E1" s="518"/>
      <c r="F1" s="518"/>
      <c r="G1" s="283"/>
      <c r="H1" s="131" t="s">
        <v>390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455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455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455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455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455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455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455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455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455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455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P!D3+11</f>
        <v>45964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2025-11-09T05:35:05Z</dcterms:modified>
</cp:coreProperties>
</file>