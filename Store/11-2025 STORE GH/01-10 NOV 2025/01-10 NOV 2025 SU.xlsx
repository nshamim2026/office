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01-10 NOV 2025\"/>
    </mc:Choice>
  </mc:AlternateContent>
  <xr:revisionPtr revIDLastSave="0" documentId="13_ncr:1_{EB091CA3-B751-4618-AB68-DDADA44E4536}" xr6:coauthVersionLast="43" xr6:coauthVersionMax="43" xr10:uidLastSave="{00000000-0000-0000-0000-000000000000}"/>
  <bookViews>
    <workbookView xWindow="-120" yWindow="-120" windowWidth="20730" windowHeight="11160" tabRatio="906" activeTab="2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Q214" i="1" l="1"/>
  <c r="O214" i="1"/>
  <c r="M214" i="1"/>
  <c r="K214" i="1"/>
  <c r="I214" i="1"/>
  <c r="AA143" i="1"/>
  <c r="Y143" i="1"/>
  <c r="W143" i="1"/>
  <c r="U143" i="1"/>
  <c r="S143" i="1"/>
  <c r="O143" i="1"/>
  <c r="M143" i="1"/>
  <c r="K143" i="1"/>
  <c r="I143" i="1"/>
  <c r="AA142" i="1"/>
  <c r="Y142" i="1"/>
  <c r="W142" i="1"/>
  <c r="U142" i="1"/>
  <c r="S142" i="1"/>
  <c r="Q142" i="1"/>
  <c r="O142" i="1"/>
  <c r="M142" i="1"/>
  <c r="K142" i="1"/>
  <c r="I142" i="1"/>
  <c r="AA141" i="1"/>
  <c r="Y141" i="1"/>
  <c r="W141" i="1"/>
  <c r="U141" i="1"/>
  <c r="S141" i="1"/>
  <c r="Q141" i="1"/>
  <c r="O141" i="1"/>
  <c r="M141" i="1"/>
  <c r="K141" i="1"/>
  <c r="I141" i="1"/>
  <c r="Y123" i="1"/>
  <c r="W123" i="1"/>
  <c r="U123" i="1"/>
  <c r="S123" i="1"/>
  <c r="O123" i="1"/>
  <c r="M123" i="1"/>
  <c r="K123" i="1"/>
  <c r="AA123" i="1"/>
  <c r="I123" i="1"/>
  <c r="AA38" i="1"/>
  <c r="Y38" i="1"/>
  <c r="W38" i="1"/>
  <c r="U38" i="1"/>
  <c r="S38" i="1"/>
  <c r="Q38" i="1"/>
  <c r="O38" i="1"/>
  <c r="M38" i="1"/>
  <c r="K38" i="1"/>
  <c r="I38" i="1"/>
  <c r="G206" i="43"/>
  <c r="I124" i="1" l="1"/>
  <c r="J1" i="19" l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E1" i="2" s="1"/>
  <c r="AI247" i="1"/>
  <c r="AK5" i="2"/>
  <c r="AO3" i="1" s="1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F148" i="48" l="1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P235" i="15" s="1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42" i="15" l="1"/>
  <c r="Q165" i="15"/>
  <c r="Q212" i="15"/>
  <c r="Q158" i="15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<sst xmlns="http://schemas.openxmlformats.org/spreadsheetml/2006/main" count="2675" uniqueCount="541">
  <si>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</si>
  <si>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</si>
  <si>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</si>
  <si>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</si>
  <si>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</si>
  <si>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</si>
  <si>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</si>
  <si>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</si>
  <si>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</si>
  <si>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</si>
  <si>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</si>
  <si>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</si>
  <si>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</si>
  <si>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</si>
  <si>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</si>
  <si>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</si>
  <si>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</si>
  <si>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</si>
  <si>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</si>
  <si>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</si>
  <si>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</si>
  <si>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</si>
  <si>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</si>
  <si>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</si>
  <si>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</si>
  <si>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</si>
  <si>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</si>
  <si>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</si>
  <si>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</si>
  <si>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</si>
  <si>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</si>
  <si>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</si>
  <si>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</si>
  <si>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</si>
  <si>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</si>
  <si>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</si>
  <si>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</si>
  <si>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</si>
  <si>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</si>
  <si>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</si>
  <si>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</si>
  <si>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</si>
  <si>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</si>
  <si>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</si>
  <si>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</si>
  <si>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</si>
  <si>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</si>
  <si>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</si>
  <si>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</si>
  <si>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</si>
  <si>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</si>
  <si>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</si>
  <si>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</si>
  <si>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</si>
  <si>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</si>
  <si>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</si>
  <si>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</si>
  <si>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</si>
  <si>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</si>
  <si>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</si>
  <si>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</si>
  <si>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</si>
  <si>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</si>
  <si>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</si>
  <si>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</si>
  <si>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</si>
  <si>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</si>
  <si>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</si>
  <si>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</si>
  <si>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</si>
  <si>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</si>
  <si>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</si>
  <si>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</si>
  <si>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</si>
  <si>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</si>
  <si>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</si>
  <si>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</si>
  <si>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</si>
  <si>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</si>
  <si>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</si>
  <si>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</si>
  <si>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</si>
  <si>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</si>
  <si>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</si>
  <si>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</si>
  <si>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</si>
  <si>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</si>
  <si>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</si>
  <si>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</si>
  <si>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</si>
  <si>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</si>
  <si>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</si>
  <si>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</si>
  <si>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</si>
  <si>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</si>
  <si>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</si>
  <si>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</si>
  <si>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</si>
  <si>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</si>
  <si>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</si>
  <si>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</si>
  <si>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</si>
  <si>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</si>
  <si>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</si>
  <si>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</si>
  <si>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</si>
  <si>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</si>
  <si>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</si>
  <si>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</si>
  <si>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</si>
  <si>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</si>
  <si>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</si>
  <si>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</si>
  <si>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</si>
  <si>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</si>
  <si>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</si>
  <si>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</si>
  <si>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</si>
  <si>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</si>
  <si>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</si>
  <si>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</si>
  <si>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</si>
  <si>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</si>
  <si>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</si>
  <si>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</si>
  <si>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</si>
  <si>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</si>
  <si>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</si>
  <si>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</si>
  <si>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</si>
  <si>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</si>
  <si>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</si>
  <si>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</si>
  <si>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</si>
  <si>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</si>
  <si>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</si>
  <si>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</si>
  <si>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</si>
  <si>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</si>
  <si>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</si>
  <si>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</si>
  <si>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</si>
  <si>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</si>
  <si>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</si>
  <si>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</si>
  <si>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</si>
  <si>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</si>
  <si>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</si>
  <si>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</si>
  <si>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</si>
  <si>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</si>
  <si>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</si>
  <si>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</si>
  <si>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</si>
  <si>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</si>
  <si>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</si>
  <si>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</si>
  <si>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</si>
  <si>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</si>
  <si>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</si>
  <si>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</si>
  <si>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</si>
  <si>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</si>
  <si>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</si>
  <si>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</si>
  <si>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</si>
  <si>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</si>
  <si>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</si>
  <si>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</si>
  <si>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</si>
  <si>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</si>
  <si>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</si>
  <si>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</si>
  <si>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</si>
  <si>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</si>
  <si>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</si>
  <si>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</si>
  <si>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</si>
  <si>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</si>
  <si>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</si>
  <si>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</si>
  <si>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</si>
  <si>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</si>
  <si>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</si>
  <si>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</si>
  <si>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</si>
  <si>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</si>
  <si>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</si>
  <si>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</si>
  <si>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</si>
  <si>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</si>
  <si>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</si>
  <si>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</si>
  <si>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</si>
  <si>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</si>
  <si>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</si>
  <si>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</si>
  <si>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</si>
  <si>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</si>
  <si>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</si>
  <si>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</si>
  <si>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</si>
  <si>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</si>
  <si>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</si>
  <si>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</si>
  <si>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</si>
  <si>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</si>
  <si>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</si>
  <si>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</si>
  <si>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</si>
  <si>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</si>
  <si>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</si>
  <si>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</si>
  <si>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</si>
  <si>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</si>
  <si>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</si>
  <si>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</si>
  <si>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</si>
  <si>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</si>
  <si>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</si>
  <si>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</si>
  <si>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</si>
  <si>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</si>
  <si>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</si>
  <si>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</si>
  <si>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</si>
  <si>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</si>
  <si>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</si>
  <si>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</si>
  <si>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</si>
  <si>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</si>
  <si>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</si>
  <si>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</si>
  <si>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</si>
  <si>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</si>
  <si>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</si>
  <si>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</si>
  <si>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</si>
  <si>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</si>
  <si>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</si>
  <si>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</si>
  <si>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</si>
  <si>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</si>
  <si>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</si>
  <si>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</si>
  <si>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</si>
  <si>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</si>
  <si>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</si>
  <si>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</si>
  <si>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</si>
  <si>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</si>
  <si>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</si>
  <si>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</si>
  <si>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</si>
  <si>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</si>
  <si>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</si>
  <si>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</si>
  <si>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</si>
  <si>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</si>
  <si>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</si>
  <si>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</si>
  <si>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</si>
  <si>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</si>
  <si>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</si>
  <si>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</si>
  <si>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</si>
  <si>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</si>
  <si>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</si>
  <si>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</si>
  <si>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</si>
  <si>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</si>
  <si>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</si>
  <si>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</si>
  <si>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</si>
  <si>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</si>
  <si>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</si>
  <si>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</si>
  <si>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</si>
  <si>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</si>
  <si>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</si>
  <si>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</si>
  <si>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</si>
  <si>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</si>
  <si>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</si>
  <si>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</si>
  <si>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</si>
  <si>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</si>
  <si>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</si>
  <si>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</si>
  <si>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</si>
  <si>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</si>
  <si>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</si>
  <si>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</si>
  <si>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</si>
  <si>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</si>
  <si>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</si>
  <si>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</si>
  <si>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</si>
  <si>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</si>
  <si>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</si>
  <si>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</si>
  <si>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</si>
  <si>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</si>
  <si>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</si>
  <si>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</si>
  <si>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</si>
  <si>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</si>
  <si>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</si>
  <si>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</si>
  <si>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</si>
  <si>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</si>
  <si>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</si>
  <si>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</si>
  <si>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</si>
  <si>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</si>
  <si>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</si>
  <si>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</si>
  <si>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</si>
  <si>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</si>
  <si>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</si>
  <si>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</si>
  <si>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</si>
  <si>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</si>
  <si>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</si>
  <si>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</si>
  <si>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</si>
  <si>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</si>
  <si>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</si>
  <si>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</si>
  <si>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</si>
  <si>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</si>
  <si>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</si>
  <si>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</si>
  <si>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</si>
  <si>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</si>
  <si>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</si>
  <si>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</si>
  <si>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</si>
  <si>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</si>
  <si>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</si>
  <si>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</si>
  <si>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</si>
  <si>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</si>
  <si>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</si>
  <si>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</si>
  <si>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</si>
  <si>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</si>
  <si>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</si>
  <si>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</si>
  <si>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</si>
  <si>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</si>
  <si>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</si>
  <si>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</si>
  <si>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</si>
  <si>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</si>
  <si>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</si>
  <si>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</si>
  <si>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</si>
  <si>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</si>
  <si>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</si>
  <si>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</si>
  <si>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</si>
  <si>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</si>
  <si>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</si>
  <si>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</si>
  <si>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</si>
  <si>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</si>
  <si>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</si>
  <si>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</si>
  <si>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</si>
  <si>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</si>
  <si>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</si>
  <si>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</si>
  <si>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</si>
  <si>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</si>
  <si>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</si>
  <si>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</si>
  <si>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</si>
  <si>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</si>
  <si>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</si>
  <si>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</si>
  <si>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</si>
  <si>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</si>
  <si>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</si>
  <si>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</si>
  <si>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</si>
  <si>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</si>
  <si>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</si>
  <si>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</si>
  <si>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</si>
  <si>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</si>
  <si>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</si>
  <si>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</si>
  <si>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</si>
  <si>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</si>
  <si>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</si>
  <si>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</si>
  <si>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</si>
  <si>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</si>
  <si>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</si>
  <si>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</si>
  <si>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</si>
  <si>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</si>
  <si>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</si>
  <si>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</si>
  <si>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</si>
  <si>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</si>
  <si>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</si>
  <si>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</si>
  <si>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</si>
  <si>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</si>
  <si>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</si>
  <si>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</si>
  <si>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</si>
  <si>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</si>
  <si>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</si>
  <si>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</si>
  <si>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</si>
  <si>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</si>
  <si>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</si>
  <si>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</si>
  <si>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</si>
  <si>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</si>
  <si>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</si>
  <si>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</si>
  <si>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</si>
  <si>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</si>
  <si>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</si>
  <si>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</si>
  <si>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</si>
  <si>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</si>
  <si>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</si>
  <si>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</si>
  <si>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</si>
  <si>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</si>
  <si>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</si>
  <si>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</si>
  <si>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</si>
  <si>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</si>
  <si>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</si>
  <si>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</si>
  <si>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</si>
  <si>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</si>
  <si>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</si>
  <si>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</si>
  <si>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</si>
  <si>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</si>
  <si>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</si>
  <si>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</si>
  <si>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</si>
  <si>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</si>
  <si>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</si>
  <si>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</si>
  <si>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</si>
  <si>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বাংলাদেশ ভুমি অফিসার কল্যাণ সমিতি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</si>
  <si>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</si>
  <si>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</si>
  <si>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</si>
  <si>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</si>
  <si>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</si>
  <si>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</si>
  <si>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</si>
  <si>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</si>
  <si>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</si>
  <si>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</si>
  <si>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</si>
  <si>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</si>
  <si>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</si>
  <si>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</si>
  <si>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>১০ দিন</t>
  </si>
  <si>
    <t xml:space="preserve">হোস্টেল অতিথি এবং প্রত্যাশি প্রতিষ্ঠানের (০১-১০ নভেম্বর-২০২5) তারিখ 
পর্যন্ত ক্রয়কৃত মালামালের ব্যয় এবং বর্তমান মজুদ হিসাব </t>
  </si>
  <si>
    <t>হোস্টেল অতিথি এবং প্রত্যাশি প্রতিষ্ঠান এর  (০১-১০ নভেম্বর-২০২5) পর্যন্ত বাজার তালিকা</t>
  </si>
  <si>
    <t xml:space="preserve">হোস্টেল অতিথি এবং প্রত্যাশি প্রতিষ্ঠানের (০১-১০ নভেম্বর-২০২5) জন্য নতুন সংগ্রহ/ক্রয়কৃত পণ্যের তালিকা </t>
  </si>
  <si>
    <t>01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</si>
  <si>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মুদিবাজার</t>
  </si>
  <si>
    <t>ফলক্রয়</t>
  </si>
  <si>
    <t>মুরগী ক্রয়</t>
  </si>
  <si>
    <t>কাঁচাবাজার</t>
  </si>
  <si>
    <t>রুটি</t>
  </si>
  <si>
    <t>পাস্তা</t>
  </si>
  <si>
    <t>অতিরিক্ত জনবল</t>
  </si>
  <si>
    <t xml:space="preserve">0২ নভেম্বর 2025 হোস্টেল অতিথি ও প্রত্যাশি প্রতিষ্ঠানের জন্য ক্রয়কৃত মালামালের ভাউচার সমূহের টপশীট </t>
  </si>
  <si>
    <t>ফল ক্রয়</t>
  </si>
  <si>
    <t>খেজুর ও আনারস ক্রয়</t>
  </si>
  <si>
    <t>কাপআইসক্রিম</t>
  </si>
  <si>
    <t>পরোটা</t>
  </si>
  <si>
    <t>03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</si>
  <si>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মুরগীক্রয়</t>
  </si>
  <si>
    <t>ছানা সন্দেশ</t>
  </si>
  <si>
    <t>কাপদই</t>
  </si>
  <si>
    <t>খাসীর মাংস</t>
  </si>
  <si>
    <t>04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</si>
  <si>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05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</si>
  <si>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বার্গার বন</t>
  </si>
  <si>
    <t>খাসির মাংস</t>
  </si>
  <si>
    <t>কফি</t>
  </si>
  <si>
    <t>06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</si>
  <si>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ড্রাগন ফল</t>
  </si>
  <si>
    <t>07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</si>
  <si>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08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</si>
  <si>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খাসীর মাংশ</t>
  </si>
  <si>
    <t>কোকাকোলা ডায়েট</t>
  </si>
  <si>
    <t>টকদই ও টেস্টিং সল্ট</t>
  </si>
  <si>
    <t>মিনি চিকেন বার্গার</t>
  </si>
  <si>
    <t>9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</si>
  <si>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10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</si>
  <si>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কাচা ছানা সন্দেশ</t>
  </si>
  <si>
    <t>চিকেন বার্গার</t>
  </si>
  <si>
    <t>ওয়ানটাইম মাস্ক</t>
  </si>
  <si>
    <t>ওয়ানটাইম হ্যান্ড গ্লভস</t>
  </si>
  <si>
    <t>ঝালমুড়ি</t>
  </si>
  <si>
    <t>কাকরোল</t>
  </si>
  <si>
    <t>সরবি কলা</t>
  </si>
  <si>
    <t xml:space="preserve">ফিরনি ঢাকনা </t>
  </si>
  <si>
    <t>01/11/২০২৫ তারিখ হতে 10/1১/২০২৫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</si>
  <si>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কথায়: চার লক্ষ তিন হাজার তিনশত ঊনপঞ্চাশ টাকা মাত্র  </t>
  </si>
  <si>
    <t xml:space="preserve">কথায়: ত্রিশ হাজার নয়শত তিয়াত্তর টাকা মাত্র </t>
  </si>
  <si>
    <t>কথায়ঃ পঁয়তাল্লিশ হাজার তিনশত বত্রিশ টাকা মাত্র</t>
  </si>
  <si>
    <t>কথায়ঃ ছত্রিশ হাজার পাঁচশত নব্বই টাকা মাত্র</t>
  </si>
  <si>
    <t>কথায়ঃ একান্ন হাজার একশত বিরানব্বই টাকা মাত্র।</t>
  </si>
  <si>
    <t>কথায়: এক লক্ষ ষোল হাজার সাতশত ঊনিশ টাকা মাত্র।</t>
  </si>
  <si>
    <t>কথায়: ঊনচল্লিশ হাজার ছয়শত আটানব্বই টাকা মাত্র</t>
  </si>
  <si>
    <t xml:space="preserve">কথায়ঃ সাত হাজার ছয়শত আটত্রিশ টাকা মাত্র </t>
  </si>
  <si>
    <t xml:space="preserve">কথায়ঃ চৌত্রিশ হাজার একানব্বই টাকা মাত্র </t>
  </si>
  <si>
    <t xml:space="preserve">কথায়ঃ আঠারো হাজার তিনশত তেইশ টাকা মাত্র </t>
  </si>
  <si>
    <t xml:space="preserve">কথায়ঃ বাইশ হাজার সাতশত তিরানব্বই টাকা মাত্র </t>
  </si>
  <si>
    <t>পতাকা-ক(১-8)</t>
  </si>
  <si>
    <t>পতাকা-খ(১-7)</t>
  </si>
  <si>
    <t>পতাকা-গ(১-7)</t>
  </si>
  <si>
    <t>পতাকা-ঘ(১-8)</t>
  </si>
  <si>
    <t>পতাকা-ঙ(১-9)</t>
  </si>
  <si>
    <t>পতাকা-চ(১-8)</t>
  </si>
  <si>
    <t>পতাকা-ছ(১-4)</t>
  </si>
  <si>
    <t>পতাকা-জ(১-9)</t>
  </si>
  <si>
    <t>পতাকা-ঝ(১-6)</t>
  </si>
  <si>
    <t>বিবিধ (পাইপ ক্রয়, চিকেন বার্গার, ওয়ানটাইম মাস্ক, ওয়ানটাইম হ্যান্ড গ্লভস...)</t>
  </si>
  <si>
    <t>01/11/25 কল্যান সমিতি</t>
  </si>
  <si>
    <t>মেন্যু দ্রষ্টব্য</t>
  </si>
  <si>
    <t>রুই মাছের পরিবর্তে ক্রয়</t>
  </si>
  <si>
    <t>কাকরোলের পরিবর্তে ক্রয়</t>
  </si>
  <si>
    <t>জনপ্রশাসন মন্ত্রণালয়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</si>
</sst>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81" fontId="15" fillId="0" borderId="13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34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181" fontId="19" fillId="0" borderId="32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6385499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7326" y="26817945"/>
          <a:ext cx="6814873" cy="788769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5193625"/>
          <a:ext cx="9525000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1606559</xdr:colOff>
      <xdr:row>52</xdr:row>
      <xdr:rowOff>232089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216159" y="424211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53391</xdr:colOff>
      <xdr:row>52</xdr:row>
      <xdr:rowOff>232089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3391" y="424211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2636099</xdr:colOff>
      <xdr:row>52</xdr:row>
      <xdr:rowOff>232089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245699" y="4242114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232089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4758" y="424211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3624408</xdr:colOff>
      <xdr:row>52</xdr:row>
      <xdr:rowOff>232089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234008" y="4242114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531718</xdr:colOff>
      <xdr:row>52</xdr:row>
      <xdr:rowOff>232089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1141318" y="424211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1549855</xdr:colOff>
      <xdr:row>54</xdr:row>
      <xdr:rowOff>0</xdr:rowOff>
    </xdr:from>
    <xdr:ext cx="986118" cy="477631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89718A5-4A3F-4C0A-9ED0-729034245C88}"/>
            </a:ext>
          </a:extLst>
        </xdr:cNvPr>
        <xdr:cNvSpPr txBox="1"/>
      </xdr:nvSpPr>
      <xdr:spPr>
        <a:xfrm>
          <a:off x="2162768" y="3867978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0</xdr:rowOff>
    </xdr:from>
    <xdr:ext cx="974912" cy="477631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3A74A9D-1A44-4DCA-9FD0-EA12AB07ED54}"/>
            </a:ext>
          </a:extLst>
        </xdr:cNvPr>
        <xdr:cNvSpPr txBox="1"/>
      </xdr:nvSpPr>
      <xdr:spPr>
        <a:xfrm>
          <a:off x="0" y="386797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2579395</xdr:colOff>
      <xdr:row>54</xdr:row>
      <xdr:rowOff>0</xdr:rowOff>
    </xdr:from>
    <xdr:ext cx="1142999" cy="477631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A6A47FA-00C8-445B-979C-88998A6CDCEE}"/>
            </a:ext>
          </a:extLst>
        </xdr:cNvPr>
        <xdr:cNvSpPr txBox="1"/>
      </xdr:nvSpPr>
      <xdr:spPr>
        <a:xfrm>
          <a:off x="3192308" y="3867978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603715</xdr:colOff>
      <xdr:row>54</xdr:row>
      <xdr:rowOff>0</xdr:rowOff>
    </xdr:from>
    <xdr:ext cx="1154208" cy="477631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C6C61BB-E6E6-4F8F-9BD6-DF6FD988DE92}"/>
            </a:ext>
          </a:extLst>
        </xdr:cNvPr>
        <xdr:cNvSpPr txBox="1"/>
      </xdr:nvSpPr>
      <xdr:spPr>
        <a:xfrm>
          <a:off x="5341367" y="3867978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3567704</xdr:colOff>
      <xdr:row>54</xdr:row>
      <xdr:rowOff>0</xdr:rowOff>
    </xdr:from>
    <xdr:ext cx="1267381" cy="477631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12A4358-9B0E-4736-8AF7-DE6B3BEBDCD9}"/>
            </a:ext>
          </a:extLst>
        </xdr:cNvPr>
        <xdr:cNvSpPr txBox="1"/>
      </xdr:nvSpPr>
      <xdr:spPr>
        <a:xfrm>
          <a:off x="4180617" y="386797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475014</xdr:colOff>
      <xdr:row>54</xdr:row>
      <xdr:rowOff>0</xdr:rowOff>
    </xdr:from>
    <xdr:ext cx="1035844" cy="477631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8264AB0-ED47-4D8A-899F-BD878FBB72BA}"/>
            </a:ext>
          </a:extLst>
        </xdr:cNvPr>
        <xdr:cNvSpPr txBox="1"/>
      </xdr:nvSpPr>
      <xdr:spPr>
        <a:xfrm>
          <a:off x="1087927" y="386797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1607836</xdr:colOff>
      <xdr:row>53</xdr:row>
      <xdr:rowOff>190501</xdr:rowOff>
    </xdr:from>
    <xdr:ext cx="986118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7100DA7-7400-46EC-9C87-93BB4A200099}"/>
            </a:ext>
          </a:extLst>
        </xdr:cNvPr>
        <xdr:cNvSpPr txBox="1"/>
      </xdr:nvSpPr>
      <xdr:spPr>
        <a:xfrm>
          <a:off x="2220749" y="381828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57981</xdr:colOff>
      <xdr:row>53</xdr:row>
      <xdr:rowOff>190501</xdr:rowOff>
    </xdr:from>
    <xdr:ext cx="974912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BE56151-6C67-4F6B-BE34-D5770ACB9EB9}"/>
            </a:ext>
          </a:extLst>
        </xdr:cNvPr>
        <xdr:cNvSpPr txBox="1"/>
      </xdr:nvSpPr>
      <xdr:spPr>
        <a:xfrm>
          <a:off x="57981" y="3818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2637376</xdr:colOff>
      <xdr:row>53</xdr:row>
      <xdr:rowOff>190501</xdr:rowOff>
    </xdr:from>
    <xdr:ext cx="1142999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30E46565-BCD8-4FC0-AF5E-29C60E4C9538}"/>
            </a:ext>
          </a:extLst>
        </xdr:cNvPr>
        <xdr:cNvSpPr txBox="1"/>
      </xdr:nvSpPr>
      <xdr:spPr>
        <a:xfrm>
          <a:off x="3250289" y="3818284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4786435</xdr:colOff>
      <xdr:row>53</xdr:row>
      <xdr:rowOff>190501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7C02AB8-AE30-4A18-8BC8-4B21442D0497}"/>
            </a:ext>
          </a:extLst>
        </xdr:cNvPr>
        <xdr:cNvSpPr txBox="1"/>
      </xdr:nvSpPr>
      <xdr:spPr>
        <a:xfrm>
          <a:off x="5399348" y="381828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3625685</xdr:colOff>
      <xdr:row>53</xdr:row>
      <xdr:rowOff>190501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D03B24D-ADFE-488D-82ED-A01703E057B8}"/>
            </a:ext>
          </a:extLst>
        </xdr:cNvPr>
        <xdr:cNvSpPr txBox="1"/>
      </xdr:nvSpPr>
      <xdr:spPr>
        <a:xfrm>
          <a:off x="4238598" y="3818284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532995</xdr:colOff>
      <xdr:row>53</xdr:row>
      <xdr:rowOff>190501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5852E6D-A3C6-4C85-B208-7367607B75DA}"/>
            </a:ext>
          </a:extLst>
        </xdr:cNvPr>
        <xdr:cNvSpPr txBox="1"/>
      </xdr:nvSpPr>
      <xdr:spPr>
        <a:xfrm>
          <a:off x="1145908" y="381828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1610318</xdr:colOff>
      <xdr:row>54</xdr:row>
      <xdr:rowOff>142875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950D270-2D1A-42B2-9969-169967128D87}"/>
            </a:ext>
          </a:extLst>
        </xdr:cNvPr>
        <xdr:cNvSpPr txBox="1"/>
      </xdr:nvSpPr>
      <xdr:spPr>
        <a:xfrm>
          <a:off x="2219918" y="386715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57150</xdr:colOff>
      <xdr:row>54</xdr:row>
      <xdr:rowOff>142875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A3618FA-39B3-45F8-A8F5-E0E9573B4E33}"/>
            </a:ext>
          </a:extLst>
        </xdr:cNvPr>
        <xdr:cNvSpPr txBox="1"/>
      </xdr:nvSpPr>
      <xdr:spPr>
        <a:xfrm>
          <a:off x="57150" y="386715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2639858</xdr:colOff>
      <xdr:row>54</xdr:row>
      <xdr:rowOff>142875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34429BA-C31F-4F41-8568-7DE2A6152286}"/>
            </a:ext>
          </a:extLst>
        </xdr:cNvPr>
        <xdr:cNvSpPr txBox="1"/>
      </xdr:nvSpPr>
      <xdr:spPr>
        <a:xfrm>
          <a:off x="3249458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521717</xdr:colOff>
      <xdr:row>54</xdr:row>
      <xdr:rowOff>142875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44E8B58-D8C8-47C8-A1EC-312AD2264F6B}"/>
            </a:ext>
          </a:extLst>
        </xdr:cNvPr>
        <xdr:cNvSpPr txBox="1"/>
      </xdr:nvSpPr>
      <xdr:spPr>
        <a:xfrm>
          <a:off x="5398517" y="38671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3628167</xdr:colOff>
      <xdr:row>54</xdr:row>
      <xdr:rowOff>142875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97AC16DF-9EB1-4DB8-A695-5922E38003E7}"/>
            </a:ext>
          </a:extLst>
        </xdr:cNvPr>
        <xdr:cNvSpPr txBox="1"/>
      </xdr:nvSpPr>
      <xdr:spPr>
        <a:xfrm>
          <a:off x="4237767" y="386715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535477</xdr:colOff>
      <xdr:row>54</xdr:row>
      <xdr:rowOff>142875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85907333-2E2B-4063-861A-6FB12D221013}"/>
            </a:ext>
          </a:extLst>
        </xdr:cNvPr>
        <xdr:cNvSpPr txBox="1"/>
      </xdr:nvSpPr>
      <xdr:spPr>
        <a:xfrm>
          <a:off x="1145077" y="386715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1686518</xdr:colOff>
      <xdr:row>54</xdr:row>
      <xdr:rowOff>38100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9D69574-4AB6-449A-80A2-59E5E1EA51B7}"/>
            </a:ext>
          </a:extLst>
        </xdr:cNvPr>
        <xdr:cNvSpPr txBox="1"/>
      </xdr:nvSpPr>
      <xdr:spPr>
        <a:xfrm>
          <a:off x="2296118" y="437197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133350</xdr:colOff>
      <xdr:row>54</xdr:row>
      <xdr:rowOff>38100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A499D66-5368-46DC-9DBE-90597CE5487D}"/>
            </a:ext>
          </a:extLst>
        </xdr:cNvPr>
        <xdr:cNvSpPr txBox="1"/>
      </xdr:nvSpPr>
      <xdr:spPr>
        <a:xfrm>
          <a:off x="133350" y="437197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2716058</xdr:colOff>
      <xdr:row>54</xdr:row>
      <xdr:rowOff>38100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1E035BA-0597-4D3C-AE10-0A3A8658F2D8}"/>
            </a:ext>
          </a:extLst>
        </xdr:cNvPr>
        <xdr:cNvSpPr txBox="1"/>
      </xdr:nvSpPr>
      <xdr:spPr>
        <a:xfrm>
          <a:off x="3325658" y="4371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416942</xdr:colOff>
      <xdr:row>54</xdr:row>
      <xdr:rowOff>38100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70126A5-D918-4D38-9888-C3A528DF966E}"/>
            </a:ext>
          </a:extLst>
        </xdr:cNvPr>
        <xdr:cNvSpPr txBox="1"/>
      </xdr:nvSpPr>
      <xdr:spPr>
        <a:xfrm>
          <a:off x="5474717" y="437197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3704367</xdr:colOff>
      <xdr:row>54</xdr:row>
      <xdr:rowOff>38100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042F312-7322-405F-814A-8DBE58D90BBC}"/>
            </a:ext>
          </a:extLst>
        </xdr:cNvPr>
        <xdr:cNvSpPr txBox="1"/>
      </xdr:nvSpPr>
      <xdr:spPr>
        <a:xfrm>
          <a:off x="4313967" y="437197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611677</xdr:colOff>
      <xdr:row>54</xdr:row>
      <xdr:rowOff>38100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84A1B6A-2F46-4ECB-8EE4-9F9375AE1437}"/>
            </a:ext>
          </a:extLst>
        </xdr:cNvPr>
        <xdr:cNvSpPr txBox="1"/>
      </xdr:nvSpPr>
      <xdr:spPr>
        <a:xfrm>
          <a:off x="1221277" y="437197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1657943</xdr:colOff>
      <xdr:row>54</xdr:row>
      <xdr:rowOff>95250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7008FB4-0040-4695-84AA-F7FDB75765F9}"/>
            </a:ext>
          </a:extLst>
        </xdr:cNvPr>
        <xdr:cNvSpPr txBox="1"/>
      </xdr:nvSpPr>
      <xdr:spPr>
        <a:xfrm>
          <a:off x="2267543" y="410527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104775</xdr:colOff>
      <xdr:row>54</xdr:row>
      <xdr:rowOff>95250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FD8EAC8-71BA-4B3E-8679-C1394E59A465}"/>
            </a:ext>
          </a:extLst>
        </xdr:cNvPr>
        <xdr:cNvSpPr txBox="1"/>
      </xdr:nvSpPr>
      <xdr:spPr>
        <a:xfrm>
          <a:off x="104775" y="410527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2687483</xdr:colOff>
      <xdr:row>54</xdr:row>
      <xdr:rowOff>95250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2FD1E9C-4C0C-4875-80F6-543DC3752C1B}"/>
            </a:ext>
          </a:extLst>
        </xdr:cNvPr>
        <xdr:cNvSpPr txBox="1"/>
      </xdr:nvSpPr>
      <xdr:spPr>
        <a:xfrm>
          <a:off x="3297083" y="41052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255017</xdr:colOff>
      <xdr:row>54</xdr:row>
      <xdr:rowOff>95250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2A5D7F4-DD6F-4790-AEAD-848DA834EEC2}"/>
            </a:ext>
          </a:extLst>
        </xdr:cNvPr>
        <xdr:cNvSpPr txBox="1"/>
      </xdr:nvSpPr>
      <xdr:spPr>
        <a:xfrm>
          <a:off x="5446142" y="410527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3675792</xdr:colOff>
      <xdr:row>54</xdr:row>
      <xdr:rowOff>95250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BB5090D-6886-419A-BC81-B0453A543B51}"/>
            </a:ext>
          </a:extLst>
        </xdr:cNvPr>
        <xdr:cNvSpPr txBox="1"/>
      </xdr:nvSpPr>
      <xdr:spPr>
        <a:xfrm>
          <a:off x="4285392" y="410527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583102</xdr:colOff>
      <xdr:row>54</xdr:row>
      <xdr:rowOff>95250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766666B4-4B06-4148-A30D-E6011D4277EC}"/>
            </a:ext>
          </a:extLst>
        </xdr:cNvPr>
        <xdr:cNvSpPr txBox="1"/>
      </xdr:nvSpPr>
      <xdr:spPr>
        <a:xfrm>
          <a:off x="1192702" y="410527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1648418</xdr:colOff>
      <xdr:row>54</xdr:row>
      <xdr:rowOff>57150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1B38DE4-EB74-4DA0-BD3C-EB253725C249}"/>
            </a:ext>
          </a:extLst>
        </xdr:cNvPr>
        <xdr:cNvSpPr txBox="1"/>
      </xdr:nvSpPr>
      <xdr:spPr>
        <a:xfrm>
          <a:off x="2258018" y="319087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95250</xdr:colOff>
      <xdr:row>54</xdr:row>
      <xdr:rowOff>57150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B5529E1-4195-465D-8839-179A126864F8}"/>
            </a:ext>
          </a:extLst>
        </xdr:cNvPr>
        <xdr:cNvSpPr txBox="1"/>
      </xdr:nvSpPr>
      <xdr:spPr>
        <a:xfrm>
          <a:off x="95250" y="319087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2677958</xdr:colOff>
      <xdr:row>54</xdr:row>
      <xdr:rowOff>57150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ADA6068-53A3-417A-A01D-18E307AF3643}"/>
            </a:ext>
          </a:extLst>
        </xdr:cNvPr>
        <xdr:cNvSpPr txBox="1"/>
      </xdr:nvSpPr>
      <xdr:spPr>
        <a:xfrm>
          <a:off x="3287558" y="31908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321692</xdr:colOff>
      <xdr:row>54</xdr:row>
      <xdr:rowOff>57150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0266174-BA11-4DB4-975D-E80BC2551C15}"/>
            </a:ext>
          </a:extLst>
        </xdr:cNvPr>
        <xdr:cNvSpPr txBox="1"/>
      </xdr:nvSpPr>
      <xdr:spPr>
        <a:xfrm>
          <a:off x="5436617" y="319087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3666267</xdr:colOff>
      <xdr:row>54</xdr:row>
      <xdr:rowOff>57150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92B4C17-A6AC-462E-9219-A670CFB4E777}"/>
            </a:ext>
          </a:extLst>
        </xdr:cNvPr>
        <xdr:cNvSpPr txBox="1"/>
      </xdr:nvSpPr>
      <xdr:spPr>
        <a:xfrm>
          <a:off x="4275867" y="319087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573577</xdr:colOff>
      <xdr:row>54</xdr:row>
      <xdr:rowOff>57150</xdr:rowOff>
    </xdr:from>
    <xdr:ext cx="1035844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300736FD-1C1B-464B-8621-FE6B39E56935}"/>
            </a:ext>
          </a:extLst>
        </xdr:cNvPr>
        <xdr:cNvSpPr txBox="1"/>
      </xdr:nvSpPr>
      <xdr:spPr>
        <a:xfrm>
          <a:off x="1183177" y="319087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1648418</xdr:colOff>
      <xdr:row>55</xdr:row>
      <xdr:rowOff>0</xdr:rowOff>
    </xdr:from>
    <xdr:ext cx="986118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8D38DFE-F6CA-45D2-BFD3-4D8CB4EBF81A}"/>
            </a:ext>
          </a:extLst>
        </xdr:cNvPr>
        <xdr:cNvSpPr txBox="1"/>
      </xdr:nvSpPr>
      <xdr:spPr>
        <a:xfrm>
          <a:off x="2267543" y="453390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104775</xdr:colOff>
      <xdr:row>55</xdr:row>
      <xdr:rowOff>0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6311FA8-9178-4697-8843-E4E41410B417}"/>
            </a:ext>
          </a:extLst>
        </xdr:cNvPr>
        <xdr:cNvSpPr txBox="1"/>
      </xdr:nvSpPr>
      <xdr:spPr>
        <a:xfrm>
          <a:off x="104775" y="453390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2677958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06B8A93-44B2-459F-AE9A-AA78C0DBC796}"/>
            </a:ext>
          </a:extLst>
        </xdr:cNvPr>
        <xdr:cNvSpPr txBox="1"/>
      </xdr:nvSpPr>
      <xdr:spPr>
        <a:xfrm>
          <a:off x="3297083" y="45339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274067</xdr:colOff>
      <xdr:row>55</xdr:row>
      <xdr:rowOff>0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113610B-722D-4FA4-B4A0-3452EEDCD912}"/>
            </a:ext>
          </a:extLst>
        </xdr:cNvPr>
        <xdr:cNvSpPr txBox="1"/>
      </xdr:nvSpPr>
      <xdr:spPr>
        <a:xfrm>
          <a:off x="5446142" y="453390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3666267</xdr:colOff>
      <xdr:row>55</xdr:row>
      <xdr:rowOff>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6ACFDE3-7AD5-4F9A-8456-D5266A29EF2C}"/>
            </a:ext>
          </a:extLst>
        </xdr:cNvPr>
        <xdr:cNvSpPr txBox="1"/>
      </xdr:nvSpPr>
      <xdr:spPr>
        <a:xfrm>
          <a:off x="4285392" y="453390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573577</xdr:colOff>
      <xdr:row>55</xdr:row>
      <xdr:rowOff>0</xdr:rowOff>
    </xdr:from>
    <xdr:ext cx="1035844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E6DBD6-A517-4873-9879-E8C5F2D6ECE2}"/>
            </a:ext>
          </a:extLst>
        </xdr:cNvPr>
        <xdr:cNvSpPr txBox="1"/>
      </xdr:nvSpPr>
      <xdr:spPr>
        <a:xfrm>
          <a:off x="1192702" y="453390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1696043</xdr:colOff>
      <xdr:row>55</xdr:row>
      <xdr:rowOff>0</xdr:rowOff>
    </xdr:from>
    <xdr:ext cx="986118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CB9668-1B31-4119-8A1F-99A1AD2E0BE4}"/>
            </a:ext>
          </a:extLst>
        </xdr:cNvPr>
        <xdr:cNvSpPr txBox="1"/>
      </xdr:nvSpPr>
      <xdr:spPr>
        <a:xfrm>
          <a:off x="2315168" y="379095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152400</xdr:colOff>
      <xdr:row>55</xdr:row>
      <xdr:rowOff>0</xdr:rowOff>
    </xdr:from>
    <xdr:ext cx="974912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4679637-3D21-4D52-B8FD-53610E031603}"/>
            </a:ext>
          </a:extLst>
        </xdr:cNvPr>
        <xdr:cNvSpPr txBox="1"/>
      </xdr:nvSpPr>
      <xdr:spPr>
        <a:xfrm>
          <a:off x="152400" y="379095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2725583</xdr:colOff>
      <xdr:row>55</xdr:row>
      <xdr:rowOff>0</xdr:rowOff>
    </xdr:from>
    <xdr:ext cx="1142999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6097B30-5621-407E-88D0-83E9FCFCE4F8}"/>
            </a:ext>
          </a:extLst>
        </xdr:cNvPr>
        <xdr:cNvSpPr txBox="1"/>
      </xdr:nvSpPr>
      <xdr:spPr>
        <a:xfrm>
          <a:off x="3344708" y="37909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321692</xdr:colOff>
      <xdr:row>55</xdr:row>
      <xdr:rowOff>0</xdr:rowOff>
    </xdr:from>
    <xdr:ext cx="1154208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5603E0C-9E91-414E-AA8F-E1E47C79DE64}"/>
            </a:ext>
          </a:extLst>
        </xdr:cNvPr>
        <xdr:cNvSpPr txBox="1"/>
      </xdr:nvSpPr>
      <xdr:spPr>
        <a:xfrm>
          <a:off x="5493767" y="37909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3713892</xdr:colOff>
      <xdr:row>55</xdr:row>
      <xdr:rowOff>0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83855193-6333-465B-9844-805F9ECA0AF0}"/>
            </a:ext>
          </a:extLst>
        </xdr:cNvPr>
        <xdr:cNvSpPr txBox="1"/>
      </xdr:nvSpPr>
      <xdr:spPr>
        <a:xfrm>
          <a:off x="4333017" y="379095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621202</xdr:colOff>
      <xdr:row>55</xdr:row>
      <xdr:rowOff>0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E34FAC8-318D-47CC-9F79-ADA65D5D3D9B}"/>
            </a:ext>
          </a:extLst>
        </xdr:cNvPr>
        <xdr:cNvSpPr txBox="1"/>
      </xdr:nvSpPr>
      <xdr:spPr>
        <a:xfrm>
          <a:off x="1240327" y="379095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1696043</xdr:colOff>
      <xdr:row>54</xdr:row>
      <xdr:rowOff>0</xdr:rowOff>
    </xdr:from>
    <xdr:ext cx="986118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C1F4BD4-FDBE-401A-A209-8ED0C2BB22F0}"/>
            </a:ext>
          </a:extLst>
        </xdr:cNvPr>
        <xdr:cNvSpPr txBox="1"/>
      </xdr:nvSpPr>
      <xdr:spPr>
        <a:xfrm>
          <a:off x="2315168" y="379095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152400</xdr:colOff>
      <xdr:row>54</xdr:row>
      <xdr:rowOff>0</xdr:rowOff>
    </xdr:from>
    <xdr:ext cx="974912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1ED6339-6ECA-47EA-AAF5-D2A3F3AA2BF8}"/>
            </a:ext>
          </a:extLst>
        </xdr:cNvPr>
        <xdr:cNvSpPr txBox="1"/>
      </xdr:nvSpPr>
      <xdr:spPr>
        <a:xfrm>
          <a:off x="152400" y="379095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2725583</xdr:colOff>
      <xdr:row>54</xdr:row>
      <xdr:rowOff>0</xdr:rowOff>
    </xdr:from>
    <xdr:ext cx="1142999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2089132-60BF-40C0-84BA-C4FF624316B2}"/>
            </a:ext>
          </a:extLst>
        </xdr:cNvPr>
        <xdr:cNvSpPr txBox="1"/>
      </xdr:nvSpPr>
      <xdr:spPr>
        <a:xfrm>
          <a:off x="3344708" y="37909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321692</xdr:colOff>
      <xdr:row>54</xdr:row>
      <xdr:rowOff>0</xdr:rowOff>
    </xdr:from>
    <xdr:ext cx="1154208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6DE679B-2BC8-40D5-878E-AF8355AD3D51}"/>
            </a:ext>
          </a:extLst>
        </xdr:cNvPr>
        <xdr:cNvSpPr txBox="1"/>
      </xdr:nvSpPr>
      <xdr:spPr>
        <a:xfrm>
          <a:off x="5493767" y="37909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3713892</xdr:colOff>
      <xdr:row>54</xdr:row>
      <xdr:rowOff>0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9AE2B1E-EDB3-4FE7-8D0D-C34B0A058276}"/>
            </a:ext>
          </a:extLst>
        </xdr:cNvPr>
        <xdr:cNvSpPr txBox="1"/>
      </xdr:nvSpPr>
      <xdr:spPr>
        <a:xfrm>
          <a:off x="4333017" y="379095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621202</xdr:colOff>
      <xdr:row>54</xdr:row>
      <xdr:rowOff>0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8E581B1-28FB-4E02-9244-AD7DA2CA7228}"/>
            </a:ext>
          </a:extLst>
        </xdr:cNvPr>
        <xdr:cNvSpPr txBox="1"/>
      </xdr:nvSpPr>
      <xdr:spPr>
        <a:xfrm>
          <a:off x="1240327" y="379095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857843</xdr:colOff>
      <xdr:row>23</xdr:row>
      <xdr:rowOff>0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983B10F-9B7E-4ABA-8A49-812892F5B8C0}"/>
            </a:ext>
          </a:extLst>
        </xdr:cNvPr>
        <xdr:cNvSpPr txBox="1"/>
      </xdr:nvSpPr>
      <xdr:spPr>
        <a:xfrm>
          <a:off x="2353268" y="667702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190500</xdr:colOff>
      <xdr:row>23</xdr:row>
      <xdr:rowOff>0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7D48F57-F11A-4936-B261-F383A9CDA46E}"/>
            </a:ext>
          </a:extLst>
        </xdr:cNvPr>
        <xdr:cNvSpPr txBox="1"/>
      </xdr:nvSpPr>
      <xdr:spPr>
        <a:xfrm>
          <a:off x="190500" y="667702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1887383</xdr:colOff>
      <xdr:row>23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EFF5042-347B-451E-8C14-110B657C7B80}"/>
            </a:ext>
          </a:extLst>
        </xdr:cNvPr>
        <xdr:cNvSpPr txBox="1"/>
      </xdr:nvSpPr>
      <xdr:spPr>
        <a:xfrm>
          <a:off x="3382808" y="667702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759842</xdr:colOff>
      <xdr:row>23</xdr:row>
      <xdr:rowOff>0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8B26416-6E4C-4A17-B4A9-41DCB5A05449}"/>
            </a:ext>
          </a:extLst>
        </xdr:cNvPr>
        <xdr:cNvSpPr txBox="1"/>
      </xdr:nvSpPr>
      <xdr:spPr>
        <a:xfrm>
          <a:off x="5531867" y="667702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2875692</xdr:colOff>
      <xdr:row>23</xdr:row>
      <xdr:rowOff>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FC1D4B6-162C-4469-BEC2-0AB7FCA485BD}"/>
            </a:ext>
          </a:extLst>
        </xdr:cNvPr>
        <xdr:cNvSpPr txBox="1"/>
      </xdr:nvSpPr>
      <xdr:spPr>
        <a:xfrm>
          <a:off x="4371117" y="667702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811702</xdr:colOff>
      <xdr:row>23</xdr:row>
      <xdr:rowOff>0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B8C74E78-093D-4554-973E-5B3007603802}"/>
            </a:ext>
          </a:extLst>
        </xdr:cNvPr>
        <xdr:cNvSpPr txBox="1"/>
      </xdr:nvSpPr>
      <xdr:spPr>
        <a:xfrm>
          <a:off x="1278427" y="667702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6" t="s">
        <v>340</v>
      </c>
      <c r="B1" s="436"/>
      <c r="C1" s="214" t="s">
        <v>341</v>
      </c>
      <c r="D1" s="215">
        <f>P!D3</f>
        <v>45962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96.980135565332247</v>
      </c>
      <c r="D5" s="220">
        <f>P!AK7</f>
        <v>85</v>
      </c>
      <c r="E5" s="219">
        <f t="shared" si="0"/>
        <v>11.980135565332247</v>
      </c>
      <c r="F5" s="226" t="str">
        <f t="shared" si="1"/>
        <v>-</v>
      </c>
      <c r="G5" s="217"/>
    </row>
    <row r="6" spans="1:9">
      <c r="A6" s="180" t="s">
        <v>18</v>
      </c>
      <c r="B6" s="205" t="s">
        <v>9</v>
      </c>
      <c r="C6" s="220">
        <f>S!D6</f>
        <v>121.98901105530854</v>
      </c>
      <c r="D6" s="220">
        <f>P!AK8</f>
        <v>122</v>
      </c>
      <c r="E6" s="219">
        <f t="shared" si="0"/>
        <v>1.0988944691462166E-2</v>
      </c>
      <c r="F6" s="226" t="str">
        <f t="shared" si="1"/>
        <v>+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152.27285277170236</v>
      </c>
      <c r="D8" s="220">
        <f>P!AK10</f>
        <v>155</v>
      </c>
      <c r="E8" s="219">
        <f t="shared" si="0"/>
        <v>2.727147228297639</v>
      </c>
      <c r="F8" s="226" t="str">
        <f t="shared" si="1"/>
        <v>+</v>
      </c>
    </row>
    <row r="9" spans="1:9">
      <c r="A9" s="180" t="s">
        <v>21</v>
      </c>
      <c r="B9" s="205" t="s">
        <v>9</v>
      </c>
      <c r="C9" s="220">
        <f>S!D9</f>
        <v>160.43026677140108</v>
      </c>
      <c r="D9" s="220">
        <f>P!AK11</f>
        <v>160.43026677140108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130.05801514698564</v>
      </c>
      <c r="D10" s="220">
        <f>P!AK12</f>
        <v>130</v>
      </c>
      <c r="E10" s="219">
        <f t="shared" si="0"/>
        <v>5.8015146985638921E-2</v>
      </c>
      <c r="F10" s="226" t="str">
        <f t="shared" si="1"/>
        <v>-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58.666666666666664</v>
      </c>
      <c r="D12" s="220">
        <f>P!AK14</f>
        <v>60</v>
      </c>
      <c r="E12" s="219">
        <f t="shared" si="0"/>
        <v>1.3333333333333357</v>
      </c>
      <c r="F12" s="226" t="str">
        <f t="shared" si="1"/>
        <v>+</v>
      </c>
    </row>
    <row r="13" spans="1:9">
      <c r="A13" s="180" t="s">
        <v>25</v>
      </c>
      <c r="B13" s="205" t="s">
        <v>26</v>
      </c>
      <c r="C13" s="220">
        <f>S!D13</f>
        <v>179.47237911558003</v>
      </c>
      <c r="D13" s="220">
        <f>P!AK15</f>
        <v>182</v>
      </c>
      <c r="E13" s="219">
        <f t="shared" si="0"/>
        <v>2.5276208844199743</v>
      </c>
      <c r="F13" s="226" t="str">
        <f t="shared" si="1"/>
        <v>+</v>
      </c>
    </row>
    <row r="14" spans="1:9">
      <c r="A14" s="180" t="s">
        <v>27</v>
      </c>
      <c r="B14" s="205" t="s">
        <v>26</v>
      </c>
      <c r="C14" s="220">
        <f>S!D14</f>
        <v>322.83657504975832</v>
      </c>
      <c r="D14" s="220">
        <f>P!AK16</f>
        <v>320</v>
      </c>
      <c r="E14" s="219">
        <f t="shared" si="0"/>
        <v>2.8365750497583235</v>
      </c>
      <c r="F14" s="226" t="str">
        <f t="shared" si="1"/>
        <v>-</v>
      </c>
    </row>
    <row r="15" spans="1:9">
      <c r="A15" s="180" t="s">
        <v>5</v>
      </c>
      <c r="B15" s="205" t="s">
        <v>9</v>
      </c>
      <c r="C15" s="220">
        <f>S!D15</f>
        <v>39.999999828149122</v>
      </c>
      <c r="D15" s="220">
        <f>P!AK17</f>
        <v>40</v>
      </c>
      <c r="E15" s="219">
        <f t="shared" si="0"/>
        <v>1.7185087841653512E-7</v>
      </c>
      <c r="F15" s="226" t="str">
        <f t="shared" si="1"/>
        <v>+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485.78143360752051</v>
      </c>
      <c r="D17" s="220">
        <f>P!AK19</f>
        <v>333.33333333333326</v>
      </c>
      <c r="E17" s="219">
        <f t="shared" si="0"/>
        <v>152.44810027418725</v>
      </c>
      <c r="F17" s="226" t="str">
        <f t="shared" si="1"/>
        <v>-</v>
      </c>
    </row>
    <row r="18" spans="1:6">
      <c r="A18" s="180" t="s">
        <v>29</v>
      </c>
      <c r="B18" s="205" t="s">
        <v>9</v>
      </c>
      <c r="C18" s="220">
        <f>S!D18</f>
        <v>183.33333333333331</v>
      </c>
      <c r="D18" s="220">
        <f>P!AK20</f>
        <v>183.33333333333331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59.999999999998352</v>
      </c>
      <c r="D19" s="220">
        <f>P!AK21</f>
        <v>60</v>
      </c>
      <c r="E19" s="219">
        <f t="shared" si="0"/>
        <v>1.6484591469634324E-12</v>
      </c>
      <c r="F19" s="226" t="str">
        <f t="shared" si="1"/>
        <v>+</v>
      </c>
    </row>
    <row r="20" spans="1:6">
      <c r="A20" s="180" t="s">
        <v>32</v>
      </c>
      <c r="B20" s="205" t="s">
        <v>9</v>
      </c>
      <c r="C20" s="220">
        <f>S!D20</f>
        <v>920.24684649498317</v>
      </c>
      <c r="D20" s="220">
        <f>P!AK22</f>
        <v>933.33333333333326</v>
      </c>
      <c r="E20" s="219">
        <f t="shared" si="0"/>
        <v>13.086486838350083</v>
      </c>
      <c r="F20" s="226" t="str">
        <f t="shared" si="1"/>
        <v>+</v>
      </c>
    </row>
    <row r="21" spans="1:6">
      <c r="A21" s="180" t="s">
        <v>33</v>
      </c>
      <c r="B21" s="205" t="s">
        <v>9</v>
      </c>
      <c r="C21" s="220">
        <f>S!D21</f>
        <v>216.66666666666666</v>
      </c>
      <c r="D21" s="220">
        <f>P!AK23</f>
        <v>216.66666666666666</v>
      </c>
      <c r="E21" s="219">
        <f t="shared" si="0"/>
        <v>0</v>
      </c>
      <c r="F21" s="226" t="str">
        <f t="shared" si="1"/>
        <v>×</v>
      </c>
    </row>
    <row r="22" spans="1:6">
      <c r="A22" s="180" t="s">
        <v>34</v>
      </c>
      <c r="B22" s="205" t="s">
        <v>31</v>
      </c>
      <c r="C22" s="220">
        <f>S!D22</f>
        <v>2.7665272323045231</v>
      </c>
      <c r="D22" s="220">
        <f>P!AK24</f>
        <v>2.8</v>
      </c>
      <c r="E22" s="219">
        <f t="shared" si="0"/>
        <v>3.3472767695476691E-2</v>
      </c>
      <c r="F22" s="226" t="str">
        <f t="shared" si="1"/>
        <v>+</v>
      </c>
    </row>
    <row r="23" spans="1:6">
      <c r="A23" s="180" t="s">
        <v>35</v>
      </c>
      <c r="B23" s="205" t="s">
        <v>31</v>
      </c>
      <c r="C23" s="220">
        <f>S!D23</f>
        <v>180</v>
      </c>
      <c r="D23" s="220">
        <f>P!AK25</f>
        <v>300</v>
      </c>
      <c r="E23" s="219">
        <f t="shared" si="0"/>
        <v>120</v>
      </c>
      <c r="F23" s="226" t="str">
        <f t="shared" si="1"/>
        <v>+</v>
      </c>
    </row>
    <row r="24" spans="1:6">
      <c r="A24" s="180" t="s">
        <v>36</v>
      </c>
      <c r="B24" s="205" t="s">
        <v>31</v>
      </c>
      <c r="C24" s="220">
        <f>S!D24</f>
        <v>380</v>
      </c>
      <c r="D24" s="220">
        <f>P!AK26</f>
        <v>440</v>
      </c>
      <c r="E24" s="219">
        <f t="shared" si="0"/>
        <v>60</v>
      </c>
      <c r="F24" s="226" t="str">
        <f t="shared" si="1"/>
        <v>+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135.52336352956578</v>
      </c>
      <c r="D34" s="220">
        <f>P!AK36</f>
        <v>135</v>
      </c>
      <c r="E34" s="219">
        <f t="shared" si="0"/>
        <v>0.5233635295657848</v>
      </c>
      <c r="F34" s="226" t="str">
        <f t="shared" si="1"/>
        <v>-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475</v>
      </c>
      <c r="D36" s="220">
        <f>P!AK38</f>
        <v>475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240</v>
      </c>
      <c r="D38" s="220">
        <f>P!AK40</f>
        <v>120</v>
      </c>
      <c r="E38" s="219">
        <f t="shared" si="0"/>
        <v>120</v>
      </c>
      <c r="F38" s="226" t="str">
        <f t="shared" si="1"/>
        <v>-</v>
      </c>
    </row>
    <row r="39" spans="1:6">
      <c r="A39" s="180" t="s">
        <v>48</v>
      </c>
      <c r="B39" s="205" t="s">
        <v>9</v>
      </c>
      <c r="C39" s="220">
        <f>S!D39</f>
        <v>74.166666666666671</v>
      </c>
      <c r="D39" s="220">
        <f>P!AK41</f>
        <v>74.166666666666671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132.5</v>
      </c>
      <c r="D40" s="220">
        <f>P!AK42</f>
        <v>85</v>
      </c>
      <c r="E40" s="219">
        <f t="shared" si="0"/>
        <v>47.5</v>
      </c>
      <c r="F40" s="226" t="str">
        <f t="shared" si="1"/>
        <v>-</v>
      </c>
    </row>
    <row r="41" spans="1:6">
      <c r="A41" s="180" t="s">
        <v>298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10.077212571111302</v>
      </c>
      <c r="D45" s="220">
        <f>P!AK47</f>
        <v>10.077212571111302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4.1449856530953326</v>
      </c>
      <c r="D46" s="220">
        <f>P!AK48</f>
        <v>800</v>
      </c>
      <c r="E46" s="219">
        <f t="shared" si="0"/>
        <v>795.85501434690468</v>
      </c>
      <c r="F46" s="226" t="str">
        <f t="shared" si="1"/>
        <v>+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0.99701633739915718</v>
      </c>
      <c r="D54" s="220">
        <f>P!AK56</f>
        <v>0.8</v>
      </c>
      <c r="E54" s="219">
        <f t="shared" si="0"/>
        <v>0.19701633739915714</v>
      </c>
      <c r="F54" s="226" t="str">
        <f t="shared" si="1"/>
        <v>-</v>
      </c>
    </row>
    <row r="55" spans="1:6">
      <c r="A55" s="180" t="s">
        <v>63</v>
      </c>
      <c r="B55" s="205" t="s">
        <v>31</v>
      </c>
      <c r="C55" s="220">
        <f>S!D55</f>
        <v>0.25007592754151003</v>
      </c>
      <c r="D55" s="220">
        <f>P!AK57</f>
        <v>0.25</v>
      </c>
      <c r="E55" s="219">
        <f t="shared" si="0"/>
        <v>7.5927541510034668E-5</v>
      </c>
      <c r="F55" s="226" t="str">
        <f t="shared" si="1"/>
        <v>-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267.55555555555554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111.61943319838058</v>
      </c>
      <c r="D60" s="220">
        <f>P!AK62</f>
        <v>110</v>
      </c>
      <c r="E60" s="219">
        <f t="shared" si="0"/>
        <v>1.6194331983805768</v>
      </c>
      <c r="F60" s="226" t="str">
        <f t="shared" si="1"/>
        <v>-</v>
      </c>
    </row>
    <row r="61" spans="1:6">
      <c r="A61" s="180" t="s">
        <v>70</v>
      </c>
      <c r="B61" s="205" t="s">
        <v>9</v>
      </c>
      <c r="C61" s="220">
        <f>S!D61</f>
        <v>638.97164060429361</v>
      </c>
      <c r="D61" s="220">
        <f>P!AK63</f>
        <v>640</v>
      </c>
      <c r="E61" s="219">
        <f t="shared" si="0"/>
        <v>1.0283593957063886</v>
      </c>
      <c r="F61" s="226" t="str">
        <f t="shared" si="1"/>
        <v>+</v>
      </c>
    </row>
    <row r="62" spans="1:6">
      <c r="A62" s="180" t="s">
        <v>71</v>
      </c>
      <c r="B62" s="205" t="s">
        <v>9</v>
      </c>
      <c r="C62" s="220">
        <f>S!D62</f>
        <v>655.41380476259485</v>
      </c>
      <c r="D62" s="220">
        <f>P!AK64</f>
        <v>660</v>
      </c>
      <c r="E62" s="219">
        <f t="shared" si="0"/>
        <v>4.5861952374051498</v>
      </c>
      <c r="F62" s="226" t="str">
        <f t="shared" si="1"/>
        <v>+</v>
      </c>
    </row>
    <row r="63" spans="1:6">
      <c r="A63" s="180" t="s">
        <v>72</v>
      </c>
      <c r="B63" s="205" t="s">
        <v>9</v>
      </c>
      <c r="C63" s="220">
        <f>S!D63</f>
        <v>360.88435374149657</v>
      </c>
      <c r="D63" s="220">
        <f>P!AK65</f>
        <v>400</v>
      </c>
      <c r="E63" s="219">
        <f t="shared" si="0"/>
        <v>39.115646258503432</v>
      </c>
      <c r="F63" s="226" t="str">
        <f t="shared" si="1"/>
        <v>+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872.22222222222217</v>
      </c>
      <c r="D65" s="220">
        <f>P!AK67</f>
        <v>1311.1111111111113</v>
      </c>
      <c r="E65" s="219">
        <f t="shared" si="0"/>
        <v>438.88888888888914</v>
      </c>
      <c r="F65" s="226" t="str">
        <f t="shared" si="1"/>
        <v>+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5755.6474715603299</v>
      </c>
      <c r="D68" s="220">
        <f>P!AK70</f>
        <v>5733.3333333333339</v>
      </c>
      <c r="E68" s="219">
        <f t="shared" ref="E68:E131" si="2">ABS(C68-D68)</f>
        <v>22.314138226995965</v>
      </c>
      <c r="F68" s="226" t="str">
        <f t="shared" ref="F68:F131" si="3">IF(C68-D68=0, "×", IF(C68-D68&lt;0, "+", "-"))</f>
        <v>-</v>
      </c>
    </row>
    <row r="69" spans="1:6">
      <c r="A69" s="180" t="s">
        <v>78</v>
      </c>
      <c r="B69" s="205" t="s">
        <v>9</v>
      </c>
      <c r="C69" s="220">
        <f>S!D69</f>
        <v>597.53031278598769</v>
      </c>
      <c r="D69" s="220">
        <f>P!AK71</f>
        <v>600</v>
      </c>
      <c r="E69" s="219">
        <f t="shared" si="2"/>
        <v>2.4696872140123105</v>
      </c>
      <c r="F69" s="226" t="str">
        <f t="shared" si="3"/>
        <v>+</v>
      </c>
    </row>
    <row r="70" spans="1:6">
      <c r="A70" s="180" t="s">
        <v>79</v>
      </c>
      <c r="B70" s="205" t="s">
        <v>9</v>
      </c>
      <c r="C70" s="220">
        <f>S!D70</f>
        <v>1824.8015873015872</v>
      </c>
      <c r="D70" s="220">
        <f>P!AK72</f>
        <v>2685.7142857142858</v>
      </c>
      <c r="E70" s="219">
        <f t="shared" si="2"/>
        <v>860.91269841269855</v>
      </c>
      <c r="F70" s="226" t="str">
        <f t="shared" si="3"/>
        <v>+</v>
      </c>
    </row>
    <row r="71" spans="1:6">
      <c r="A71" s="180" t="s">
        <v>80</v>
      </c>
      <c r="B71" s="205" t="s">
        <v>31</v>
      </c>
      <c r="C71" s="220">
        <f>S!D71</f>
        <v>8</v>
      </c>
      <c r="D71" s="220">
        <f>P!AK73</f>
        <v>8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844.01234689342095</v>
      </c>
      <c r="D72" s="220">
        <f>P!AK74</f>
        <v>871.42857142857144</v>
      </c>
      <c r="E72" s="219">
        <f t="shared" si="2"/>
        <v>27.416224535150491</v>
      </c>
      <c r="F72" s="226" t="str">
        <f t="shared" si="3"/>
        <v>+</v>
      </c>
    </row>
    <row r="73" spans="1:6">
      <c r="A73" s="180" t="s">
        <v>82</v>
      </c>
      <c r="B73" s="205" t="s">
        <v>9</v>
      </c>
      <c r="C73" s="220">
        <f>S!D73</f>
        <v>679.97504646958475</v>
      </c>
      <c r="D73" s="220">
        <f>P!AK75</f>
        <v>700</v>
      </c>
      <c r="E73" s="219">
        <f t="shared" si="2"/>
        <v>20.024953530415246</v>
      </c>
      <c r="F73" s="226" t="str">
        <f t="shared" si="3"/>
        <v>+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1610.011112813731</v>
      </c>
      <c r="D75" s="220">
        <f>P!AK77</f>
        <v>1815.3846153846152</v>
      </c>
      <c r="E75" s="219">
        <f t="shared" si="2"/>
        <v>205.37350257088428</v>
      </c>
      <c r="F75" s="226" t="str">
        <f t="shared" si="3"/>
        <v>+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3599.9999999999995</v>
      </c>
      <c r="D77" s="220">
        <f>P!AK79</f>
        <v>3599.9999999999995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592.22441917943638</v>
      </c>
      <c r="D78" s="220">
        <f>P!AK80</f>
        <v>599.99999999999989</v>
      </c>
      <c r="E78" s="219">
        <f t="shared" si="2"/>
        <v>7.7755808205635049</v>
      </c>
      <c r="F78" s="226" t="str">
        <f t="shared" si="3"/>
        <v>+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177.16312019540905</v>
      </c>
      <c r="D80" s="220">
        <f>P!AK82</f>
        <v>180</v>
      </c>
      <c r="E80" s="219">
        <f t="shared" si="2"/>
        <v>2.83687980459095</v>
      </c>
      <c r="F80" s="226" t="str">
        <f t="shared" si="3"/>
        <v>+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2811.8032786885246</v>
      </c>
      <c r="D84" s="220">
        <f>P!AK86</f>
        <v>3600</v>
      </c>
      <c r="E84" s="219">
        <f t="shared" si="2"/>
        <v>788.19672131147536</v>
      </c>
      <c r="F84" s="226" t="str">
        <f t="shared" si="3"/>
        <v>+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202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264</v>
      </c>
      <c r="B86" s="205" t="s">
        <v>9</v>
      </c>
      <c r="C86" s="220">
        <f>S!D86</f>
        <v>1493.2367149758454</v>
      </c>
      <c r="D86" s="220">
        <f>P!AK88</f>
        <v>1800</v>
      </c>
      <c r="E86" s="219">
        <f t="shared" si="2"/>
        <v>306.76328502415458</v>
      </c>
      <c r="F86" s="226" t="str">
        <f t="shared" si="3"/>
        <v>+</v>
      </c>
    </row>
    <row r="87" spans="1:6">
      <c r="A87" s="180" t="s">
        <v>92</v>
      </c>
      <c r="B87" s="205" t="s">
        <v>9</v>
      </c>
      <c r="C87" s="220">
        <f>S!D87</f>
        <v>67.0235294117645</v>
      </c>
      <c r="D87" s="220">
        <f>P!AK89</f>
        <v>67</v>
      </c>
      <c r="E87" s="219">
        <f t="shared" si="2"/>
        <v>2.3529411764499741E-2</v>
      </c>
      <c r="F87" s="226" t="str">
        <f t="shared" si="3"/>
        <v>-</v>
      </c>
    </row>
    <row r="88" spans="1:6">
      <c r="A88" s="180" t="s">
        <v>93</v>
      </c>
      <c r="B88" s="205" t="s">
        <v>9</v>
      </c>
      <c r="C88" s="220">
        <f>S!D88</f>
        <v>103.22781920582705</v>
      </c>
      <c r="D88" s="220">
        <f>P!AK90</f>
        <v>100</v>
      </c>
      <c r="E88" s="219">
        <f t="shared" si="2"/>
        <v>3.2278192058270463</v>
      </c>
      <c r="F88" s="226" t="str">
        <f t="shared" si="3"/>
        <v>-</v>
      </c>
    </row>
    <row r="89" spans="1:6">
      <c r="A89" s="180" t="s">
        <v>94</v>
      </c>
      <c r="B89" s="205" t="s">
        <v>31</v>
      </c>
      <c r="C89" s="220">
        <f>S!D89</f>
        <v>11.471308358095881</v>
      </c>
      <c r="D89" s="220">
        <f>P!AK91</f>
        <v>11.311538461538461</v>
      </c>
      <c r="E89" s="219">
        <f t="shared" si="2"/>
        <v>0.15976989655741924</v>
      </c>
      <c r="F89" s="226" t="str">
        <f t="shared" si="3"/>
        <v>-</v>
      </c>
    </row>
    <row r="90" spans="1:6">
      <c r="A90" s="180" t="s">
        <v>313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215.76719576719577</v>
      </c>
      <c r="D92" s="220">
        <f>P!AK94</f>
        <v>215.76719576719577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85.005591521532878</v>
      </c>
      <c r="D95" s="220">
        <f>P!AK97</f>
        <v>90</v>
      </c>
      <c r="E95" s="219">
        <f t="shared" si="2"/>
        <v>4.9944084784671219</v>
      </c>
      <c r="F95" s="226" t="str">
        <f t="shared" si="3"/>
        <v>+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520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322</v>
      </c>
      <c r="B98" s="205" t="s">
        <v>31</v>
      </c>
      <c r="C98" s="220">
        <f>S!D98</f>
        <v>177.5</v>
      </c>
      <c r="D98" s="220">
        <f>P!AK100</f>
        <v>175</v>
      </c>
      <c r="E98" s="219">
        <f t="shared" si="2"/>
        <v>2.5</v>
      </c>
      <c r="F98" s="226" t="str">
        <f t="shared" si="3"/>
        <v>-</v>
      </c>
    </row>
    <row r="99" spans="1:6">
      <c r="A99" s="180" t="s">
        <v>102</v>
      </c>
      <c r="B99" s="205" t="s">
        <v>9</v>
      </c>
      <c r="C99" s="220">
        <f>S!D99</f>
        <v>591.76871235090846</v>
      </c>
      <c r="D99" s="220">
        <f>P!AK101</f>
        <v>600</v>
      </c>
      <c r="E99" s="219">
        <f t="shared" si="2"/>
        <v>8.2312876490915414</v>
      </c>
      <c r="F99" s="226" t="str">
        <f t="shared" si="3"/>
        <v>+</v>
      </c>
    </row>
    <row r="100" spans="1:6">
      <c r="A100" s="180" t="s">
        <v>103</v>
      </c>
      <c r="B100" s="205" t="s">
        <v>31</v>
      </c>
      <c r="C100" s="220">
        <f>S!D100</f>
        <v>170</v>
      </c>
      <c r="D100" s="220">
        <f>P!AK102</f>
        <v>175</v>
      </c>
      <c r="E100" s="219">
        <f t="shared" si="2"/>
        <v>5</v>
      </c>
      <c r="F100" s="226" t="str">
        <f t="shared" si="3"/>
        <v>+</v>
      </c>
    </row>
    <row r="101" spans="1:6">
      <c r="A101" s="180" t="s">
        <v>289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0</v>
      </c>
      <c r="D102" s="220">
        <f>P!AK104</f>
        <v>100</v>
      </c>
      <c r="E102" s="219">
        <f t="shared" si="2"/>
        <v>100</v>
      </c>
      <c r="F102" s="226" t="str">
        <f t="shared" si="3"/>
        <v>+</v>
      </c>
    </row>
    <row r="103" spans="1:6">
      <c r="A103" s="180" t="s">
        <v>291</v>
      </c>
      <c r="B103" s="205" t="s">
        <v>31</v>
      </c>
      <c r="C103" s="220">
        <f>S!D103</f>
        <v>180</v>
      </c>
      <c r="D103" s="220">
        <f>P!AK105</f>
        <v>180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168.33333333333334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161.11111111111111</v>
      </c>
      <c r="D106" s="220">
        <f>P!AK108</f>
        <v>161.11111111111111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850</v>
      </c>
      <c r="D107" s="220">
        <f>P!AK109</f>
        <v>340</v>
      </c>
      <c r="E107" s="219">
        <f t="shared" si="2"/>
        <v>510</v>
      </c>
      <c r="F107" s="226" t="str">
        <f t="shared" si="3"/>
        <v>-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270.71428571428572</v>
      </c>
      <c r="D109" s="220">
        <f>P!AK111</f>
        <v>270.71428571428572</v>
      </c>
      <c r="E109" s="219">
        <f t="shared" si="2"/>
        <v>0</v>
      </c>
      <c r="F109" s="226" t="str">
        <f t="shared" si="3"/>
        <v>×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2086.8055555555557</v>
      </c>
      <c r="D112" s="220">
        <f>P!AK114</f>
        <v>2095.9595959595958</v>
      </c>
      <c r="E112" s="219">
        <f t="shared" si="2"/>
        <v>9.1540404040401882</v>
      </c>
      <c r="F112" s="226" t="str">
        <f t="shared" si="3"/>
        <v>+</v>
      </c>
    </row>
    <row r="113" spans="1:6">
      <c r="A113" s="180" t="s">
        <v>112</v>
      </c>
      <c r="B113" s="205" t="s">
        <v>9</v>
      </c>
      <c r="C113" s="220">
        <f>S!D113</f>
        <v>3880</v>
      </c>
      <c r="D113" s="220">
        <f>P!AK115</f>
        <v>3880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8.8567505492067475</v>
      </c>
      <c r="D116" s="220">
        <f>P!AK118</f>
        <v>9.0476190476190474</v>
      </c>
      <c r="E116" s="219">
        <f t="shared" si="2"/>
        <v>0.19086849841229991</v>
      </c>
      <c r="F116" s="226" t="str">
        <f t="shared" si="3"/>
        <v>+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180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260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140</v>
      </c>
      <c r="D120" s="220">
        <f>P!AK122</f>
        <v>145</v>
      </c>
      <c r="E120" s="219">
        <f t="shared" si="2"/>
        <v>5</v>
      </c>
      <c r="F120" s="226" t="str">
        <f t="shared" si="3"/>
        <v>+</v>
      </c>
    </row>
    <row r="121" spans="1:6">
      <c r="A121" s="180" t="s">
        <v>120</v>
      </c>
      <c r="B121" s="205" t="s">
        <v>9</v>
      </c>
      <c r="C121" s="220">
        <f>S!D121</f>
        <v>110</v>
      </c>
      <c r="D121" s="220">
        <f>P!AK123</f>
        <v>110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6.583333333333333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1151.252408477842</v>
      </c>
      <c r="D123" s="220">
        <f>P!AK125</f>
        <v>936.8131868131868</v>
      </c>
      <c r="E123" s="219">
        <f t="shared" si="2"/>
        <v>214.43922166465518</v>
      </c>
      <c r="F123" s="226" t="str">
        <f t="shared" si="3"/>
        <v>-</v>
      </c>
    </row>
    <row r="124" spans="1:6">
      <c r="A124" s="180" t="s">
        <v>123</v>
      </c>
      <c r="B124" s="205" t="s">
        <v>31</v>
      </c>
      <c r="C124" s="220">
        <f>S!D124</f>
        <v>9.5956989247311828</v>
      </c>
      <c r="D124" s="220">
        <f>P!AK126</f>
        <v>10</v>
      </c>
      <c r="E124" s="219">
        <f t="shared" si="2"/>
        <v>0.4043010752688172</v>
      </c>
      <c r="F124" s="226" t="str">
        <f t="shared" si="3"/>
        <v>+</v>
      </c>
    </row>
    <row r="125" spans="1:6">
      <c r="A125" s="180" t="s">
        <v>263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90.246913580246897</v>
      </c>
      <c r="D126" s="220">
        <f>P!AK128</f>
        <v>109.52066115702479</v>
      </c>
      <c r="E126" s="219">
        <f t="shared" si="2"/>
        <v>19.273747576777893</v>
      </c>
      <c r="F126" s="226" t="str">
        <f t="shared" si="3"/>
        <v>+</v>
      </c>
    </row>
    <row r="127" spans="1:6">
      <c r="A127" s="180" t="s">
        <v>261</v>
      </c>
      <c r="B127" s="205" t="s">
        <v>9</v>
      </c>
      <c r="C127" s="220">
        <f>S!D127</f>
        <v>363.28358208955223</v>
      </c>
      <c r="D127" s="220">
        <f>P!AK129</f>
        <v>363.28358208955223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265</v>
      </c>
      <c r="B128" s="205" t="s">
        <v>9</v>
      </c>
      <c r="C128" s="220">
        <f>S!D128</f>
        <v>410</v>
      </c>
      <c r="D128" s="220">
        <f>P!AK130</f>
        <v>380</v>
      </c>
      <c r="E128" s="219">
        <f t="shared" si="2"/>
        <v>30</v>
      </c>
      <c r="F128" s="226" t="str">
        <f t="shared" si="3"/>
        <v>-</v>
      </c>
    </row>
    <row r="129" spans="1:6">
      <c r="A129" s="180" t="s">
        <v>262</v>
      </c>
      <c r="B129" s="205" t="s">
        <v>9</v>
      </c>
      <c r="C129" s="220">
        <f>S!D129</f>
        <v>249.99999999999997</v>
      </c>
      <c r="D129" s="220">
        <f>P!AK131</f>
        <v>300</v>
      </c>
      <c r="E129" s="219">
        <f t="shared" si="2"/>
        <v>50.000000000000028</v>
      </c>
      <c r="F129" s="226" t="str">
        <f t="shared" si="3"/>
        <v>+</v>
      </c>
    </row>
    <row r="130" spans="1:6">
      <c r="A130" s="180" t="s">
        <v>124</v>
      </c>
      <c r="B130" s="205" t="s">
        <v>9</v>
      </c>
      <c r="C130" s="220">
        <f>S!D130</f>
        <v>101.36986301369863</v>
      </c>
      <c r="D130" s="220">
        <f>P!AK132</f>
        <v>104.54545454545455</v>
      </c>
      <c r="E130" s="219">
        <f t="shared" si="2"/>
        <v>3.1755915317559129</v>
      </c>
      <c r="F130" s="226" t="str">
        <f t="shared" si="3"/>
        <v>+</v>
      </c>
    </row>
    <row r="131" spans="1:6">
      <c r="A131" s="180" t="s">
        <v>125</v>
      </c>
      <c r="B131" s="205" t="s">
        <v>9</v>
      </c>
      <c r="C131" s="220">
        <f>S!D131</f>
        <v>130</v>
      </c>
      <c r="D131" s="220">
        <f>P!AK133</f>
        <v>130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202.90076335877862</v>
      </c>
      <c r="D133" s="220">
        <f>P!AK135</f>
        <v>186.77740863787378</v>
      </c>
      <c r="E133" s="219">
        <f t="shared" si="4"/>
        <v>16.123354720904842</v>
      </c>
      <c r="F133" s="226" t="str">
        <f t="shared" si="5"/>
        <v>-</v>
      </c>
    </row>
    <row r="134" spans="1:6">
      <c r="A134" s="180" t="s">
        <v>286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309.70384373030879</v>
      </c>
      <c r="D136" s="220">
        <f>P!AK138</f>
        <v>309.70384373030879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110</v>
      </c>
      <c r="D137" s="220">
        <f>P!AK139</f>
        <v>110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20</v>
      </c>
      <c r="D141" s="220">
        <f>P!AK143</f>
        <v>29.276315789473685</v>
      </c>
      <c r="E141" s="219">
        <f t="shared" si="4"/>
        <v>9.276315789473685</v>
      </c>
      <c r="F141" s="226" t="str">
        <f t="shared" si="5"/>
        <v>+</v>
      </c>
    </row>
    <row r="142" spans="1:6">
      <c r="A142" s="180" t="s">
        <v>130</v>
      </c>
      <c r="B142" s="205" t="s">
        <v>31</v>
      </c>
      <c r="C142" s="220">
        <f>S!D142</f>
        <v>62.8</v>
      </c>
      <c r="D142" s="220">
        <f>P!AK144</f>
        <v>70</v>
      </c>
      <c r="E142" s="219">
        <f t="shared" si="4"/>
        <v>7.2000000000000028</v>
      </c>
      <c r="F142" s="226" t="str">
        <f t="shared" si="5"/>
        <v>+</v>
      </c>
    </row>
    <row r="143" spans="1:6">
      <c r="A143" s="180" t="s">
        <v>266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227.35941223337238</v>
      </c>
      <c r="D150" s="220">
        <f>P!AK152</f>
        <v>231.72499999999999</v>
      </c>
      <c r="E150" s="219">
        <f t="shared" si="4"/>
        <v>4.3655877666276126</v>
      </c>
      <c r="F150" s="226" t="str">
        <f t="shared" si="5"/>
        <v>+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220.95081127468552</v>
      </c>
      <c r="D152" s="220">
        <f>P!AK154</f>
        <v>170</v>
      </c>
      <c r="E152" s="219">
        <f t="shared" si="4"/>
        <v>50.95081127468552</v>
      </c>
      <c r="F152" s="226" t="str">
        <f t="shared" si="5"/>
        <v>-</v>
      </c>
    </row>
    <row r="153" spans="1:6">
      <c r="A153" s="180" t="s">
        <v>138</v>
      </c>
      <c r="B153" s="205" t="s">
        <v>9</v>
      </c>
      <c r="C153" s="220">
        <f>S!D153</f>
        <v>367.50538361066555</v>
      </c>
      <c r="D153" s="220">
        <f>P!AK155</f>
        <v>369.43396226415092</v>
      </c>
      <c r="E153" s="219">
        <f t="shared" si="4"/>
        <v>1.9285786534853742</v>
      </c>
      <c r="F153" s="226" t="str">
        <f t="shared" si="5"/>
        <v>+</v>
      </c>
    </row>
    <row r="154" spans="1:6">
      <c r="A154" s="180" t="s">
        <v>267</v>
      </c>
      <c r="B154" s="205" t="s">
        <v>9</v>
      </c>
      <c r="C154" s="220">
        <f>S!D154</f>
        <v>350</v>
      </c>
      <c r="D154" s="220">
        <f>P!AK156</f>
        <v>350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2253.7623762376234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363.33333333333331</v>
      </c>
      <c r="D160" s="220">
        <f>P!AK162</f>
        <v>370</v>
      </c>
      <c r="E160" s="219">
        <f t="shared" si="4"/>
        <v>6.6666666666666856</v>
      </c>
      <c r="F160" s="226" t="str">
        <f t="shared" si="5"/>
        <v>+</v>
      </c>
    </row>
    <row r="161" spans="1:6">
      <c r="A161" s="180" t="s">
        <v>145</v>
      </c>
      <c r="B161" s="205" t="s">
        <v>9</v>
      </c>
      <c r="C161" s="220">
        <f>S!D161</f>
        <v>670</v>
      </c>
      <c r="D161" s="220">
        <f>P!AK163</f>
        <v>600</v>
      </c>
      <c r="E161" s="219">
        <f t="shared" si="4"/>
        <v>70</v>
      </c>
      <c r="F161" s="226" t="str">
        <f t="shared" si="5"/>
        <v>-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190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700</v>
      </c>
      <c r="D168" s="220">
        <f>P!AK170</f>
        <v>660</v>
      </c>
      <c r="E168" s="219">
        <f t="shared" si="4"/>
        <v>40</v>
      </c>
      <c r="F168" s="226" t="str">
        <f t="shared" si="5"/>
        <v>-</v>
      </c>
    </row>
    <row r="169" spans="1:6">
      <c r="A169" s="180" t="s">
        <v>4</v>
      </c>
      <c r="B169" s="205" t="s">
        <v>9</v>
      </c>
      <c r="C169" s="220">
        <f>S!D169</f>
        <v>370</v>
      </c>
      <c r="D169" s="220">
        <f>P!AK171</f>
        <v>384</v>
      </c>
      <c r="E169" s="219">
        <f t="shared" si="4"/>
        <v>14</v>
      </c>
      <c r="F169" s="226" t="str">
        <f t="shared" si="5"/>
        <v>+</v>
      </c>
    </row>
    <row r="170" spans="1:6">
      <c r="A170" s="180" t="s">
        <v>153</v>
      </c>
      <c r="B170" s="205" t="s">
        <v>9</v>
      </c>
      <c r="C170" s="220">
        <f>S!D170</f>
        <v>462.33402773965003</v>
      </c>
      <c r="D170" s="220">
        <f>P!AK172</f>
        <v>426.92307692307691</v>
      </c>
      <c r="E170" s="219">
        <f t="shared" si="4"/>
        <v>35.41095081657312</v>
      </c>
      <c r="F170" s="226" t="str">
        <f t="shared" si="5"/>
        <v>-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630</v>
      </c>
      <c r="D173" s="220">
        <f>P!AK175</f>
        <v>630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23.528301886792452</v>
      </c>
      <c r="D177" s="220">
        <f>P!AK179</f>
        <v>22</v>
      </c>
      <c r="E177" s="219">
        <f t="shared" si="4"/>
        <v>1.5283018867924518</v>
      </c>
      <c r="F177" s="226" t="str">
        <f t="shared" si="5"/>
        <v>-</v>
      </c>
    </row>
    <row r="178" spans="1:6">
      <c r="A178" s="180" t="s">
        <v>308</v>
      </c>
      <c r="B178" s="205" t="s">
        <v>9</v>
      </c>
      <c r="C178" s="220">
        <f>S!D178</f>
        <v>80</v>
      </c>
      <c r="D178" s="220">
        <f>P!AK180</f>
        <v>104.29729729729729</v>
      </c>
      <c r="E178" s="219">
        <f t="shared" si="4"/>
        <v>24.297297297297291</v>
      </c>
      <c r="F178" s="226" t="str">
        <f t="shared" si="5"/>
        <v>+</v>
      </c>
    </row>
    <row r="179" spans="1:6">
      <c r="A179" s="180" t="s">
        <v>157</v>
      </c>
      <c r="B179" s="205" t="s">
        <v>9</v>
      </c>
      <c r="C179" s="220">
        <f>S!D179</f>
        <v>193.88888888888889</v>
      </c>
      <c r="D179" s="220">
        <f>P!AK181</f>
        <v>185.26315789473685</v>
      </c>
      <c r="E179" s="219">
        <f t="shared" si="4"/>
        <v>8.6257309941520361</v>
      </c>
      <c r="F179" s="226" t="str">
        <f t="shared" si="5"/>
        <v>-</v>
      </c>
    </row>
    <row r="180" spans="1:6">
      <c r="A180" s="180" t="s">
        <v>158</v>
      </c>
      <c r="B180" s="205" t="s">
        <v>9</v>
      </c>
      <c r="C180" s="220">
        <f>S!D180</f>
        <v>164.61538461538461</v>
      </c>
      <c r="D180" s="220">
        <f>P!AK182</f>
        <v>150.58823529411765</v>
      </c>
      <c r="E180" s="219">
        <f t="shared" si="4"/>
        <v>14.027149321266961</v>
      </c>
      <c r="F180" s="226" t="str">
        <f t="shared" si="5"/>
        <v>-</v>
      </c>
    </row>
    <row r="181" spans="1:6">
      <c r="A181" s="180" t="s">
        <v>317</v>
      </c>
      <c r="B181" s="205" t="s">
        <v>9</v>
      </c>
      <c r="C181" s="220">
        <f>S!D181</f>
        <v>147.71428571428572</v>
      </c>
      <c r="D181" s="220">
        <f>P!AK183</f>
        <v>119.03225806451613</v>
      </c>
      <c r="E181" s="219">
        <f t="shared" si="4"/>
        <v>28.682027649769594</v>
      </c>
      <c r="F181" s="226" t="str">
        <f t="shared" si="5"/>
        <v>-</v>
      </c>
    </row>
    <row r="182" spans="1:6">
      <c r="A182" s="180" t="s">
        <v>159</v>
      </c>
      <c r="B182" s="205" t="s">
        <v>31</v>
      </c>
      <c r="C182" s="220">
        <f>S!D182</f>
        <v>6.6969696969696972</v>
      </c>
      <c r="D182" s="220">
        <f>P!AK184</f>
        <v>8.4532019704433505</v>
      </c>
      <c r="E182" s="219">
        <f t="shared" si="4"/>
        <v>1.7562322734736533</v>
      </c>
      <c r="F182" s="226" t="str">
        <f t="shared" si="5"/>
        <v>+</v>
      </c>
    </row>
    <row r="183" spans="1:6">
      <c r="A183" s="180" t="s">
        <v>160</v>
      </c>
      <c r="B183" s="205" t="s">
        <v>9</v>
      </c>
      <c r="C183" s="220">
        <f>S!D183</f>
        <v>56.4</v>
      </c>
      <c r="D183" s="220">
        <f>P!AK185</f>
        <v>54.047619047619051</v>
      </c>
      <c r="E183" s="219">
        <f t="shared" si="4"/>
        <v>2.3523809523809476</v>
      </c>
      <c r="F183" s="226" t="str">
        <f t="shared" si="5"/>
        <v>-</v>
      </c>
    </row>
    <row r="184" spans="1:6">
      <c r="A184" s="180" t="s">
        <v>161</v>
      </c>
      <c r="B184" s="205" t="s">
        <v>9</v>
      </c>
      <c r="C184" s="220">
        <f>S!D184</f>
        <v>90</v>
      </c>
      <c r="D184" s="220">
        <f>P!AK186</f>
        <v>98.86363636363636</v>
      </c>
      <c r="E184" s="219">
        <f t="shared" si="4"/>
        <v>8.8636363636363598</v>
      </c>
      <c r="F184" s="226" t="str">
        <f t="shared" si="5"/>
        <v>+</v>
      </c>
    </row>
    <row r="185" spans="1:6">
      <c r="A185" s="180" t="s">
        <v>162</v>
      </c>
      <c r="B185" s="205" t="s">
        <v>9</v>
      </c>
      <c r="C185" s="220">
        <f>S!D185</f>
        <v>54.375</v>
      </c>
      <c r="D185" s="220">
        <f>P!AK187</f>
        <v>63.333333333333336</v>
      </c>
      <c r="E185" s="219">
        <f t="shared" si="4"/>
        <v>8.9583333333333357</v>
      </c>
      <c r="F185" s="226" t="str">
        <f t="shared" si="5"/>
        <v>+</v>
      </c>
    </row>
    <row r="186" spans="1:6">
      <c r="A186" s="180" t="s">
        <v>268</v>
      </c>
      <c r="B186" s="205" t="s">
        <v>9</v>
      </c>
      <c r="C186" s="220">
        <f>S!D186</f>
        <v>57.5</v>
      </c>
      <c r="D186" s="220">
        <f>P!AK188</f>
        <v>70</v>
      </c>
      <c r="E186" s="219">
        <f t="shared" si="4"/>
        <v>12.5</v>
      </c>
      <c r="F186" s="226" t="str">
        <f t="shared" si="5"/>
        <v>+</v>
      </c>
    </row>
    <row r="187" spans="1:6">
      <c r="A187" s="180" t="s">
        <v>163</v>
      </c>
      <c r="B187" s="205" t="s">
        <v>31</v>
      </c>
      <c r="C187" s="220">
        <f>S!D187</f>
        <v>37.5</v>
      </c>
      <c r="D187" s="220">
        <f>P!AK189</f>
        <v>46.071428571428569</v>
      </c>
      <c r="E187" s="219">
        <f t="shared" si="4"/>
        <v>8.5714285714285694</v>
      </c>
      <c r="F187" s="226" t="str">
        <f t="shared" si="5"/>
        <v>+</v>
      </c>
    </row>
    <row r="188" spans="1:6">
      <c r="A188" s="180" t="s">
        <v>316</v>
      </c>
      <c r="B188" s="205" t="s">
        <v>31</v>
      </c>
      <c r="C188" s="220">
        <f>S!D188</f>
        <v>6.1310344827586203</v>
      </c>
      <c r="D188" s="220">
        <f>P!AK190</f>
        <v>5.6956521739130439</v>
      </c>
      <c r="E188" s="219">
        <f t="shared" si="4"/>
        <v>0.43538230884557638</v>
      </c>
      <c r="F188" s="226" t="str">
        <f t="shared" si="5"/>
        <v>-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25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12</v>
      </c>
      <c r="D190" s="220">
        <f>P!AK192</f>
        <v>12</v>
      </c>
      <c r="E190" s="219">
        <f t="shared" si="4"/>
        <v>0</v>
      </c>
      <c r="F190" s="226" t="str">
        <f t="shared" si="5"/>
        <v>×</v>
      </c>
    </row>
    <row r="191" spans="1:6">
      <c r="A191" s="180" t="s">
        <v>166</v>
      </c>
      <c r="B191" s="205" t="s">
        <v>9</v>
      </c>
      <c r="C191" s="220">
        <f>S!D191</f>
        <v>23.548387096774192</v>
      </c>
      <c r="D191" s="220">
        <f>P!AK193</f>
        <v>30</v>
      </c>
      <c r="E191" s="219">
        <f t="shared" si="4"/>
        <v>6.4516129032258078</v>
      </c>
      <c r="F191" s="226" t="str">
        <f t="shared" si="5"/>
        <v>+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40</v>
      </c>
      <c r="D193" s="220">
        <f>P!AK195</f>
        <v>46.111111111111114</v>
      </c>
      <c r="E193" s="219">
        <f t="shared" si="4"/>
        <v>6.1111111111111143</v>
      </c>
      <c r="F193" s="226" t="str">
        <f t="shared" si="5"/>
        <v>+</v>
      </c>
    </row>
    <row r="194" spans="1:6">
      <c r="A194" s="180" t="s">
        <v>169</v>
      </c>
      <c r="B194" s="205" t="s">
        <v>9</v>
      </c>
      <c r="C194" s="220">
        <f>S!D194</f>
        <v>34.984472049689437</v>
      </c>
      <c r="D194" s="220">
        <f>P!AK196</f>
        <v>34.446808510638299</v>
      </c>
      <c r="E194" s="219">
        <f t="shared" si="4"/>
        <v>0.53766353905113817</v>
      </c>
      <c r="F194" s="226" t="str">
        <f t="shared" si="5"/>
        <v>-</v>
      </c>
    </row>
    <row r="195" spans="1:6">
      <c r="A195" s="180" t="s">
        <v>318</v>
      </c>
      <c r="B195" s="205" t="s">
        <v>9</v>
      </c>
      <c r="C195" s="220">
        <f>S!D195</f>
        <v>20.603448275862068</v>
      </c>
      <c r="D195" s="220">
        <f>P!AK197</f>
        <v>19.393939393939394</v>
      </c>
      <c r="E195" s="219">
        <f t="shared" si="4"/>
        <v>1.2095088819226731</v>
      </c>
      <c r="F195" s="226" t="str">
        <f t="shared" si="5"/>
        <v>-</v>
      </c>
    </row>
    <row r="196" spans="1:6">
      <c r="A196" s="180" t="s">
        <v>319</v>
      </c>
      <c r="B196" s="205" t="s">
        <v>9</v>
      </c>
      <c r="C196" s="220">
        <f>S!D196</f>
        <v>110</v>
      </c>
      <c r="D196" s="220">
        <f>P!AK198</f>
        <v>110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269</v>
      </c>
      <c r="B197" s="205" t="s">
        <v>9</v>
      </c>
      <c r="C197" s="220">
        <f>S!D197</f>
        <v>106.92307692307692</v>
      </c>
      <c r="D197" s="220">
        <f>P!AK199</f>
        <v>114.70588235294117</v>
      </c>
      <c r="E197" s="219">
        <f t="shared" si="6"/>
        <v>7.7828054298642542</v>
      </c>
      <c r="F197" s="226" t="str">
        <f t="shared" si="7"/>
        <v>+</v>
      </c>
    </row>
    <row r="198" spans="1:6">
      <c r="A198" s="180" t="s">
        <v>270</v>
      </c>
      <c r="B198" s="205" t="s">
        <v>9</v>
      </c>
      <c r="C198" s="220">
        <f>S!D198</f>
        <v>114.61538461538461</v>
      </c>
      <c r="D198" s="220">
        <f>P!AK200</f>
        <v>134.44444444444446</v>
      </c>
      <c r="E198" s="219">
        <f t="shared" si="6"/>
        <v>19.829059829059844</v>
      </c>
      <c r="F198" s="226" t="str">
        <f t="shared" si="7"/>
        <v>+</v>
      </c>
    </row>
    <row r="199" spans="1:6">
      <c r="A199" s="180" t="s">
        <v>271</v>
      </c>
      <c r="B199" s="205" t="s">
        <v>9</v>
      </c>
      <c r="C199" s="220">
        <f>S!D199</f>
        <v>120</v>
      </c>
      <c r="D199" s="220">
        <f>P!AK201</f>
        <v>260</v>
      </c>
      <c r="E199" s="219">
        <f t="shared" si="6"/>
        <v>140</v>
      </c>
      <c r="F199" s="226" t="str">
        <f t="shared" si="7"/>
        <v>+</v>
      </c>
    </row>
    <row r="200" spans="1:6">
      <c r="A200" s="180" t="s">
        <v>315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60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44.090909090909093</v>
      </c>
      <c r="D203" s="220">
        <f>P!AK205</f>
        <v>43.488372093023258</v>
      </c>
      <c r="E203" s="219">
        <f t="shared" si="6"/>
        <v>0.60253699788583504</v>
      </c>
      <c r="F203" s="226" t="str">
        <f t="shared" si="7"/>
        <v>-</v>
      </c>
    </row>
    <row r="204" spans="1:6">
      <c r="A204" s="180" t="s">
        <v>172</v>
      </c>
      <c r="B204" s="205" t="s">
        <v>9</v>
      </c>
      <c r="C204" s="220">
        <f>S!D204</f>
        <v>42.5</v>
      </c>
      <c r="D204" s="220">
        <f>P!AK206</f>
        <v>53.035714285714285</v>
      </c>
      <c r="E204" s="219">
        <f t="shared" si="6"/>
        <v>10.535714285714285</v>
      </c>
      <c r="F204" s="226" t="str">
        <f t="shared" si="7"/>
        <v>+</v>
      </c>
    </row>
    <row r="205" spans="1:6">
      <c r="A205" s="180" t="s">
        <v>173</v>
      </c>
      <c r="B205" s="205" t="s">
        <v>9</v>
      </c>
      <c r="C205" s="220">
        <f>S!D205</f>
        <v>50</v>
      </c>
      <c r="D205" s="220">
        <f>P!AK207</f>
        <v>42.857142857142854</v>
      </c>
      <c r="E205" s="219">
        <f t="shared" si="6"/>
        <v>7.1428571428571459</v>
      </c>
      <c r="F205" s="226" t="str">
        <f t="shared" si="7"/>
        <v>-</v>
      </c>
    </row>
    <row r="206" spans="1:6">
      <c r="A206" s="180" t="s">
        <v>174</v>
      </c>
      <c r="B206" s="205" t="s">
        <v>9</v>
      </c>
      <c r="C206" s="220">
        <f>S!D206</f>
        <v>42.346938775510203</v>
      </c>
      <c r="D206" s="220">
        <f>P!AK208</f>
        <v>36.666666666666664</v>
      </c>
      <c r="E206" s="219">
        <f t="shared" si="6"/>
        <v>5.6802721088435391</v>
      </c>
      <c r="F206" s="226" t="str">
        <f t="shared" si="7"/>
        <v>-</v>
      </c>
    </row>
    <row r="207" spans="1:6">
      <c r="A207" s="180" t="s">
        <v>175</v>
      </c>
      <c r="B207" s="205" t="s">
        <v>9</v>
      </c>
      <c r="C207" s="220">
        <f>S!D207</f>
        <v>35</v>
      </c>
      <c r="D207" s="220">
        <f>P!AK209</f>
        <v>58</v>
      </c>
      <c r="E207" s="219">
        <f t="shared" si="6"/>
        <v>23</v>
      </c>
      <c r="F207" s="226" t="str">
        <f t="shared" si="7"/>
        <v>+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36.875</v>
      </c>
      <c r="D209" s="220">
        <f>P!AK211</f>
        <v>40</v>
      </c>
      <c r="E209" s="219">
        <f t="shared" si="6"/>
        <v>3.125</v>
      </c>
      <c r="F209" s="226" t="str">
        <f t="shared" si="7"/>
        <v>+</v>
      </c>
    </row>
    <row r="210" spans="1:6">
      <c r="A210" s="180" t="s">
        <v>321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83.478260869565219</v>
      </c>
      <c r="D214" s="220">
        <f>P!AK216</f>
        <v>102.30769230769231</v>
      </c>
      <c r="E214" s="219">
        <f t="shared" si="6"/>
        <v>18.829431438127088</v>
      </c>
      <c r="F214" s="226" t="str">
        <f t="shared" si="7"/>
        <v>+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495</v>
      </c>
      <c r="D228" s="220">
        <f>P!AK230</f>
        <v>495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687.79220779220782</v>
      </c>
      <c r="D229" s="220">
        <f>P!AK231</f>
        <v>680</v>
      </c>
      <c r="E229" s="219">
        <f t="shared" si="6"/>
        <v>7.7922077922078188</v>
      </c>
      <c r="F229" s="226" t="str">
        <f t="shared" si="7"/>
        <v>-</v>
      </c>
    </row>
    <row r="230" spans="1:6">
      <c r="A230" s="180" t="s">
        <v>292</v>
      </c>
      <c r="B230" s="205" t="s">
        <v>9</v>
      </c>
      <c r="C230" s="220">
        <f>S!D230</f>
        <v>898.61339506662523</v>
      </c>
      <c r="D230" s="220">
        <f>P!AK232</f>
        <v>778.57142857142856</v>
      </c>
      <c r="E230" s="219">
        <f t="shared" si="6"/>
        <v>120.04196649519668</v>
      </c>
      <c r="F230" s="226" t="str">
        <f t="shared" si="7"/>
        <v>-</v>
      </c>
    </row>
    <row r="231" spans="1:6">
      <c r="A231" s="180" t="s">
        <v>56</v>
      </c>
      <c r="B231" s="205" t="s">
        <v>31</v>
      </c>
      <c r="C231" s="220">
        <f>S!D231</f>
        <v>1.4000000203948864</v>
      </c>
      <c r="D231" s="220">
        <f>P!AK233</f>
        <v>1.4</v>
      </c>
      <c r="E231" s="219">
        <f t="shared" si="6"/>
        <v>2.039488644633991E-8</v>
      </c>
      <c r="F231" s="226" t="str">
        <f t="shared" si="7"/>
        <v>-</v>
      </c>
    </row>
    <row r="232" spans="1:6">
      <c r="A232" s="180" t="s">
        <v>194</v>
      </c>
      <c r="B232" s="205" t="s">
        <v>31</v>
      </c>
      <c r="C232" s="220">
        <f>S!D232</f>
        <v>26.981464981683811</v>
      </c>
      <c r="D232" s="220">
        <f>P!AK234</f>
        <v>25.437209302325581</v>
      </c>
      <c r="E232" s="219">
        <f t="shared" si="6"/>
        <v>1.5442556793582298</v>
      </c>
      <c r="F232" s="226" t="str">
        <f t="shared" si="7"/>
        <v>-</v>
      </c>
    </row>
    <row r="233" spans="1:6">
      <c r="A233" s="180" t="s">
        <v>274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280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8.6926829268292689</v>
      </c>
      <c r="D243" s="220">
        <f>P!AK245</f>
        <v>9.4040650406504067</v>
      </c>
      <c r="E243" s="219">
        <f t="shared" si="6"/>
        <v>0.71138211382113781</v>
      </c>
      <c r="F243" s="226" t="str">
        <f t="shared" si="7"/>
        <v>+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349.99999821810076</v>
      </c>
      <c r="D245" s="220">
        <f>P!AK247</f>
        <v>350</v>
      </c>
      <c r="E245" s="219">
        <f t="shared" si="6"/>
        <v>1.7818992432694358E-6</v>
      </c>
      <c r="F245" s="226" t="str">
        <f t="shared" si="7"/>
        <v>+</v>
      </c>
    </row>
    <row r="246" spans="1:6">
      <c r="A246" s="180" t="s">
        <v>191</v>
      </c>
      <c r="B246" s="205" t="s">
        <v>192</v>
      </c>
      <c r="C246" s="220">
        <f>S!D246</f>
        <v>2.358490566037736</v>
      </c>
      <c r="D246" s="220">
        <f>P!AK248</f>
        <v>2.358490566037736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509" priority="1" operator="equal">
      <formula>"মূল্য হ্রাস"</formula>
    </cfRule>
    <cfRule type="cellIs" dxfId="50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C7" sqref="C7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45981.529358564818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45962</v>
      </c>
      <c r="I7" s="223" t="s">
        <v>342</v>
      </c>
      <c r="J7" s="223" t="s">
        <v>347</v>
      </c>
    </row>
    <row r="8" spans="2:10" ht="22.5">
      <c r="B8" s="62" t="s">
        <v>467</v>
      </c>
      <c r="C8" s="427">
        <v>45981</v>
      </c>
      <c r="I8" s="222" t="s">
        <v>350</v>
      </c>
      <c r="J8" s="224" t="s">
        <v>468</v>
      </c>
    </row>
    <row r="9" spans="2:10" ht="21">
      <c r="B9"/>
      <c r="C9"/>
      <c r="D9"/>
      <c r="E9"/>
      <c r="F9"/>
      <c r="I9" s="222" t="s">
        <v>345</v>
      </c>
      <c r="J9" s="224" t="s">
        <v>468</v>
      </c>
    </row>
    <row r="10" spans="2:10" ht="21.75" customHeight="1">
      <c r="B10" s="428" t="s">
        <v>462</v>
      </c>
      <c r="C10" s="430" t="s">
        <v>469</v>
      </c>
      <c r="D10"/>
      <c r="E10"/>
      <c r="F10"/>
      <c r="I10" s="222" t="s">
        <v>343</v>
      </c>
      <c r="J10" s="224"/>
    </row>
    <row r="11" spans="2:10" ht="21.75" customHeight="1">
      <c r="B11" s="429" t="s">
        <v>463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464</v>
      </c>
      <c r="C12" s="431">
        <f>P!AM2</f>
        <v>403349</v>
      </c>
      <c r="D12"/>
      <c r="E12"/>
      <c r="F12"/>
      <c r="I12" s="222" t="s">
        <v>348</v>
      </c>
      <c r="J12" s="224"/>
    </row>
    <row r="13" spans="2:10" ht="23.25" customHeight="1">
      <c r="B13" s="433" t="s">
        <v>465</v>
      </c>
      <c r="C13" s="434">
        <f>IF((C11-C12)&gt;0, C11-C12, " ")</f>
        <v>496651</v>
      </c>
      <c r="D13"/>
      <c r="E13"/>
      <c r="F13"/>
      <c r="I13" s="222" t="s">
        <v>346</v>
      </c>
      <c r="J13" s="224"/>
    </row>
    <row r="14" spans="2:10" ht="22.5">
      <c r="B14" s="433" t="s">
        <v>466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50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tabSelected="1" zoomScale="85" zoomScaleNormal="85" workbookViewId="0">
      <pane xSplit="15" ySplit="2" topLeftCell="P3" activePane="bottomRight" state="frozen"/>
      <selection pane="topRight" activeCell="P1" sqref="P1"/>
      <selection pane="bottomLeft" activeCell="A3" sqref="A3"/>
      <selection pane="bottomRight" activeCell="F187" sqref="F187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8" t="s">
        <v>470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190">
        <f>COUNTIF(E4:L253, "&lt;0")</f>
        <v>0</v>
      </c>
      <c r="N1" s="187">
        <f>F254+L254</f>
        <v>501841.60010732635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455</v>
      </c>
      <c r="H2" s="194" t="s">
        <v>456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501841.60010732635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175.1</v>
      </c>
      <c r="F6" s="42">
        <f t="shared" si="0"/>
        <v>15029.69707606448</v>
      </c>
      <c r="G6" s="42">
        <f>P!AJ7</f>
        <v>175</v>
      </c>
      <c r="H6" s="42">
        <f>G6*P!AK7</f>
        <v>14875</v>
      </c>
      <c r="I6" s="42">
        <f>S!E5</f>
        <v>13.110000000000042</v>
      </c>
      <c r="J6" s="42">
        <f>I6*S!D5</f>
        <v>1271.4095772615099</v>
      </c>
      <c r="K6" s="42">
        <f t="shared" si="1"/>
        <v>13.010000000000048</v>
      </c>
      <c r="L6" s="42">
        <f t="shared" si="2"/>
        <v>1116.7125011970281</v>
      </c>
      <c r="M6" s="43">
        <f>IF(ISERR((J6+H6)/(G6+I6)),P!AK7,(J6+H6)/(G6+I6))</f>
        <v>85.834934757649805</v>
      </c>
      <c r="N6" s="44">
        <f t="shared" si="3"/>
        <v>16146.409577261509</v>
      </c>
      <c r="O6" s="44">
        <f t="shared" si="4"/>
        <v>16146.409577261507</v>
      </c>
      <c r="P6" s="45" t="b">
        <f t="shared" si="5"/>
        <v>1</v>
      </c>
      <c r="Q6" s="183" t="str">
        <f t="shared" si="6"/>
        <v>OK</v>
      </c>
      <c r="S6" s="410">
        <f t="shared" si="7"/>
        <v>85.834934757649805</v>
      </c>
      <c r="T6" s="410">
        <f t="shared" si="8"/>
        <v>13.010000000000048</v>
      </c>
      <c r="AJ6" s="58">
        <f t="shared" si="9"/>
        <v>85.834934757649805</v>
      </c>
      <c r="AK6" s="58">
        <f t="shared" si="10"/>
        <v>13.010000000000048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31.8</v>
      </c>
      <c r="F7" s="42">
        <f t="shared" si="0"/>
        <v>3879.4591774938499</v>
      </c>
      <c r="G7" s="42">
        <f>P!AJ8</f>
        <v>50</v>
      </c>
      <c r="H7" s="42">
        <f>G7*P!AK8</f>
        <v>6100</v>
      </c>
      <c r="I7" s="42">
        <f>S!E6</f>
        <v>33.750000000000043</v>
      </c>
      <c r="J7" s="42">
        <f>I7*S!D6</f>
        <v>4117.1291231166688</v>
      </c>
      <c r="K7" s="42">
        <f t="shared" si="1"/>
        <v>51.950000000000045</v>
      </c>
      <c r="L7" s="42">
        <f t="shared" si="2"/>
        <v>6337.6699456228198</v>
      </c>
      <c r="M7" s="43">
        <f>IF(ISERR((J7+H7)/(G7+I7)),P!AK8,(J7+H7)/(G7+I7))</f>
        <v>121.99557161930345</v>
      </c>
      <c r="N7" s="44">
        <f t="shared" si="3"/>
        <v>10217.129123116669</v>
      </c>
      <c r="O7" s="44">
        <f t="shared" si="4"/>
        <v>10217.129123116669</v>
      </c>
      <c r="P7" s="45" t="b">
        <f t="shared" si="5"/>
        <v>1</v>
      </c>
      <c r="Q7" s="183" t="str">
        <f t="shared" si="6"/>
        <v>OK</v>
      </c>
      <c r="S7" s="410">
        <f t="shared" si="7"/>
        <v>121.99557161930345</v>
      </c>
      <c r="T7" s="410">
        <f t="shared" si="8"/>
        <v>51.950000000000045</v>
      </c>
      <c r="AJ7" s="58">
        <f t="shared" si="9"/>
        <v>121.99557161930345</v>
      </c>
      <c r="AK7" s="58">
        <f t="shared" si="10"/>
        <v>51.950000000000045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36.700000000000003</v>
      </c>
      <c r="F9" s="42">
        <f t="shared" si="0"/>
        <v>5645.618945508927</v>
      </c>
      <c r="G9" s="42">
        <f>P!AJ10</f>
        <v>25</v>
      </c>
      <c r="H9" s="42">
        <f>G9*P!AK10</f>
        <v>3875</v>
      </c>
      <c r="I9" s="42">
        <f>S!E8</f>
        <v>18.740000000000009</v>
      </c>
      <c r="J9" s="42">
        <f>I9*S!D8</f>
        <v>2853.5932609417036</v>
      </c>
      <c r="K9" s="42">
        <f t="shared" si="1"/>
        <v>7.0400000000000063</v>
      </c>
      <c r="L9" s="42">
        <f>K9*M9</f>
        <v>1082.9743154327759</v>
      </c>
      <c r="M9" s="43">
        <f>IF(ISERR((J9+H9)/(G9+I9)),P!AK10,(J9+H9)/(G9+I9))</f>
        <v>153.83157889670099</v>
      </c>
      <c r="N9" s="44">
        <f t="shared" si="3"/>
        <v>6728.5932609417032</v>
      </c>
      <c r="O9" s="44">
        <f t="shared" si="4"/>
        <v>6728.5932609417032</v>
      </c>
      <c r="P9" s="45" t="b">
        <f t="shared" si="5"/>
        <v>1</v>
      </c>
      <c r="Q9" s="183" t="str">
        <f t="shared" si="6"/>
        <v>OK</v>
      </c>
      <c r="S9" s="410">
        <f t="shared" si="7"/>
        <v>153.83157889670099</v>
      </c>
      <c r="T9" s="410">
        <f t="shared" si="8"/>
        <v>7.0400000000000063</v>
      </c>
      <c r="AJ9" s="58">
        <f t="shared" si="9"/>
        <v>153.83157889670099</v>
      </c>
      <c r="AK9" s="58">
        <f t="shared" si="10"/>
        <v>7.0400000000000063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12.7</v>
      </c>
      <c r="F10" s="42">
        <f t="shared" si="0"/>
        <v>2037.4643879967939</v>
      </c>
      <c r="G10" s="42">
        <f>P!AJ11</f>
        <v>0</v>
      </c>
      <c r="H10" s="42">
        <f>G10*P!AK11</f>
        <v>0</v>
      </c>
      <c r="I10" s="42">
        <f>S!E9</f>
        <v>51.72</v>
      </c>
      <c r="J10" s="42">
        <f>I10*S!D9</f>
        <v>8297.4533974168644</v>
      </c>
      <c r="K10" s="42">
        <f t="shared" si="1"/>
        <v>39.019999999999996</v>
      </c>
      <c r="L10" s="42">
        <f t="shared" si="2"/>
        <v>6259.9890094200709</v>
      </c>
      <c r="M10" s="43">
        <f>IF(ISERR((J10+H10)/(G10+I10)),P!AK11,(J10+H10)/(G10+I10))</f>
        <v>160.43026677140111</v>
      </c>
      <c r="N10" s="44">
        <f t="shared" si="3"/>
        <v>8297.4533974168644</v>
      </c>
      <c r="O10" s="44">
        <f t="shared" si="4"/>
        <v>8297.4533974168644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160.43026677140111</v>
      </c>
      <c r="T10" s="410">
        <f t="shared" si="8"/>
        <v>39.019999999999996</v>
      </c>
      <c r="AJ10" s="58">
        <f t="shared" si="9"/>
        <v>160.43026677140111</v>
      </c>
      <c r="AK10" s="58">
        <f t="shared" si="10"/>
        <v>39.019999999999996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20.3</v>
      </c>
      <c r="F11" s="42">
        <f t="shared" si="0"/>
        <v>2639.3424539491934</v>
      </c>
      <c r="G11" s="42">
        <f>P!AJ12</f>
        <v>25</v>
      </c>
      <c r="H11" s="42">
        <f>G11*P!AK12</f>
        <v>3250</v>
      </c>
      <c r="I11" s="42">
        <f>S!E10</f>
        <v>10.250000000000004</v>
      </c>
      <c r="J11" s="42">
        <f>I11*S!D10</f>
        <v>1333.0946552566033</v>
      </c>
      <c r="K11" s="42">
        <f t="shared" si="1"/>
        <v>14.95</v>
      </c>
      <c r="L11" s="42">
        <f t="shared" si="2"/>
        <v>1943.7522013074106</v>
      </c>
      <c r="M11" s="43">
        <f>IF(ISERR((J11+H11)/(G11+I11)),P!AK12,(J11+H11)/(G11+I11))</f>
        <v>130.01686965266961</v>
      </c>
      <c r="N11" s="44">
        <f t="shared" si="3"/>
        <v>4583.0946552566038</v>
      </c>
      <c r="O11" s="44">
        <f t="shared" si="4"/>
        <v>4583.0946552566038</v>
      </c>
      <c r="P11" s="45" t="b">
        <f t="shared" si="5"/>
        <v>1</v>
      </c>
      <c r="Q11" s="183" t="str">
        <f t="shared" si="6"/>
        <v>OK</v>
      </c>
      <c r="S11" s="410">
        <f t="shared" si="7"/>
        <v>130.01686965266961</v>
      </c>
      <c r="T11" s="410">
        <f t="shared" si="8"/>
        <v>14.95</v>
      </c>
      <c r="AJ11" s="58">
        <f t="shared" si="9"/>
        <v>130.01686965266961</v>
      </c>
      <c r="AK11" s="58">
        <f t="shared" si="10"/>
        <v>14.95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customHeight="1">
      <c r="A13" s="37">
        <f>SUBTOTAL(103,B$4:B13)</f>
        <v>6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2</v>
      </c>
      <c r="H13" s="42">
        <f>G13*P!AK14</f>
        <v>120</v>
      </c>
      <c r="I13" s="42">
        <f>S!E12</f>
        <v>0</v>
      </c>
      <c r="J13" s="42">
        <f>I13*S!D12</f>
        <v>0</v>
      </c>
      <c r="K13" s="42">
        <f t="shared" si="1"/>
        <v>2</v>
      </c>
      <c r="L13" s="42">
        <f t="shared" si="2"/>
        <v>120</v>
      </c>
      <c r="M13" s="43">
        <f>IF(ISERR((J13+H13)/(G13+I13)),P!AK14,(J13+H13)/(G13+I13))</f>
        <v>60</v>
      </c>
      <c r="N13" s="44">
        <f t="shared" si="3"/>
        <v>120</v>
      </c>
      <c r="O13" s="44">
        <f t="shared" si="4"/>
        <v>120</v>
      </c>
      <c r="P13" s="45" t="b">
        <f t="shared" si="5"/>
        <v>1</v>
      </c>
      <c r="Q13" s="183" t="str">
        <f t="shared" si="6"/>
        <v>OK</v>
      </c>
      <c r="S13" s="410">
        <f t="shared" si="7"/>
        <v>60</v>
      </c>
      <c r="T13" s="410">
        <f t="shared" si="8"/>
        <v>2</v>
      </c>
      <c r="AJ13" s="58">
        <f t="shared" si="9"/>
        <v>60</v>
      </c>
      <c r="AK13" s="58">
        <f t="shared" si="10"/>
        <v>2</v>
      </c>
    </row>
    <row r="14" spans="1:37" ht="20.25" customHeight="1">
      <c r="A14" s="37">
        <f>SUBTOTAL(103,B$4:B14)</f>
        <v>7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102</v>
      </c>
      <c r="F14" s="42">
        <f t="shared" si="0"/>
        <v>18558.004248134632</v>
      </c>
      <c r="G14" s="42">
        <f>P!AJ15</f>
        <v>105</v>
      </c>
      <c r="H14" s="42">
        <f>G14*P!AK15</f>
        <v>19110</v>
      </c>
      <c r="I14" s="42">
        <f>S!E13</f>
        <v>2.5</v>
      </c>
      <c r="J14" s="42">
        <f>I14*S!D13</f>
        <v>448.68094778895005</v>
      </c>
      <c r="K14" s="42">
        <f t="shared" si="1"/>
        <v>5.5</v>
      </c>
      <c r="L14" s="42">
        <f t="shared" si="2"/>
        <v>1000.6766996543184</v>
      </c>
      <c r="M14" s="43">
        <f>IF(ISERR((J14+H14)/(G14+I14)),P!AK15,(J14+H14)/(G14+I14))</f>
        <v>181.94121811896699</v>
      </c>
      <c r="N14" s="44">
        <f t="shared" si="3"/>
        <v>19558.680947788951</v>
      </c>
      <c r="O14" s="44">
        <f t="shared" si="4"/>
        <v>19558.680947788951</v>
      </c>
      <c r="P14" s="45" t="b">
        <f t="shared" si="5"/>
        <v>1</v>
      </c>
      <c r="Q14" s="183" t="str">
        <f t="shared" si="6"/>
        <v>OK</v>
      </c>
      <c r="S14" s="410">
        <f t="shared" si="7"/>
        <v>181.94121811896699</v>
      </c>
      <c r="T14" s="410">
        <f t="shared" si="8"/>
        <v>5.5</v>
      </c>
      <c r="AJ14" s="58">
        <f t="shared" si="9"/>
        <v>181.94121811896699</v>
      </c>
      <c r="AK14" s="58">
        <f t="shared" si="10"/>
        <v>5.5</v>
      </c>
    </row>
    <row r="15" spans="1:37" ht="20.25" customHeight="1">
      <c r="A15" s="37">
        <f>SUBTOTAL(103,B$4:B15)</f>
        <v>8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4.5500000000000007</v>
      </c>
      <c r="F15" s="42">
        <f t="shared" si="0"/>
        <v>1456.1781950992799</v>
      </c>
      <c r="G15" s="42">
        <f>P!AJ16</f>
        <v>5</v>
      </c>
      <c r="H15" s="42">
        <f>G15*P!AK16</f>
        <v>1600</v>
      </c>
      <c r="I15" s="42">
        <f>S!E14</f>
        <v>6.9999999999999396E-2</v>
      </c>
      <c r="J15" s="42">
        <f>I15*S!D14</f>
        <v>22.598560253482887</v>
      </c>
      <c r="K15" s="42">
        <f t="shared" si="1"/>
        <v>0.51999999999999869</v>
      </c>
      <c r="L15" s="42">
        <f t="shared" si="2"/>
        <v>166.42036515420298</v>
      </c>
      <c r="M15" s="43">
        <f>IF(ISERR((J15+H15)/(G15+I15)),P!AK16,(J15+H15)/(G15+I15))</f>
        <v>320.03916375808348</v>
      </c>
      <c r="N15" s="44">
        <f t="shared" si="3"/>
        <v>1622.5985602534829</v>
      </c>
      <c r="O15" s="44">
        <f t="shared" si="4"/>
        <v>1622.5985602534829</v>
      </c>
      <c r="P15" s="45" t="b">
        <f t="shared" si="5"/>
        <v>1</v>
      </c>
      <c r="Q15" s="183" t="str">
        <f t="shared" si="6"/>
        <v>OK</v>
      </c>
      <c r="S15" s="410">
        <f t="shared" si="7"/>
        <v>320.03916375808348</v>
      </c>
      <c r="T15" s="410">
        <f t="shared" si="8"/>
        <v>0.51999999999999869</v>
      </c>
      <c r="AJ15" s="58">
        <f t="shared" si="9"/>
        <v>320.03916375808348</v>
      </c>
      <c r="AK15" s="58">
        <f t="shared" si="10"/>
        <v>0.51999999999999869</v>
      </c>
    </row>
    <row r="16" spans="1:37" ht="20.25" customHeight="1">
      <c r="A16" s="37">
        <f>SUBTOTAL(103,B$4:B16)</f>
        <v>9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13.3</v>
      </c>
      <c r="F16" s="42">
        <f t="shared" si="0"/>
        <v>531.99999909792848</v>
      </c>
      <c r="G16" s="42">
        <f>P!AJ17</f>
        <v>25</v>
      </c>
      <c r="H16" s="42">
        <f>G16*P!AK17</f>
        <v>1000</v>
      </c>
      <c r="I16" s="42">
        <f>S!E15</f>
        <v>16.299999999999997</v>
      </c>
      <c r="J16" s="42">
        <f>I16*S!D15</f>
        <v>651.99999719883056</v>
      </c>
      <c r="K16" s="42">
        <f t="shared" si="1"/>
        <v>27.999999999999996</v>
      </c>
      <c r="L16" s="42">
        <f t="shared" si="2"/>
        <v>1119.9999981009018</v>
      </c>
      <c r="M16" s="43">
        <f>IF(ISERR((J16+H16)/(G16+I16)),P!AK17,(J16+H16)/(G16+I16))</f>
        <v>39.999999932175072</v>
      </c>
      <c r="N16" s="44">
        <f t="shared" si="3"/>
        <v>1651.9999971988304</v>
      </c>
      <c r="O16" s="44">
        <f t="shared" si="4"/>
        <v>1651.9999971988304</v>
      </c>
      <c r="P16" s="45" t="b">
        <f t="shared" si="5"/>
        <v>1</v>
      </c>
      <c r="Q16" s="183" t="str">
        <f t="shared" si="6"/>
        <v>OK</v>
      </c>
      <c r="S16" s="410">
        <f t="shared" si="7"/>
        <v>39.999999932175072</v>
      </c>
      <c r="T16" s="410">
        <f t="shared" si="8"/>
        <v>27.999999999999996</v>
      </c>
      <c r="AJ16" s="58">
        <f t="shared" si="9"/>
        <v>39.999999932175072</v>
      </c>
      <c r="AK16" s="58">
        <f t="shared" si="10"/>
        <v>27.999999999999996</v>
      </c>
    </row>
    <row r="17" spans="1:37" ht="20.25" hidden="1" customHeight="1">
      <c r="A17" s="40">
        <f>SUBTOTAL(103,B$4:B17)</f>
        <v>9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customHeight="1">
      <c r="A18" s="37">
        <f>SUBTOTAL(103,B$4:B18)</f>
        <v>10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0.30000000000000004</v>
      </c>
      <c r="F18" s="42">
        <f t="shared" si="0"/>
        <v>99.999999999999986</v>
      </c>
      <c r="G18" s="42">
        <f>P!AJ19</f>
        <v>0.30000000000000004</v>
      </c>
      <c r="H18" s="42">
        <f>G18*P!AK19</f>
        <v>99.999999999999986</v>
      </c>
      <c r="I18" s="42">
        <f>S!E17</f>
        <v>0</v>
      </c>
      <c r="J18" s="42">
        <f>I18*S!D17</f>
        <v>0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333.33333333333326</v>
      </c>
      <c r="N18" s="44">
        <f t="shared" si="3"/>
        <v>99.999999999999986</v>
      </c>
      <c r="O18" s="44">
        <f t="shared" si="4"/>
        <v>99.999999999999986</v>
      </c>
      <c r="P18" s="45" t="b">
        <f t="shared" si="5"/>
        <v>1</v>
      </c>
      <c r="Q18" s="183" t="str">
        <f t="shared" si="6"/>
        <v>OK</v>
      </c>
      <c r="S18" s="410">
        <f t="shared" si="7"/>
        <v>333.33333333333326</v>
      </c>
      <c r="T18" s="410">
        <f t="shared" si="8"/>
        <v>0</v>
      </c>
      <c r="AJ18" s="58">
        <f t="shared" si="9"/>
        <v>333.33333333333326</v>
      </c>
      <c r="AK18" s="58">
        <f t="shared" si="10"/>
        <v>0</v>
      </c>
    </row>
    <row r="19" spans="1:37" ht="20.25" customHeight="1">
      <c r="A19" s="37">
        <f>SUBTOTAL(103,B$4:B19)</f>
        <v>11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12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94</v>
      </c>
      <c r="F20" s="42">
        <f t="shared" si="0"/>
        <v>5640</v>
      </c>
      <c r="G20" s="42">
        <f>P!AJ21</f>
        <v>189</v>
      </c>
      <c r="H20" s="42">
        <f>G20*P!AK21</f>
        <v>11340</v>
      </c>
      <c r="I20" s="42">
        <f>S!E19</f>
        <v>0</v>
      </c>
      <c r="J20" s="42">
        <f>I20*S!D19</f>
        <v>0</v>
      </c>
      <c r="K20" s="42">
        <f t="shared" si="1"/>
        <v>95</v>
      </c>
      <c r="L20" s="42">
        <f t="shared" si="2"/>
        <v>5700</v>
      </c>
      <c r="M20" s="43">
        <f>IF(ISERR((J20+H20)/(G20+I20)),P!AK21,(J20+H20)/(G20+I20))</f>
        <v>60</v>
      </c>
      <c r="N20" s="44">
        <f t="shared" si="3"/>
        <v>11340</v>
      </c>
      <c r="O20" s="44">
        <f t="shared" si="4"/>
        <v>11340</v>
      </c>
      <c r="P20" s="45" t="b">
        <f t="shared" si="5"/>
        <v>1</v>
      </c>
      <c r="Q20" s="183" t="str">
        <f t="shared" si="6"/>
        <v>OK</v>
      </c>
      <c r="S20" s="410">
        <f t="shared" si="7"/>
        <v>60</v>
      </c>
      <c r="T20" s="410">
        <f t="shared" si="8"/>
        <v>95</v>
      </c>
      <c r="AJ20" s="58">
        <f t="shared" si="9"/>
        <v>60</v>
      </c>
      <c r="AK20" s="58">
        <f t="shared" si="10"/>
        <v>95</v>
      </c>
    </row>
    <row r="21" spans="1:37" ht="20.25" customHeight="1">
      <c r="A21" s="37">
        <f>SUBTOTAL(103,B$4:B21)</f>
        <v>13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5.8500000000000005</v>
      </c>
      <c r="F21" s="42">
        <f t="shared" si="0"/>
        <v>5424.0333616886792</v>
      </c>
      <c r="G21" s="42">
        <f>P!AJ22</f>
        <v>7.2</v>
      </c>
      <c r="H21" s="42">
        <f>G21*P!AK22</f>
        <v>6720</v>
      </c>
      <c r="I21" s="42">
        <f>S!E20</f>
        <v>6.3800000000000017</v>
      </c>
      <c r="J21" s="42">
        <f>I21*S!D20</f>
        <v>5871.1748806379937</v>
      </c>
      <c r="K21" s="42">
        <f t="shared" si="1"/>
        <v>7.7300000000000013</v>
      </c>
      <c r="L21" s="42">
        <f t="shared" si="2"/>
        <v>7167.1415189493155</v>
      </c>
      <c r="M21" s="43">
        <f>IF(ISERR((J21+H21)/(G21+I21)),P!AK22,(J21+H21)/(G21+I21))</f>
        <v>927.18519003225276</v>
      </c>
      <c r="N21" s="44">
        <f t="shared" si="3"/>
        <v>12591.174880637995</v>
      </c>
      <c r="O21" s="44">
        <f t="shared" si="4"/>
        <v>12591.174880637995</v>
      </c>
      <c r="P21" s="45" t="b">
        <f t="shared" si="5"/>
        <v>1</v>
      </c>
      <c r="Q21" s="183" t="str">
        <f t="shared" si="6"/>
        <v>OK</v>
      </c>
      <c r="S21" s="410">
        <f t="shared" si="7"/>
        <v>927.18519003225276</v>
      </c>
      <c r="T21" s="410">
        <f t="shared" si="8"/>
        <v>7.7300000000000013</v>
      </c>
      <c r="AJ21" s="58">
        <f t="shared" si="9"/>
        <v>927.18519003225276</v>
      </c>
      <c r="AK21" s="58">
        <f t="shared" si="10"/>
        <v>7.7300000000000013</v>
      </c>
    </row>
    <row r="22" spans="1:37" ht="20.25" customHeight="1">
      <c r="A22" s="37">
        <f>SUBTOTAL(103,B$4:B22)</f>
        <v>14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1.5</v>
      </c>
      <c r="F22" s="42">
        <f t="shared" si="0"/>
        <v>325</v>
      </c>
      <c r="G22" s="42">
        <f>P!AJ23</f>
        <v>0</v>
      </c>
      <c r="H22" s="42">
        <f>G22*P!AK23</f>
        <v>0</v>
      </c>
      <c r="I22" s="42">
        <f>S!E21</f>
        <v>2</v>
      </c>
      <c r="J22" s="42">
        <f>I22*S!D21</f>
        <v>433.33333333333331</v>
      </c>
      <c r="K22" s="42">
        <f t="shared" si="1"/>
        <v>0.5</v>
      </c>
      <c r="L22" s="42">
        <f t="shared" si="2"/>
        <v>108.33333333333333</v>
      </c>
      <c r="M22" s="43">
        <f>IF(ISERR((J22+H22)/(G22+I22)),P!AK23,(J22+H22)/(G22+I22))</f>
        <v>216.66666666666666</v>
      </c>
      <c r="N22" s="44">
        <f t="shared" si="3"/>
        <v>433.33333333333331</v>
      </c>
      <c r="O22" s="44">
        <f t="shared" si="4"/>
        <v>433.33333333333331</v>
      </c>
      <c r="P22" s="45" t="b">
        <f t="shared" si="5"/>
        <v>1</v>
      </c>
      <c r="Q22" s="183" t="str">
        <f t="shared" si="6"/>
        <v>OK</v>
      </c>
      <c r="S22" s="410">
        <f t="shared" si="7"/>
        <v>216.66666666666666</v>
      </c>
      <c r="T22" s="410">
        <f t="shared" si="8"/>
        <v>0.5</v>
      </c>
      <c r="AJ22" s="58">
        <f t="shared" si="9"/>
        <v>216.66666666666666</v>
      </c>
      <c r="AK22" s="58">
        <f t="shared" si="10"/>
        <v>0.5</v>
      </c>
    </row>
    <row r="23" spans="1:37" ht="20.25" customHeight="1">
      <c r="A23" s="37">
        <f>SUBTOTAL(103,B$4:B23)</f>
        <v>15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1433</v>
      </c>
      <c r="F23" s="42">
        <f t="shared" si="0"/>
        <v>3988.533916633125</v>
      </c>
      <c r="G23" s="42">
        <f>P!AJ24</f>
        <v>720</v>
      </c>
      <c r="H23" s="42">
        <f>G23*P!AK24</f>
        <v>2015.9999999999998</v>
      </c>
      <c r="I23" s="42">
        <f>S!E22</f>
        <v>713</v>
      </c>
      <c r="J23" s="42">
        <f>I23*S!D22</f>
        <v>1972.533916633125</v>
      </c>
      <c r="K23" s="42">
        <f t="shared" si="1"/>
        <v>0</v>
      </c>
      <c r="L23" s="42">
        <f t="shared" si="2"/>
        <v>0</v>
      </c>
      <c r="M23" s="43">
        <f>IF(ISERR((J23+H23)/(G23+I23)),P!AK24,(J23+H23)/(G23+I23))</f>
        <v>2.7833453709931089</v>
      </c>
      <c r="N23" s="44">
        <f t="shared" si="3"/>
        <v>3988.533916633125</v>
      </c>
      <c r="O23" s="44">
        <f t="shared" si="4"/>
        <v>3988.533916633125</v>
      </c>
      <c r="P23" s="45" t="b">
        <f t="shared" si="5"/>
        <v>1</v>
      </c>
      <c r="Q23" s="183" t="str">
        <f t="shared" si="6"/>
        <v>OK</v>
      </c>
      <c r="S23" s="410">
        <f t="shared" si="7"/>
        <v>2.7833453709931089</v>
      </c>
      <c r="T23" s="410">
        <f t="shared" si="8"/>
        <v>0</v>
      </c>
      <c r="AJ23" s="58">
        <f t="shared" si="9"/>
        <v>2.7833453709931089</v>
      </c>
      <c r="AK23" s="58">
        <f t="shared" si="10"/>
        <v>0</v>
      </c>
    </row>
    <row r="24" spans="1:37" ht="20.25" customHeight="1">
      <c r="A24" s="37">
        <f>SUBTOTAL(103,B$4:B24)</f>
        <v>16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1</v>
      </c>
      <c r="H24" s="42">
        <f>G24*P!AK25</f>
        <v>300</v>
      </c>
      <c r="I24" s="42">
        <f>S!E23</f>
        <v>0</v>
      </c>
      <c r="J24" s="42">
        <f>I24*S!D23</f>
        <v>0</v>
      </c>
      <c r="K24" s="42">
        <f t="shared" si="1"/>
        <v>1</v>
      </c>
      <c r="L24" s="42">
        <f t="shared" si="2"/>
        <v>300</v>
      </c>
      <c r="M24" s="43">
        <f>IF(ISERR((J24+H24)/(G24+I24)),P!AK25,(J24+H24)/(G24+I24))</f>
        <v>300</v>
      </c>
      <c r="N24" s="44">
        <f t="shared" si="3"/>
        <v>300</v>
      </c>
      <c r="O24" s="44">
        <f t="shared" si="4"/>
        <v>300</v>
      </c>
      <c r="P24" s="45" t="b">
        <f t="shared" si="5"/>
        <v>1</v>
      </c>
      <c r="Q24" s="183" t="str">
        <f t="shared" si="6"/>
        <v>OK</v>
      </c>
      <c r="S24" s="410">
        <f t="shared" si="7"/>
        <v>300</v>
      </c>
      <c r="T24" s="410">
        <f t="shared" si="8"/>
        <v>1</v>
      </c>
      <c r="AJ24" s="58">
        <f t="shared" si="9"/>
        <v>300</v>
      </c>
      <c r="AK24" s="58">
        <f t="shared" si="10"/>
        <v>1</v>
      </c>
    </row>
    <row r="25" spans="1:37" ht="20.25" customHeight="1">
      <c r="A25" s="40">
        <f>SUBTOTAL(103,B$4:B25)</f>
        <v>17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1</v>
      </c>
      <c r="H25" s="42">
        <f>G25*P!AK26</f>
        <v>440</v>
      </c>
      <c r="I25" s="42">
        <f>S!E24</f>
        <v>0</v>
      </c>
      <c r="J25" s="42">
        <f>I25*S!D24</f>
        <v>0</v>
      </c>
      <c r="K25" s="42">
        <f t="shared" si="1"/>
        <v>1</v>
      </c>
      <c r="L25" s="42">
        <f t="shared" si="2"/>
        <v>440</v>
      </c>
      <c r="M25" s="43">
        <f>IF(ISERR((J25+H25)/(G25+I25)),P!AK26,(J25+H25)/(G25+I25))</f>
        <v>440</v>
      </c>
      <c r="N25" s="44">
        <f t="shared" si="3"/>
        <v>440</v>
      </c>
      <c r="O25" s="44">
        <f t="shared" si="4"/>
        <v>440</v>
      </c>
      <c r="P25" s="45" t="b">
        <f t="shared" si="5"/>
        <v>1</v>
      </c>
      <c r="Q25" s="183" t="str">
        <f t="shared" si="6"/>
        <v>OK</v>
      </c>
      <c r="S25" s="410">
        <f t="shared" si="7"/>
        <v>440</v>
      </c>
      <c r="T25" s="410">
        <f t="shared" si="8"/>
        <v>1</v>
      </c>
      <c r="AJ25" s="58">
        <f t="shared" si="9"/>
        <v>440</v>
      </c>
      <c r="AK25" s="58">
        <f t="shared" si="10"/>
        <v>1</v>
      </c>
    </row>
    <row r="26" spans="1:37" ht="20.25" hidden="1" customHeight="1">
      <c r="A26" s="40">
        <f>SUBTOTAL(103,B$4:B26)</f>
        <v>17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hidden="1" customHeight="1">
      <c r="A27" s="40">
        <f>SUBTOTAL(103,B$4:B27)</f>
        <v>17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18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0.39999999999999991</v>
      </c>
      <c r="J28" s="42">
        <f>I28*S!D27</f>
        <v>90.392857142857125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90.392857142857125</v>
      </c>
      <c r="O28" s="44">
        <f t="shared" si="4"/>
        <v>90.392857142857125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hidden="1" customHeight="1">
      <c r="A29" s="37">
        <f>SUBTOTAL(103,B$4:B29)</f>
        <v>18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100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100</v>
      </c>
      <c r="T29" s="410">
        <f t="shared" si="8"/>
        <v>0</v>
      </c>
      <c r="AJ29" s="58">
        <f t="shared" si="9"/>
        <v>100</v>
      </c>
      <c r="AK29" s="58">
        <f t="shared" si="10"/>
        <v>0</v>
      </c>
    </row>
    <row r="30" spans="1:37" ht="20.25" customHeight="1">
      <c r="A30" s="37">
        <f>SUBTOTAL(103,B$4:B30)</f>
        <v>19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1E-3</v>
      </c>
      <c r="F30" s="42">
        <f t="shared" si="0"/>
        <v>300</v>
      </c>
      <c r="G30" s="42">
        <f>P!AJ31</f>
        <v>1E-3</v>
      </c>
      <c r="H30" s="42">
        <f>G30*P!AK31</f>
        <v>300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300000</v>
      </c>
      <c r="N30" s="44">
        <f t="shared" si="3"/>
        <v>300</v>
      </c>
      <c r="O30" s="44">
        <f t="shared" si="4"/>
        <v>300</v>
      </c>
      <c r="P30" s="45" t="b">
        <f t="shared" si="5"/>
        <v>1</v>
      </c>
      <c r="Q30" s="183" t="str">
        <f t="shared" si="6"/>
        <v>OK</v>
      </c>
      <c r="S30" s="410">
        <f t="shared" si="7"/>
        <v>300000</v>
      </c>
      <c r="T30" s="410">
        <f t="shared" si="8"/>
        <v>0</v>
      </c>
      <c r="AJ30" s="58">
        <f t="shared" si="9"/>
        <v>300000</v>
      </c>
      <c r="AK30" s="58">
        <f t="shared" si="10"/>
        <v>0</v>
      </c>
    </row>
    <row r="31" spans="1:37" ht="20.25" hidden="1" customHeight="1">
      <c r="A31" s="37">
        <f>SUBTOTAL(103,B$4:B31)</f>
        <v>19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hidden="1" customHeight="1">
      <c r="A32" s="37">
        <f>SUBTOTAL(103,B$4:B32)</f>
        <v>19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hidden="1" customHeight="1">
      <c r="A33" s="40">
        <f>SUBTOTAL(103,B$4:B33)</f>
        <v>19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hidden="1" customHeight="1">
      <c r="A34" s="40">
        <f>SUBTOTAL(103,B$4:B34)</f>
        <v>19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20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14</v>
      </c>
      <c r="F35" s="42">
        <f t="shared" si="0"/>
        <v>1892.338432791677</v>
      </c>
      <c r="G35" s="42">
        <f>P!AJ36</f>
        <v>32</v>
      </c>
      <c r="H35" s="42">
        <f>G35*P!AK36</f>
        <v>4320</v>
      </c>
      <c r="I35" s="42">
        <f>S!E34</f>
        <v>15</v>
      </c>
      <c r="J35" s="42">
        <f>I35*S!D34</f>
        <v>2032.8504529434867</v>
      </c>
      <c r="K35" s="42">
        <f t="shared" si="1"/>
        <v>33</v>
      </c>
      <c r="L35" s="42">
        <f t="shared" si="2"/>
        <v>4460.5120201518102</v>
      </c>
      <c r="M35" s="43">
        <f>IF(ISERR((J35+H35)/(G35+I35)),P!AK36,(J35+H35)/(G35+I35))</f>
        <v>135.16703091369121</v>
      </c>
      <c r="N35" s="44">
        <f t="shared" si="3"/>
        <v>6352.8504529434867</v>
      </c>
      <c r="O35" s="44">
        <f t="shared" si="4"/>
        <v>6352.8504529434867</v>
      </c>
      <c r="P35" s="45" t="b">
        <f t="shared" si="5"/>
        <v>1</v>
      </c>
      <c r="Q35" s="183" t="str">
        <f t="shared" si="6"/>
        <v>OK</v>
      </c>
      <c r="S35" s="410">
        <f t="shared" si="7"/>
        <v>135.16703091369121</v>
      </c>
      <c r="T35" s="410">
        <f t="shared" si="8"/>
        <v>33</v>
      </c>
      <c r="AJ35" s="58">
        <f t="shared" si="9"/>
        <v>135.16703091369121</v>
      </c>
      <c r="AK35" s="58">
        <f t="shared" si="10"/>
        <v>33</v>
      </c>
    </row>
    <row r="36" spans="1:37" ht="20.25" customHeight="1">
      <c r="A36" s="37">
        <f>SUBTOTAL(103,B$4:B36)</f>
        <v>21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1</v>
      </c>
      <c r="J36" s="42">
        <f>I36*S!D35</f>
        <v>170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170</v>
      </c>
      <c r="O36" s="44">
        <f t="shared" si="4"/>
        <v>170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22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9.9999999999999978E-2</v>
      </c>
      <c r="J37" s="42">
        <f>I37*S!D36</f>
        <v>47.499999999999993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475.00000000000006</v>
      </c>
      <c r="N37" s="44">
        <f t="shared" si="3"/>
        <v>47.499999999999993</v>
      </c>
      <c r="O37" s="44">
        <f t="shared" si="4"/>
        <v>47.499999999999993</v>
      </c>
      <c r="P37" s="45" t="b">
        <f t="shared" si="5"/>
        <v>1</v>
      </c>
      <c r="Q37" s="183" t="str">
        <f t="shared" si="6"/>
        <v>OK</v>
      </c>
      <c r="S37" s="410">
        <f t="shared" si="7"/>
        <v>475.00000000000006</v>
      </c>
      <c r="T37" s="410">
        <f t="shared" si="8"/>
        <v>9.9999999999999978E-2</v>
      </c>
      <c r="AJ37" s="58">
        <f t="shared" si="9"/>
        <v>475.00000000000006</v>
      </c>
      <c r="AK37" s="58">
        <f t="shared" si="10"/>
        <v>9.9999999999999978E-2</v>
      </c>
    </row>
    <row r="38" spans="1:37" ht="20.25" hidden="1" customHeight="1">
      <c r="A38" s="40">
        <f>SUBTOTAL(103,B$4:B38)</f>
        <v>22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23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1</v>
      </c>
      <c r="F39" s="42">
        <f t="shared" si="0"/>
        <v>120</v>
      </c>
      <c r="G39" s="42">
        <f>P!AJ40</f>
        <v>1</v>
      </c>
      <c r="H39" s="42">
        <f>G39*P!AK40</f>
        <v>120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120</v>
      </c>
      <c r="N39" s="44">
        <f t="shared" si="3"/>
        <v>120</v>
      </c>
      <c r="O39" s="44">
        <f t="shared" si="4"/>
        <v>120</v>
      </c>
      <c r="P39" s="45" t="b">
        <f t="shared" si="5"/>
        <v>1</v>
      </c>
      <c r="Q39" s="183" t="str">
        <f t="shared" si="6"/>
        <v>OK</v>
      </c>
      <c r="S39" s="410">
        <f t="shared" si="7"/>
        <v>120</v>
      </c>
      <c r="T39" s="410">
        <f t="shared" si="8"/>
        <v>0</v>
      </c>
      <c r="AJ39" s="58">
        <f t="shared" si="9"/>
        <v>120</v>
      </c>
      <c r="AK39" s="58">
        <f t="shared" si="10"/>
        <v>0</v>
      </c>
    </row>
    <row r="40" spans="1:37" ht="20.25" hidden="1" customHeight="1">
      <c r="A40" s="37">
        <f>SUBTOTAL(103,B$4:B40)</f>
        <v>23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customHeight="1">
      <c r="A41" s="37">
        <f>SUBTOTAL(103,B$4:B41)</f>
        <v>24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1</v>
      </c>
      <c r="F41" s="42">
        <f t="shared" si="0"/>
        <v>85</v>
      </c>
      <c r="G41" s="42">
        <f>P!AJ42</f>
        <v>1</v>
      </c>
      <c r="H41" s="42">
        <f>G41*P!AK42</f>
        <v>85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85</v>
      </c>
      <c r="N41" s="44">
        <f t="shared" si="3"/>
        <v>85</v>
      </c>
      <c r="O41" s="44">
        <f t="shared" si="4"/>
        <v>85</v>
      </c>
      <c r="P41" s="45" t="b">
        <f t="shared" si="5"/>
        <v>1</v>
      </c>
      <c r="Q41" s="183" t="str">
        <f t="shared" si="6"/>
        <v>OK</v>
      </c>
      <c r="S41" s="410">
        <f t="shared" si="7"/>
        <v>85</v>
      </c>
      <c r="T41" s="410">
        <f t="shared" si="8"/>
        <v>0</v>
      </c>
      <c r="AJ41" s="58">
        <f t="shared" si="9"/>
        <v>85</v>
      </c>
      <c r="AK41" s="58">
        <f t="shared" si="10"/>
        <v>0</v>
      </c>
    </row>
    <row r="42" spans="1:37" ht="20.25" customHeight="1">
      <c r="A42" s="37">
        <f>SUBTOTAL(103,B$4:B42)</f>
        <v>25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953</v>
      </c>
      <c r="J42" s="42">
        <f>I42*S!D41</f>
        <v>7624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7624</v>
      </c>
      <c r="O42" s="44">
        <f t="shared" si="4"/>
        <v>7624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hidden="1" customHeight="1">
      <c r="A43" s="40">
        <f>SUBTOTAL(103,B$4:B43)</f>
        <v>25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hidden="1" customHeight="1">
      <c r="A44" s="37">
        <f>SUBTOTAL(103,B$4:B44)</f>
        <v>25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hidden="1" customHeight="1">
      <c r="A45" s="37">
        <f>SUBTOTAL(103,B$4:B45)</f>
        <v>25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26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237</v>
      </c>
      <c r="F46" s="42">
        <f t="shared" si="0"/>
        <v>2388.2993793533783</v>
      </c>
      <c r="G46" s="42">
        <f>P!AJ47</f>
        <v>0</v>
      </c>
      <c r="H46" s="42">
        <f>G46*P!AK47</f>
        <v>0</v>
      </c>
      <c r="I46" s="42">
        <f>S!E45</f>
        <v>879</v>
      </c>
      <c r="J46" s="42">
        <f>I46*S!D45</f>
        <v>8857.8698500068349</v>
      </c>
      <c r="K46" s="42">
        <f t="shared" si="1"/>
        <v>642</v>
      </c>
      <c r="L46" s="42">
        <f t="shared" si="2"/>
        <v>6469.5704706534552</v>
      </c>
      <c r="M46" s="43">
        <f>IF(ISERR((J46+H46)/(G46+I46)),P!AK47,(J46+H46)/(G46+I46))</f>
        <v>10.077212571111302</v>
      </c>
      <c r="N46" s="44">
        <f t="shared" si="3"/>
        <v>8857.8698500068349</v>
      </c>
      <c r="O46" s="44">
        <f t="shared" si="4"/>
        <v>8857.8698500068331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642</v>
      </c>
      <c r="AJ46" s="58">
        <f t="shared" si="9"/>
        <v>10.077212571111302</v>
      </c>
      <c r="AK46" s="58">
        <f t="shared" si="10"/>
        <v>642</v>
      </c>
    </row>
    <row r="47" spans="1:37" ht="20.25" customHeight="1">
      <c r="A47" s="37">
        <f>SUBTOTAL(103,B$4:B47)</f>
        <v>27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0.25</v>
      </c>
      <c r="H47" s="42">
        <f>G47*P!AK48</f>
        <v>200</v>
      </c>
      <c r="I47" s="42">
        <f>S!E46</f>
        <v>17</v>
      </c>
      <c r="J47" s="42">
        <f>I47*S!D46</f>
        <v>70.464756102620655</v>
      </c>
      <c r="K47" s="42">
        <f t="shared" si="1"/>
        <v>17.25</v>
      </c>
      <c r="L47" s="42">
        <f t="shared" si="2"/>
        <v>270.46475610262064</v>
      </c>
      <c r="M47" s="43">
        <f>IF(ISERR((J47+H47)/(G47+I47)),P!AK48,(J47+H47)/(G47+I47))</f>
        <v>15.679116295804095</v>
      </c>
      <c r="N47" s="44">
        <f t="shared" si="3"/>
        <v>270.46475610262064</v>
      </c>
      <c r="O47" s="44">
        <f t="shared" si="4"/>
        <v>270.46475610262064</v>
      </c>
      <c r="P47" s="45" t="b">
        <f t="shared" si="5"/>
        <v>1</v>
      </c>
      <c r="Q47" s="183" t="str">
        <f t="shared" si="6"/>
        <v>OK</v>
      </c>
      <c r="S47" s="410">
        <f t="shared" si="7"/>
        <v>15.679116295804095</v>
      </c>
      <c r="T47" s="410">
        <f t="shared" si="8"/>
        <v>17.25</v>
      </c>
      <c r="AJ47" s="58">
        <f t="shared" si="9"/>
        <v>15.679116295804095</v>
      </c>
      <c r="AK47" s="58">
        <f t="shared" si="10"/>
        <v>17.25</v>
      </c>
    </row>
    <row r="48" spans="1:37" ht="20.25" hidden="1" customHeight="1">
      <c r="A48" s="37">
        <f>SUBTOTAL(103,B$4:B48)</f>
        <v>27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hidden="1" customHeight="1">
      <c r="A49" s="40">
        <f>SUBTOTAL(103,B$4:B49)</f>
        <v>27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hidden="1" customHeight="1">
      <c r="A50" s="40">
        <f>SUBTOTAL(103,B$4:B50)</f>
        <v>27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28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4</v>
      </c>
      <c r="F51" s="42">
        <f t="shared" si="0"/>
        <v>240</v>
      </c>
      <c r="G51" s="42">
        <f>P!AJ52</f>
        <v>2</v>
      </c>
      <c r="H51" s="42">
        <f>G51*P!AK52</f>
        <v>120</v>
      </c>
      <c r="I51" s="42">
        <f>S!E50</f>
        <v>2</v>
      </c>
      <c r="J51" s="42">
        <f>I51*S!D50</f>
        <v>120</v>
      </c>
      <c r="K51" s="42">
        <f t="shared" si="1"/>
        <v>0</v>
      </c>
      <c r="L51" s="42">
        <f t="shared" si="2"/>
        <v>0</v>
      </c>
      <c r="M51" s="43">
        <f>IF(ISERR((J51+H51)/(G51+I51)),P!AK52,(J51+H51)/(G51+I51))</f>
        <v>60</v>
      </c>
      <c r="N51" s="44">
        <f t="shared" si="3"/>
        <v>240</v>
      </c>
      <c r="O51" s="44">
        <f t="shared" si="4"/>
        <v>240</v>
      </c>
      <c r="P51" s="45" t="b">
        <f t="shared" si="5"/>
        <v>1</v>
      </c>
      <c r="Q51" s="183" t="str">
        <f t="shared" si="6"/>
        <v>OK</v>
      </c>
      <c r="S51" s="410">
        <f t="shared" si="7"/>
        <v>60</v>
      </c>
      <c r="T51" s="410">
        <f t="shared" si="8"/>
        <v>0</v>
      </c>
      <c r="AJ51" s="58">
        <f t="shared" si="9"/>
        <v>60</v>
      </c>
      <c r="AK51" s="58">
        <f t="shared" si="10"/>
        <v>0</v>
      </c>
    </row>
    <row r="52" spans="1:37" ht="20.25" hidden="1" customHeight="1">
      <c r="A52" s="37">
        <f>SUBTOTAL(103,B$4:B52)</f>
        <v>28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hidden="1" customHeight="1">
      <c r="A53" s="37">
        <f>SUBTOTAL(103,B$4:B53)</f>
        <v>28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29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30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200</v>
      </c>
      <c r="H55" s="42">
        <f>G55*P!AK56</f>
        <v>160</v>
      </c>
      <c r="I55" s="42">
        <f>S!E54</f>
        <v>50</v>
      </c>
      <c r="J55" s="42">
        <f>I55*S!D54</f>
        <v>49.85081686995786</v>
      </c>
      <c r="K55" s="42">
        <f t="shared" si="1"/>
        <v>250</v>
      </c>
      <c r="L55" s="42">
        <f t="shared" si="2"/>
        <v>209.85081686995787</v>
      </c>
      <c r="M55" s="43">
        <f>IF(ISERR((J55+H55)/(G55+I55)),P!AK56,(J55+H55)/(G55+I55))</f>
        <v>0.83940326747983152</v>
      </c>
      <c r="N55" s="44">
        <f t="shared" si="3"/>
        <v>209.85081686995787</v>
      </c>
      <c r="O55" s="44">
        <f t="shared" si="4"/>
        <v>209.85081686995787</v>
      </c>
      <c r="P55" s="45" t="b">
        <f t="shared" si="5"/>
        <v>1</v>
      </c>
      <c r="Q55" s="183" t="str">
        <f t="shared" si="6"/>
        <v>OK</v>
      </c>
      <c r="S55" s="410">
        <f t="shared" si="7"/>
        <v>0.83940326747983152</v>
      </c>
      <c r="T55" s="410">
        <f t="shared" si="8"/>
        <v>250</v>
      </c>
      <c r="AJ55" s="58">
        <f t="shared" si="9"/>
        <v>0.83940326747983152</v>
      </c>
      <c r="AK55" s="58">
        <f t="shared" si="10"/>
        <v>250</v>
      </c>
    </row>
    <row r="56" spans="1:37" ht="20.25" customHeight="1">
      <c r="A56" s="37">
        <f>SUBTOTAL(103,B$4:B56)</f>
        <v>31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0</v>
      </c>
      <c r="F56" s="42">
        <f t="shared" si="0"/>
        <v>0</v>
      </c>
      <c r="G56" s="42">
        <f>P!AJ57</f>
        <v>100</v>
      </c>
      <c r="H56" s="42">
        <f>G56*P!AK57</f>
        <v>25</v>
      </c>
      <c r="I56" s="42">
        <f>S!E55</f>
        <v>94</v>
      </c>
      <c r="J56" s="42">
        <f>I56*S!D55</f>
        <v>23.507137188901943</v>
      </c>
      <c r="K56" s="42">
        <f t="shared" si="1"/>
        <v>194</v>
      </c>
      <c r="L56" s="42">
        <f t="shared" si="2"/>
        <v>48.507137188901943</v>
      </c>
      <c r="M56" s="43">
        <f>IF(ISERR((J56+H56)/(G56+I56)),P!AK57,(J56+H56)/(G56+I56))</f>
        <v>0.25003678963351517</v>
      </c>
      <c r="N56" s="44">
        <f t="shared" si="3"/>
        <v>48.507137188901943</v>
      </c>
      <c r="O56" s="44">
        <f t="shared" si="4"/>
        <v>48.507137188901943</v>
      </c>
      <c r="P56" s="45" t="b">
        <f t="shared" si="5"/>
        <v>1</v>
      </c>
      <c r="Q56" s="183" t="str">
        <f t="shared" si="6"/>
        <v>OK</v>
      </c>
      <c r="S56" s="410">
        <f t="shared" si="7"/>
        <v>0.25003678963351517</v>
      </c>
      <c r="T56" s="410">
        <f t="shared" si="8"/>
        <v>194</v>
      </c>
      <c r="AJ56" s="58">
        <f t="shared" si="9"/>
        <v>0.25003678963351517</v>
      </c>
      <c r="AK56" s="58">
        <f t="shared" si="10"/>
        <v>194</v>
      </c>
    </row>
    <row r="57" spans="1:37" ht="20.25" customHeight="1">
      <c r="A57" s="37">
        <f>SUBTOTAL(103,B$4:B57)</f>
        <v>32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55</v>
      </c>
      <c r="F57" s="42">
        <f t="shared" si="0"/>
        <v>1100</v>
      </c>
      <c r="G57" s="42">
        <f>P!AJ58</f>
        <v>49</v>
      </c>
      <c r="H57" s="42">
        <f>G57*P!AK58</f>
        <v>980</v>
      </c>
      <c r="I57" s="42">
        <f>S!E56</f>
        <v>6</v>
      </c>
      <c r="J57" s="42">
        <f>I57*S!D56</f>
        <v>120</v>
      </c>
      <c r="K57" s="42">
        <f t="shared" si="1"/>
        <v>0</v>
      </c>
      <c r="L57" s="42">
        <f t="shared" si="2"/>
        <v>0</v>
      </c>
      <c r="M57" s="43">
        <f>IF(ISERR((J57+H57)/(G57+I57)),P!AK58,(J57+H57)/(G57+I57))</f>
        <v>20</v>
      </c>
      <c r="N57" s="44">
        <f t="shared" si="3"/>
        <v>1100</v>
      </c>
      <c r="O57" s="44">
        <f t="shared" si="4"/>
        <v>1100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0</v>
      </c>
      <c r="AJ57" s="58">
        <f t="shared" si="9"/>
        <v>20</v>
      </c>
      <c r="AK57" s="58">
        <f t="shared" si="10"/>
        <v>0</v>
      </c>
    </row>
    <row r="58" spans="1:37" ht="20.25" customHeight="1">
      <c r="A58" s="37">
        <f>SUBTOTAL(103,B$4:B58)</f>
        <v>33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0.5</v>
      </c>
      <c r="F58" s="42">
        <f t="shared" si="0"/>
        <v>540</v>
      </c>
      <c r="G58" s="42">
        <f>P!AJ59</f>
        <v>0</v>
      </c>
      <c r="H58" s="42">
        <f>G58*P!AK59</f>
        <v>0</v>
      </c>
      <c r="I58" s="42">
        <f>S!E57</f>
        <v>0.5</v>
      </c>
      <c r="J58" s="42">
        <f>I58*S!D57</f>
        <v>540</v>
      </c>
      <c r="K58" s="42">
        <f t="shared" si="1"/>
        <v>0</v>
      </c>
      <c r="L58" s="42">
        <f t="shared" si="2"/>
        <v>0</v>
      </c>
      <c r="M58" s="43">
        <f>IF(ISERR((J58+H58)/(G58+I58)),P!AK59,(J58+H58)/(G58+I58))</f>
        <v>1080</v>
      </c>
      <c r="N58" s="44">
        <f t="shared" si="3"/>
        <v>540</v>
      </c>
      <c r="O58" s="44">
        <f t="shared" si="4"/>
        <v>540</v>
      </c>
      <c r="P58" s="45" t="b">
        <f t="shared" si="5"/>
        <v>1</v>
      </c>
      <c r="Q58" s="183" t="str">
        <f t="shared" si="6"/>
        <v>OK</v>
      </c>
      <c r="S58" s="410">
        <f t="shared" si="7"/>
        <v>1080</v>
      </c>
      <c r="T58" s="410">
        <f t="shared" si="8"/>
        <v>0</v>
      </c>
      <c r="AJ58" s="58">
        <f t="shared" si="9"/>
        <v>1080</v>
      </c>
      <c r="AK58" s="58">
        <f t="shared" si="10"/>
        <v>0</v>
      </c>
    </row>
    <row r="59" spans="1:37" ht="20.25" hidden="1" customHeight="1">
      <c r="A59" s="37">
        <f>SUBTOTAL(103,B$4:B59)</f>
        <v>33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267.55555555555554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267.55555555555554</v>
      </c>
      <c r="T59" s="410">
        <f t="shared" si="8"/>
        <v>0</v>
      </c>
      <c r="AJ59" s="58">
        <f t="shared" si="9"/>
        <v>267.55555555555554</v>
      </c>
      <c r="AK59" s="58">
        <f t="shared" si="10"/>
        <v>0</v>
      </c>
    </row>
    <row r="60" spans="1:37" ht="20.25" hidden="1" customHeight="1">
      <c r="A60" s="37">
        <f>SUBTOTAL(103,B$4:B60)</f>
        <v>33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34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7</v>
      </c>
      <c r="F61" s="42">
        <f t="shared" si="0"/>
        <v>771.88933873144401</v>
      </c>
      <c r="G61" s="42">
        <f>P!AJ62</f>
        <v>10</v>
      </c>
      <c r="H61" s="42">
        <f>G61*P!AK62</f>
        <v>1100</v>
      </c>
      <c r="I61" s="42">
        <f>S!E60</f>
        <v>2</v>
      </c>
      <c r="J61" s="42">
        <f>I61*S!D60</f>
        <v>223.23886639676115</v>
      </c>
      <c r="K61" s="42">
        <f t="shared" si="1"/>
        <v>5</v>
      </c>
      <c r="L61" s="42">
        <f t="shared" si="2"/>
        <v>551.34952766531705</v>
      </c>
      <c r="M61" s="43">
        <f>IF(ISERR((J61+H61)/(G61+I61)),P!AK62,(J61+H61)/(G61+I61))</f>
        <v>110.26990553306342</v>
      </c>
      <c r="N61" s="44">
        <f t="shared" si="3"/>
        <v>1323.2388663967611</v>
      </c>
      <c r="O61" s="44">
        <f t="shared" si="4"/>
        <v>1323.2388663967611</v>
      </c>
      <c r="P61" s="45" t="b">
        <f t="shared" si="5"/>
        <v>1</v>
      </c>
      <c r="Q61" s="183" t="str">
        <f t="shared" si="6"/>
        <v>OK</v>
      </c>
      <c r="S61" s="410">
        <f t="shared" si="7"/>
        <v>110.26990553306342</v>
      </c>
      <c r="T61" s="410">
        <f t="shared" si="8"/>
        <v>5</v>
      </c>
      <c r="AJ61" s="58">
        <f t="shared" si="9"/>
        <v>110.26990553306342</v>
      </c>
      <c r="AK61" s="58">
        <f t="shared" si="10"/>
        <v>5</v>
      </c>
    </row>
    <row r="62" spans="1:37" ht="20.25" customHeight="1">
      <c r="A62" s="37">
        <f>SUBTOTAL(103,B$4:B62)</f>
        <v>35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0.7</v>
      </c>
      <c r="F62" s="42">
        <f t="shared" si="0"/>
        <v>447.91531157917711</v>
      </c>
      <c r="G62" s="42">
        <f>P!AJ63</f>
        <v>1.5</v>
      </c>
      <c r="H62" s="42">
        <f>G62*P!AK63</f>
        <v>960</v>
      </c>
      <c r="I62" s="42">
        <f>S!E61</f>
        <v>0.20000000000000018</v>
      </c>
      <c r="J62" s="42">
        <f>I62*S!D61</f>
        <v>127.79432812085884</v>
      </c>
      <c r="K62" s="42">
        <f t="shared" si="1"/>
        <v>1.0000000000000002</v>
      </c>
      <c r="L62" s="42">
        <f t="shared" si="2"/>
        <v>639.87901654168172</v>
      </c>
      <c r="M62" s="43">
        <f>IF(ISERR((J62+H62)/(G62+I62)),P!AK63,(J62+H62)/(G62+I62))</f>
        <v>639.87901654168161</v>
      </c>
      <c r="N62" s="44">
        <f t="shared" si="3"/>
        <v>1087.7943281208588</v>
      </c>
      <c r="O62" s="44">
        <f t="shared" si="4"/>
        <v>1087.7943281208588</v>
      </c>
      <c r="P62" s="45" t="b">
        <f t="shared" si="5"/>
        <v>1</v>
      </c>
      <c r="Q62" s="183" t="str">
        <f t="shared" si="6"/>
        <v>OK</v>
      </c>
      <c r="S62" s="410">
        <f t="shared" si="7"/>
        <v>639.87901654168161</v>
      </c>
      <c r="T62" s="410">
        <f t="shared" si="8"/>
        <v>1.0000000000000002</v>
      </c>
      <c r="AJ62" s="58">
        <f t="shared" si="9"/>
        <v>639.87901654168161</v>
      </c>
      <c r="AK62" s="58">
        <f t="shared" si="10"/>
        <v>1.0000000000000002</v>
      </c>
    </row>
    <row r="63" spans="1:37" ht="20.25" customHeight="1">
      <c r="A63" s="37">
        <f>SUBTOTAL(103,B$4:B63)</f>
        <v>36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1.6</v>
      </c>
      <c r="F63" s="42">
        <f t="shared" si="0"/>
        <v>1053.3458614796293</v>
      </c>
      <c r="G63" s="42">
        <f>P!AJ64</f>
        <v>1.5</v>
      </c>
      <c r="H63" s="42">
        <f>G63*P!AK64</f>
        <v>990</v>
      </c>
      <c r="I63" s="42">
        <f>S!E62</f>
        <v>0.85000000000000098</v>
      </c>
      <c r="J63" s="42">
        <f>I63*S!D62</f>
        <v>557.10173404820625</v>
      </c>
      <c r="K63" s="42">
        <f t="shared" si="1"/>
        <v>0.75000000000000089</v>
      </c>
      <c r="L63" s="42">
        <f t="shared" si="2"/>
        <v>493.75587256857682</v>
      </c>
      <c r="M63" s="43">
        <f>IF(ISERR((J63+H63)/(G63+I63)),P!AK64,(J63+H63)/(G63+I63))</f>
        <v>658.3411634247683</v>
      </c>
      <c r="N63" s="44">
        <f t="shared" si="3"/>
        <v>1547.1017340482063</v>
      </c>
      <c r="O63" s="44">
        <f t="shared" si="4"/>
        <v>1547.1017340482063</v>
      </c>
      <c r="P63" s="45" t="b">
        <f t="shared" si="5"/>
        <v>1</v>
      </c>
      <c r="Q63" s="183" t="str">
        <f t="shared" si="6"/>
        <v>OK</v>
      </c>
      <c r="S63" s="410">
        <f t="shared" si="7"/>
        <v>658.3411634247683</v>
      </c>
      <c r="T63" s="410">
        <f t="shared" si="8"/>
        <v>0.75000000000000089</v>
      </c>
      <c r="AJ63" s="58">
        <f t="shared" si="9"/>
        <v>658.3411634247683</v>
      </c>
      <c r="AK63" s="58">
        <f t="shared" si="10"/>
        <v>0.75000000000000089</v>
      </c>
    </row>
    <row r="64" spans="1:37" ht="20.25" customHeight="1">
      <c r="A64" s="37">
        <f>SUBTOTAL(103,B$4:B64)</f>
        <v>37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0.1</v>
      </c>
      <c r="F64" s="42">
        <f t="shared" si="0"/>
        <v>40</v>
      </c>
      <c r="G64" s="42">
        <f>P!AJ65</f>
        <v>0.2</v>
      </c>
      <c r="H64" s="42">
        <f>G64*P!AK65</f>
        <v>80</v>
      </c>
      <c r="I64" s="42">
        <f>S!E63</f>
        <v>0</v>
      </c>
      <c r="J64" s="42">
        <f>I64*S!D63</f>
        <v>0</v>
      </c>
      <c r="K64" s="42">
        <f t="shared" si="1"/>
        <v>0.1</v>
      </c>
      <c r="L64" s="42">
        <f t="shared" si="2"/>
        <v>40</v>
      </c>
      <c r="M64" s="43">
        <f>IF(ISERR((J64+H64)/(G64+I64)),P!AK65,(J64+H64)/(G64+I64))</f>
        <v>400</v>
      </c>
      <c r="N64" s="44">
        <f t="shared" si="3"/>
        <v>80</v>
      </c>
      <c r="O64" s="44">
        <f t="shared" si="4"/>
        <v>80</v>
      </c>
      <c r="P64" s="45" t="b">
        <f t="shared" si="5"/>
        <v>1</v>
      </c>
      <c r="Q64" s="183" t="str">
        <f t="shared" si="6"/>
        <v>OK</v>
      </c>
      <c r="S64" s="410">
        <f t="shared" si="7"/>
        <v>400</v>
      </c>
      <c r="T64" s="410">
        <f t="shared" si="8"/>
        <v>0.1</v>
      </c>
      <c r="AJ64" s="58">
        <f t="shared" si="9"/>
        <v>400</v>
      </c>
      <c r="AK64" s="58">
        <f t="shared" si="10"/>
        <v>0.1</v>
      </c>
    </row>
    <row r="65" spans="1:37" ht="20.25" hidden="1" customHeight="1">
      <c r="A65" s="37">
        <f>SUBTOTAL(103,B$4:B65)</f>
        <v>37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38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0.75000000000000011</v>
      </c>
      <c r="F66" s="42">
        <f t="shared" si="0"/>
        <v>950.41666666666697</v>
      </c>
      <c r="G66" s="42">
        <f>P!AJ67</f>
        <v>0.89999999999999991</v>
      </c>
      <c r="H66" s="42">
        <f>G66*P!AK67</f>
        <v>1180</v>
      </c>
      <c r="I66" s="42">
        <f>S!E65</f>
        <v>9.9999999999999978E-2</v>
      </c>
      <c r="J66" s="42">
        <f>I66*S!D65</f>
        <v>87.2222222222222</v>
      </c>
      <c r="K66" s="42">
        <f t="shared" si="1"/>
        <v>0.24999999999999978</v>
      </c>
      <c r="L66" s="42">
        <f t="shared" si="2"/>
        <v>316.80555555555532</v>
      </c>
      <c r="M66" s="43">
        <f>IF(ISERR((J66+H66)/(G66+I66)),P!AK67,(J66+H66)/(G66+I66))</f>
        <v>1267.2222222222224</v>
      </c>
      <c r="N66" s="44">
        <f t="shared" si="3"/>
        <v>1267.2222222222222</v>
      </c>
      <c r="O66" s="44">
        <f t="shared" si="4"/>
        <v>1267.2222222222222</v>
      </c>
      <c r="P66" s="45" t="b">
        <f t="shared" si="5"/>
        <v>1</v>
      </c>
      <c r="Q66" s="183" t="str">
        <f t="shared" si="6"/>
        <v>OK</v>
      </c>
      <c r="S66" s="410">
        <f t="shared" si="7"/>
        <v>1267.2222222222224</v>
      </c>
      <c r="T66" s="410">
        <f t="shared" si="8"/>
        <v>0.24999999999999978</v>
      </c>
      <c r="AJ66" s="58">
        <f t="shared" si="9"/>
        <v>1267.2222222222224</v>
      </c>
      <c r="AK66" s="58">
        <f t="shared" si="10"/>
        <v>0.24999999999999978</v>
      </c>
    </row>
    <row r="67" spans="1:37" ht="20.25" customHeight="1">
      <c r="A67" s="37">
        <f>SUBTOTAL(103,B$4:B67)</f>
        <v>39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2</v>
      </c>
      <c r="F67" s="42">
        <f t="shared" si="0"/>
        <v>36</v>
      </c>
      <c r="G67" s="42">
        <f>P!AJ68</f>
        <v>2</v>
      </c>
      <c r="H67" s="42">
        <f>G67*P!AK68</f>
        <v>36</v>
      </c>
      <c r="I67" s="42">
        <f>S!E66</f>
        <v>0</v>
      </c>
      <c r="J67" s="42">
        <f>I67*S!D66</f>
        <v>0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18</v>
      </c>
      <c r="N67" s="44">
        <f t="shared" si="3"/>
        <v>36</v>
      </c>
      <c r="O67" s="44">
        <f t="shared" si="4"/>
        <v>36</v>
      </c>
      <c r="P67" s="45" t="b">
        <f t="shared" si="5"/>
        <v>1</v>
      </c>
      <c r="Q67" s="183" t="str">
        <f t="shared" si="6"/>
        <v>OK</v>
      </c>
      <c r="S67" s="410">
        <f t="shared" si="7"/>
        <v>18</v>
      </c>
      <c r="T67" s="410">
        <f t="shared" si="8"/>
        <v>0</v>
      </c>
      <c r="AJ67" s="58">
        <f t="shared" si="9"/>
        <v>18</v>
      </c>
      <c r="AK67" s="58">
        <f t="shared" si="10"/>
        <v>0</v>
      </c>
    </row>
    <row r="68" spans="1:37" ht="20.25" customHeight="1">
      <c r="A68" s="37">
        <f>SUBTOTAL(103,B$4:B68)</f>
        <v>40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2</v>
      </c>
      <c r="F68" s="42">
        <f t="shared" si="0"/>
        <v>36</v>
      </c>
      <c r="G68" s="42">
        <f>P!AJ69</f>
        <v>2</v>
      </c>
      <c r="H68" s="42">
        <f>G68*P!AK69</f>
        <v>36</v>
      </c>
      <c r="I68" s="42">
        <f>S!E67</f>
        <v>0</v>
      </c>
      <c r="J68" s="42">
        <f>I68*S!D67</f>
        <v>0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18</v>
      </c>
      <c r="N68" s="44">
        <f t="shared" si="3"/>
        <v>36</v>
      </c>
      <c r="O68" s="44">
        <f t="shared" si="4"/>
        <v>36</v>
      </c>
      <c r="P68" s="45" t="b">
        <f t="shared" si="5"/>
        <v>1</v>
      </c>
      <c r="Q68" s="183" t="str">
        <f t="shared" si="6"/>
        <v>OK</v>
      </c>
      <c r="S68" s="410">
        <f t="shared" si="7"/>
        <v>18</v>
      </c>
      <c r="T68" s="410">
        <f t="shared" si="8"/>
        <v>0</v>
      </c>
      <c r="AJ68" s="58">
        <f t="shared" si="9"/>
        <v>18</v>
      </c>
      <c r="AK68" s="58">
        <f t="shared" si="10"/>
        <v>0</v>
      </c>
    </row>
    <row r="69" spans="1:37" ht="20.25" customHeight="1">
      <c r="A69" s="37">
        <f>SUBTOTAL(103,B$4:B69)</f>
        <v>41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0.28700000000000003</v>
      </c>
      <c r="F69" s="42">
        <f t="shared" ref="F69:F132" si="11">E69*M69</f>
        <v>1645.842706404336</v>
      </c>
      <c r="G69" s="42">
        <f>P!AJ70</f>
        <v>0.3</v>
      </c>
      <c r="H69" s="42">
        <f>G69*P!AK70</f>
        <v>1720.0000000000002</v>
      </c>
      <c r="I69" s="42">
        <f>S!E68</f>
        <v>1.8714285709999667E-2</v>
      </c>
      <c r="J69" s="42">
        <f>I69*S!D68</f>
        <v>107.71283122881719</v>
      </c>
      <c r="K69" s="42">
        <f t="shared" ref="K69:K132" si="12">(G69+I69)-E69</f>
        <v>3.1714285709999623E-2</v>
      </c>
      <c r="L69" s="42">
        <f t="shared" ref="L69:L132" si="13">K69*M69</f>
        <v>181.87012482448131</v>
      </c>
      <c r="M69" s="43">
        <f>IF(ISERR((J69+H69)/(G69+I69)),P!AK70,(J69+H69)/(G69+I69))</f>
        <v>5734.6435763217278</v>
      </c>
      <c r="N69" s="44">
        <f t="shared" ref="N69:N132" si="14">J69+H69</f>
        <v>1827.7128312288173</v>
      </c>
      <c r="O69" s="44">
        <f t="shared" ref="O69:O132" si="15">L69+F69</f>
        <v>1827.7128312288173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5734.6435763217278</v>
      </c>
      <c r="T69" s="410">
        <f t="shared" ref="T69:T132" si="19">K69</f>
        <v>3.1714285709999623E-2</v>
      </c>
      <c r="AJ69" s="58">
        <f t="shared" ref="AJ69:AJ132" si="20">M69</f>
        <v>5734.6435763217278</v>
      </c>
      <c r="AK69" s="58">
        <f t="shared" ref="AK69:AK132" si="21">K69</f>
        <v>3.1714285709999623E-2</v>
      </c>
    </row>
    <row r="70" spans="1:37" ht="20.25" customHeight="1">
      <c r="A70" s="37">
        <f>SUBTOTAL(103,B$4:B70)</f>
        <v>42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0.62500000000000011</v>
      </c>
      <c r="F70" s="42">
        <f t="shared" si="11"/>
        <v>374.61826071288795</v>
      </c>
      <c r="G70" s="42">
        <f>P!AJ71</f>
        <v>0.7</v>
      </c>
      <c r="H70" s="42">
        <f>G70*P!AK71</f>
        <v>420</v>
      </c>
      <c r="I70" s="42">
        <f>S!E69</f>
        <v>0.22999999999999898</v>
      </c>
      <c r="J70" s="42">
        <f>I70*S!D69</f>
        <v>137.43197194077655</v>
      </c>
      <c r="K70" s="42">
        <f t="shared" si="12"/>
        <v>0.30499999999999883</v>
      </c>
      <c r="L70" s="42">
        <f t="shared" si="13"/>
        <v>182.8137112278886</v>
      </c>
      <c r="M70" s="43">
        <f>IF(ISERR((J70+H70)/(G70+I70)),P!AK71,(J70+H70)/(G70+I70))</f>
        <v>599.38921714062064</v>
      </c>
      <c r="N70" s="44">
        <f t="shared" si="14"/>
        <v>557.43197194077652</v>
      </c>
      <c r="O70" s="44">
        <f t="shared" si="15"/>
        <v>557.43197194077652</v>
      </c>
      <c r="P70" s="45" t="b">
        <f t="shared" si="16"/>
        <v>1</v>
      </c>
      <c r="Q70" s="183" t="str">
        <f t="shared" si="17"/>
        <v>OK</v>
      </c>
      <c r="S70" s="410">
        <f t="shared" si="18"/>
        <v>599.38921714062064</v>
      </c>
      <c r="T70" s="410">
        <f t="shared" si="19"/>
        <v>0.30499999999999883</v>
      </c>
      <c r="AJ70" s="58">
        <f t="shared" si="20"/>
        <v>599.38921714062064</v>
      </c>
      <c r="AK70" s="58">
        <f t="shared" si="21"/>
        <v>0.30499999999999883</v>
      </c>
    </row>
    <row r="71" spans="1:37" ht="20.25" customHeight="1">
      <c r="A71" s="37">
        <f>SUBTOTAL(103,B$4:B71)</f>
        <v>43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0.125</v>
      </c>
      <c r="F71" s="42">
        <f t="shared" si="11"/>
        <v>335.71428571428572</v>
      </c>
      <c r="G71" s="42">
        <f>P!AJ72</f>
        <v>0.17499999999999999</v>
      </c>
      <c r="H71" s="42">
        <f>G71*P!AK72</f>
        <v>470</v>
      </c>
      <c r="I71" s="42">
        <f>S!E70</f>
        <v>0</v>
      </c>
      <c r="J71" s="42">
        <f>I71*S!D70</f>
        <v>0</v>
      </c>
      <c r="K71" s="42">
        <f t="shared" si="12"/>
        <v>4.9999999999999989E-2</v>
      </c>
      <c r="L71" s="42">
        <f t="shared" si="13"/>
        <v>134.28571428571425</v>
      </c>
      <c r="M71" s="43">
        <f>IF(ISERR((J71+H71)/(G71+I71)),P!AK72,(J71+H71)/(G71+I71))</f>
        <v>2685.7142857142858</v>
      </c>
      <c r="N71" s="44">
        <f t="shared" si="14"/>
        <v>470</v>
      </c>
      <c r="O71" s="44">
        <f t="shared" si="15"/>
        <v>470</v>
      </c>
      <c r="P71" s="45" t="b">
        <f t="shared" si="16"/>
        <v>1</v>
      </c>
      <c r="Q71" s="183" t="str">
        <f t="shared" si="17"/>
        <v>OK</v>
      </c>
      <c r="S71" s="410">
        <f t="shared" si="18"/>
        <v>2685.7142857142858</v>
      </c>
      <c r="T71" s="410">
        <f t="shared" si="19"/>
        <v>4.9999999999999989E-2</v>
      </c>
      <c r="AJ71" s="58">
        <f t="shared" si="20"/>
        <v>2685.7142857142858</v>
      </c>
      <c r="AK71" s="58">
        <f t="shared" si="21"/>
        <v>4.9999999999999989E-2</v>
      </c>
    </row>
    <row r="72" spans="1:37" ht="20.25" customHeight="1">
      <c r="A72" s="37">
        <f>SUBTOTAL(103,B$4:B72)</f>
        <v>44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0</v>
      </c>
      <c r="F72" s="42">
        <f t="shared" si="11"/>
        <v>0</v>
      </c>
      <c r="G72" s="42">
        <f>P!AJ73</f>
        <v>0</v>
      </c>
      <c r="H72" s="42">
        <f>G72*P!AK73</f>
        <v>0</v>
      </c>
      <c r="I72" s="42">
        <f>S!E71</f>
        <v>1</v>
      </c>
      <c r="J72" s="42">
        <f>I72*S!D71</f>
        <v>8</v>
      </c>
      <c r="K72" s="42">
        <f t="shared" si="12"/>
        <v>1</v>
      </c>
      <c r="L72" s="42">
        <f t="shared" si="13"/>
        <v>8</v>
      </c>
      <c r="M72" s="43">
        <f>IF(ISERR((J72+H72)/(G72+I72)),P!AK73,(J72+H72)/(G72+I72))</f>
        <v>8</v>
      </c>
      <c r="N72" s="44">
        <f t="shared" si="14"/>
        <v>8</v>
      </c>
      <c r="O72" s="44">
        <f t="shared" si="15"/>
        <v>8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1</v>
      </c>
      <c r="AJ72" s="58">
        <f t="shared" si="20"/>
        <v>8</v>
      </c>
      <c r="AK72" s="58">
        <f t="shared" si="21"/>
        <v>1</v>
      </c>
    </row>
    <row r="73" spans="1:37" ht="20.25" customHeight="1">
      <c r="A73" s="37">
        <f>SUBTOTAL(103,B$4:B73)</f>
        <v>45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0.25</v>
      </c>
      <c r="F73" s="42">
        <f t="shared" si="11"/>
        <v>216.33401927185673</v>
      </c>
      <c r="G73" s="42">
        <f>P!AJ74</f>
        <v>0.35</v>
      </c>
      <c r="H73" s="42">
        <f>G73*P!AK74</f>
        <v>305</v>
      </c>
      <c r="I73" s="42">
        <f>S!E72</f>
        <v>0.10000000000000142</v>
      </c>
      <c r="J73" s="42">
        <f>I73*S!D72</f>
        <v>84.401234689343298</v>
      </c>
      <c r="K73" s="42">
        <f t="shared" si="12"/>
        <v>0.2000000000000014</v>
      </c>
      <c r="L73" s="42">
        <f t="shared" si="13"/>
        <v>173.06721541748661</v>
      </c>
      <c r="M73" s="43">
        <f>IF(ISERR((J73+H73)/(G73+I73)),P!AK74,(J73+H73)/(G73+I73))</f>
        <v>865.33607708742693</v>
      </c>
      <c r="N73" s="44">
        <f t="shared" si="14"/>
        <v>389.40123468934331</v>
      </c>
      <c r="O73" s="44">
        <f t="shared" si="15"/>
        <v>389.40123468934337</v>
      </c>
      <c r="P73" s="45" t="b">
        <f t="shared" si="16"/>
        <v>1</v>
      </c>
      <c r="Q73" s="183" t="str">
        <f t="shared" si="17"/>
        <v>OK</v>
      </c>
      <c r="S73" s="410">
        <f t="shared" si="18"/>
        <v>865.33607708742693</v>
      </c>
      <c r="T73" s="410">
        <f t="shared" si="19"/>
        <v>0.2000000000000014</v>
      </c>
      <c r="AJ73" s="58">
        <f t="shared" si="20"/>
        <v>865.33607708742693</v>
      </c>
      <c r="AK73" s="58">
        <f t="shared" si="21"/>
        <v>0.2000000000000014</v>
      </c>
    </row>
    <row r="74" spans="1:37" ht="20.25" customHeight="1">
      <c r="A74" s="37">
        <f>SUBTOTAL(103,B$4:B74)</f>
        <v>46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0.30000000000000004</v>
      </c>
      <c r="F74" s="42">
        <f t="shared" si="11"/>
        <v>207.99750464695848</v>
      </c>
      <c r="G74" s="42">
        <f>P!AJ75</f>
        <v>0.2</v>
      </c>
      <c r="H74" s="42">
        <f>G74*P!AK75</f>
        <v>140</v>
      </c>
      <c r="I74" s="42">
        <f>S!E73</f>
        <v>0.10000000000000053</v>
      </c>
      <c r="J74" s="42">
        <f>I74*S!D73</f>
        <v>67.997504646958831</v>
      </c>
      <c r="K74" s="42">
        <f t="shared" si="12"/>
        <v>4.9960036108132044E-16</v>
      </c>
      <c r="L74" s="42">
        <f t="shared" si="13"/>
        <v>3.4638542808544688E-13</v>
      </c>
      <c r="M74" s="43">
        <f>IF(ISERR((J74+H74)/(G74+I74)),P!AK75,(J74+H74)/(G74+I74))</f>
        <v>693.32501548986147</v>
      </c>
      <c r="N74" s="44">
        <f t="shared" si="14"/>
        <v>207.99750464695882</v>
      </c>
      <c r="O74" s="44">
        <f t="shared" si="15"/>
        <v>207.99750464695882</v>
      </c>
      <c r="P74" s="45" t="b">
        <f t="shared" si="16"/>
        <v>1</v>
      </c>
      <c r="Q74" s="183" t="str">
        <f t="shared" si="17"/>
        <v>OK</v>
      </c>
      <c r="S74" s="410">
        <f t="shared" si="18"/>
        <v>693.32501548986147</v>
      </c>
      <c r="T74" s="410">
        <f t="shared" si="19"/>
        <v>4.9960036108132044E-16</v>
      </c>
      <c r="AJ74" s="58">
        <f t="shared" si="20"/>
        <v>693.32501548986147</v>
      </c>
      <c r="AK74" s="58">
        <f t="shared" si="21"/>
        <v>4.9960036108132044E-16</v>
      </c>
    </row>
    <row r="75" spans="1:37" ht="20.25" hidden="1" customHeight="1">
      <c r="A75" s="40">
        <f>SUBTOTAL(103,B$4:B75)</f>
        <v>46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47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1.7500000000000004</v>
      </c>
      <c r="F76" s="42">
        <f t="shared" si="11"/>
        <v>2951.012224095105</v>
      </c>
      <c r="G76" s="42">
        <f>P!AJ77</f>
        <v>0.65</v>
      </c>
      <c r="H76" s="42">
        <f>G76*P!AK77</f>
        <v>1180</v>
      </c>
      <c r="I76" s="42">
        <f>S!E75</f>
        <v>1.1000000000000005</v>
      </c>
      <c r="J76" s="42">
        <f>I76*S!D75</f>
        <v>1771.012224095105</v>
      </c>
      <c r="K76" s="42">
        <f t="shared" si="12"/>
        <v>0</v>
      </c>
      <c r="L76" s="42">
        <f t="shared" si="13"/>
        <v>0</v>
      </c>
      <c r="M76" s="43">
        <f>IF(ISERR((J76+H76)/(G76+I76)),P!AK77,(J76+H76)/(G76+I76))</f>
        <v>1686.2926994829168</v>
      </c>
      <c r="N76" s="44">
        <f t="shared" si="14"/>
        <v>2951.012224095105</v>
      </c>
      <c r="O76" s="44">
        <f t="shared" si="15"/>
        <v>2951.012224095105</v>
      </c>
      <c r="P76" s="45" t="b">
        <f t="shared" si="16"/>
        <v>1</v>
      </c>
      <c r="Q76" s="183" t="str">
        <f t="shared" si="17"/>
        <v>OK</v>
      </c>
      <c r="S76" s="410">
        <f t="shared" si="18"/>
        <v>1686.2926994829168</v>
      </c>
      <c r="T76" s="410">
        <f t="shared" si="19"/>
        <v>0</v>
      </c>
      <c r="AJ76" s="58">
        <f t="shared" si="20"/>
        <v>1686.2926994829168</v>
      </c>
      <c r="AK76" s="58">
        <f t="shared" si="21"/>
        <v>0</v>
      </c>
    </row>
    <row r="77" spans="1:37" ht="20.25" hidden="1" customHeight="1">
      <c r="A77" s="40">
        <f>SUBTOTAL(103,B$4:B77)</f>
        <v>47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48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0</v>
      </c>
      <c r="F78" s="42">
        <f t="shared" si="11"/>
        <v>0</v>
      </c>
      <c r="G78" s="42">
        <f>P!AJ79</f>
        <v>0</v>
      </c>
      <c r="H78" s="42">
        <f>G78*P!AK79</f>
        <v>0</v>
      </c>
      <c r="I78" s="42">
        <f>S!E77</f>
        <v>5.0000000000000044E-3</v>
      </c>
      <c r="J78" s="42">
        <f>I78*S!D77</f>
        <v>18.000000000000014</v>
      </c>
      <c r="K78" s="42">
        <f t="shared" si="12"/>
        <v>5.0000000000000044E-3</v>
      </c>
      <c r="L78" s="42">
        <f t="shared" si="13"/>
        <v>18.000000000000014</v>
      </c>
      <c r="M78" s="43">
        <f>IF(ISERR((J78+H78)/(G78+I78)),P!AK79,(J78+H78)/(G78+I78))</f>
        <v>3599.9999999999995</v>
      </c>
      <c r="N78" s="44">
        <f t="shared" si="14"/>
        <v>18.000000000000014</v>
      </c>
      <c r="O78" s="44">
        <f t="shared" si="15"/>
        <v>18.000000000000014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5.0000000000000044E-3</v>
      </c>
      <c r="AJ78" s="58">
        <f t="shared" si="20"/>
        <v>3599.9999999999995</v>
      </c>
      <c r="AK78" s="58">
        <f t="shared" si="21"/>
        <v>5.0000000000000044E-3</v>
      </c>
    </row>
    <row r="79" spans="1:37" ht="20.25" customHeight="1">
      <c r="A79" s="37">
        <f>SUBTOTAL(103,B$4:B79)</f>
        <v>49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0.30000000000000004</v>
      </c>
      <c r="F79" s="42">
        <f t="shared" si="11"/>
        <v>179.55868325072478</v>
      </c>
      <c r="G79" s="42">
        <f>P!AJ80</f>
        <v>0.30000000000000004</v>
      </c>
      <c r="H79" s="42">
        <f>G79*P!AK80</f>
        <v>180</v>
      </c>
      <c r="I79" s="42">
        <f>S!E78</f>
        <v>7.0000000000000007E-2</v>
      </c>
      <c r="J79" s="42">
        <f>I79*S!D78</f>
        <v>41.455709342560553</v>
      </c>
      <c r="K79" s="42">
        <f t="shared" si="12"/>
        <v>7.0000000000000007E-2</v>
      </c>
      <c r="L79" s="42">
        <f t="shared" si="13"/>
        <v>41.897026091835777</v>
      </c>
      <c r="M79" s="43">
        <f>IF(ISERR((J79+H79)/(G79+I79)),P!AK80,(J79+H79)/(G79+I79))</f>
        <v>598.52894416908248</v>
      </c>
      <c r="N79" s="44">
        <f t="shared" si="14"/>
        <v>221.45570934256057</v>
      </c>
      <c r="O79" s="44">
        <f t="shared" si="15"/>
        <v>221.45570934256057</v>
      </c>
      <c r="P79" s="45" t="b">
        <f t="shared" si="16"/>
        <v>1</v>
      </c>
      <c r="Q79" s="183" t="str">
        <f t="shared" si="17"/>
        <v>OK</v>
      </c>
      <c r="S79" s="410">
        <f t="shared" si="18"/>
        <v>598.52894416908248</v>
      </c>
      <c r="T79" s="410">
        <f t="shared" si="19"/>
        <v>7.0000000000000007E-2</v>
      </c>
      <c r="AJ79" s="58">
        <f t="shared" si="20"/>
        <v>598.52894416908248</v>
      </c>
      <c r="AK79" s="58">
        <f t="shared" si="21"/>
        <v>7.0000000000000007E-2</v>
      </c>
    </row>
    <row r="80" spans="1:37" ht="20.25" customHeight="1">
      <c r="A80" s="37">
        <f>SUBTOTAL(103,B$4:B80)</f>
        <v>50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5.0000000000000044E-3</v>
      </c>
      <c r="L80" s="42">
        <f t="shared" si="13"/>
        <v>2.0000000000000018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5.0000000000000044E-3</v>
      </c>
      <c r="AJ80" s="58">
        <f t="shared" si="20"/>
        <v>400</v>
      </c>
      <c r="AK80" s="58">
        <f t="shared" si="21"/>
        <v>5.0000000000000044E-3</v>
      </c>
    </row>
    <row r="81" spans="1:37" ht="20.25" customHeight="1">
      <c r="A81" s="37">
        <f>SUBTOTAL(103,B$4:B81)</f>
        <v>51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1.5</v>
      </c>
      <c r="F81" s="42">
        <f t="shared" si="11"/>
        <v>270</v>
      </c>
      <c r="G81" s="42">
        <f>P!AJ82</f>
        <v>4</v>
      </c>
      <c r="H81" s="42">
        <f>G81*P!AK82</f>
        <v>720</v>
      </c>
      <c r="I81" s="42">
        <f>S!E80</f>
        <v>0</v>
      </c>
      <c r="J81" s="42">
        <f>I81*S!D80</f>
        <v>0</v>
      </c>
      <c r="K81" s="42">
        <f t="shared" si="12"/>
        <v>2.5</v>
      </c>
      <c r="L81" s="42">
        <f t="shared" si="13"/>
        <v>450</v>
      </c>
      <c r="M81" s="43">
        <f>IF(ISERR((J81+H81)/(G81+I81)),P!AK82,(J81+H81)/(G81+I81))</f>
        <v>180</v>
      </c>
      <c r="N81" s="44">
        <f t="shared" si="14"/>
        <v>720</v>
      </c>
      <c r="O81" s="44">
        <f t="shared" si="15"/>
        <v>720</v>
      </c>
      <c r="P81" s="45" t="b">
        <f t="shared" si="16"/>
        <v>1</v>
      </c>
      <c r="Q81" s="183" t="str">
        <f t="shared" si="17"/>
        <v>OK</v>
      </c>
      <c r="S81" s="410">
        <f t="shared" si="18"/>
        <v>180</v>
      </c>
      <c r="T81" s="410">
        <f t="shared" si="19"/>
        <v>2.5</v>
      </c>
      <c r="AJ81" s="58">
        <f t="shared" si="20"/>
        <v>180</v>
      </c>
      <c r="AK81" s="58">
        <f t="shared" si="21"/>
        <v>2.5</v>
      </c>
    </row>
    <row r="82" spans="1:37" ht="20.25" hidden="1" customHeight="1">
      <c r="A82" s="40">
        <f>SUBTOTAL(103,B$4:B82)</f>
        <v>51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hidden="1" customHeight="1">
      <c r="A83" s="40">
        <f>SUBTOTAL(103,B$4:B83)</f>
        <v>51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52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53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2.5000000000000001E-2</v>
      </c>
      <c r="H85" s="42">
        <f>G85*P!AK86</f>
        <v>90</v>
      </c>
      <c r="I85" s="42">
        <f>S!E84</f>
        <v>1.9999999999999934E-2</v>
      </c>
      <c r="J85" s="42">
        <f>I85*S!D84</f>
        <v>56.236065573770311</v>
      </c>
      <c r="K85" s="42">
        <f t="shared" si="12"/>
        <v>4.4999999999999936E-2</v>
      </c>
      <c r="L85" s="42">
        <f t="shared" si="13"/>
        <v>146.2360655737703</v>
      </c>
      <c r="M85" s="43">
        <f>IF(ISERR((J85+H85)/(G85+I85)),P!AK86,(J85+H85)/(G85+I85))</f>
        <v>3249.6903460837893</v>
      </c>
      <c r="N85" s="44">
        <f t="shared" si="14"/>
        <v>146.2360655737703</v>
      </c>
      <c r="O85" s="44">
        <f t="shared" si="15"/>
        <v>146.2360655737703</v>
      </c>
      <c r="P85" s="45" t="b">
        <f t="shared" si="16"/>
        <v>1</v>
      </c>
      <c r="Q85" s="183" t="str">
        <f t="shared" si="17"/>
        <v>OK</v>
      </c>
      <c r="S85" s="410">
        <f t="shared" si="18"/>
        <v>3249.6903460837893</v>
      </c>
      <c r="T85" s="410">
        <f t="shared" si="19"/>
        <v>4.4999999999999936E-2</v>
      </c>
      <c r="AJ85" s="58">
        <f t="shared" si="20"/>
        <v>3249.6903460837893</v>
      </c>
      <c r="AK85" s="58">
        <f t="shared" si="21"/>
        <v>4.4999999999999936E-2</v>
      </c>
    </row>
    <row r="86" spans="1:37" ht="20.25" customHeight="1">
      <c r="A86" s="37">
        <f>SUBTOTAL(103,B$4:B86)</f>
        <v>54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4.9999999999999989E-2</v>
      </c>
      <c r="J86" s="42">
        <f>I86*S!D85</f>
        <v>10.099999999999998</v>
      </c>
      <c r="K86" s="42">
        <f t="shared" si="12"/>
        <v>4.9999999999999989E-2</v>
      </c>
      <c r="L86" s="42">
        <f t="shared" si="13"/>
        <v>10.099999999999998</v>
      </c>
      <c r="M86" s="43">
        <f>IF(ISERR((J86+H86)/(G86+I86)),P!AK87,(J86+H86)/(G86+I86))</f>
        <v>202</v>
      </c>
      <c r="N86" s="44">
        <f t="shared" si="14"/>
        <v>10.099999999999998</v>
      </c>
      <c r="O86" s="44">
        <f t="shared" si="15"/>
        <v>10.099999999999998</v>
      </c>
      <c r="P86" s="45" t="b">
        <f t="shared" si="16"/>
        <v>1</v>
      </c>
      <c r="Q86" s="183" t="str">
        <f t="shared" si="17"/>
        <v>OK</v>
      </c>
      <c r="S86" s="410">
        <f t="shared" si="18"/>
        <v>202</v>
      </c>
      <c r="T86" s="410">
        <f t="shared" si="19"/>
        <v>4.9999999999999989E-2</v>
      </c>
      <c r="AJ86" s="58">
        <f t="shared" si="20"/>
        <v>202</v>
      </c>
      <c r="AK86" s="58">
        <f t="shared" si="21"/>
        <v>4.9999999999999989E-2</v>
      </c>
    </row>
    <row r="87" spans="1:37" ht="20.25" customHeight="1">
      <c r="A87" s="37">
        <f>SUBTOTAL(103,B$4:B87)</f>
        <v>55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0.2</v>
      </c>
      <c r="F87" s="42">
        <f t="shared" si="11"/>
        <v>319.09822866344604</v>
      </c>
      <c r="G87" s="42">
        <f>P!AJ88</f>
        <v>0.1</v>
      </c>
      <c r="H87" s="42">
        <f>G87*P!AK88</f>
        <v>180</v>
      </c>
      <c r="I87" s="42">
        <f>S!E86</f>
        <v>0.1999999999999999</v>
      </c>
      <c r="J87" s="42">
        <f>I87*S!D86</f>
        <v>298.64734299516891</v>
      </c>
      <c r="K87" s="42">
        <f t="shared" si="12"/>
        <v>9.9999999999999922E-2</v>
      </c>
      <c r="L87" s="42">
        <f t="shared" si="13"/>
        <v>159.54911433172288</v>
      </c>
      <c r="M87" s="43">
        <f>IF(ISERR((J87+H87)/(G87+I87)),P!AK88,(J87+H87)/(G87+I87))</f>
        <v>1595.4911433172301</v>
      </c>
      <c r="N87" s="44">
        <f t="shared" si="14"/>
        <v>478.64734299516891</v>
      </c>
      <c r="O87" s="44">
        <f t="shared" si="15"/>
        <v>478.64734299516891</v>
      </c>
      <c r="P87" s="45" t="b">
        <f t="shared" si="16"/>
        <v>1</v>
      </c>
      <c r="Q87" s="183" t="str">
        <f t="shared" si="17"/>
        <v>OK</v>
      </c>
      <c r="S87" s="410">
        <f t="shared" si="18"/>
        <v>1595.4911433172301</v>
      </c>
      <c r="T87" s="410">
        <f t="shared" si="19"/>
        <v>9.9999999999999922E-2</v>
      </c>
      <c r="AJ87" s="58">
        <f t="shared" si="20"/>
        <v>1595.4911433172301</v>
      </c>
      <c r="AK87" s="58">
        <f t="shared" si="21"/>
        <v>9.9999999999999922E-2</v>
      </c>
    </row>
    <row r="88" spans="1:37" ht="20.25" customHeight="1">
      <c r="A88" s="37">
        <f>SUBTOTAL(103,B$4:B88)</f>
        <v>56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83</v>
      </c>
      <c r="F88" s="42">
        <f t="shared" si="11"/>
        <v>5561.1842397336277</v>
      </c>
      <c r="G88" s="42">
        <f>P!AJ89</f>
        <v>96</v>
      </c>
      <c r="H88" s="42">
        <f>G88*P!AK89</f>
        <v>6432</v>
      </c>
      <c r="I88" s="42">
        <f>S!E87</f>
        <v>10</v>
      </c>
      <c r="J88" s="42">
        <f>I88*S!D87</f>
        <v>670.23529411764503</v>
      </c>
      <c r="K88" s="42">
        <f t="shared" si="12"/>
        <v>23</v>
      </c>
      <c r="L88" s="42">
        <f t="shared" si="13"/>
        <v>1541.0510543840173</v>
      </c>
      <c r="M88" s="43">
        <f>IF(ISERR((J88+H88)/(G88+I88)),P!AK89,(J88+H88)/(G88+I88))</f>
        <v>67.002219755826843</v>
      </c>
      <c r="N88" s="44">
        <f t="shared" si="14"/>
        <v>7102.235294117645</v>
      </c>
      <c r="O88" s="44">
        <f t="shared" si="15"/>
        <v>7102.235294117645</v>
      </c>
      <c r="P88" s="45" t="b">
        <f t="shared" si="16"/>
        <v>1</v>
      </c>
      <c r="Q88" s="183" t="str">
        <f t="shared" si="17"/>
        <v>OK</v>
      </c>
      <c r="S88" s="410">
        <f t="shared" si="18"/>
        <v>67.002219755826843</v>
      </c>
      <c r="T88" s="410">
        <f t="shared" si="19"/>
        <v>23</v>
      </c>
      <c r="AJ88" s="58">
        <f t="shared" si="20"/>
        <v>67.002219755826843</v>
      </c>
      <c r="AK88" s="58">
        <f t="shared" si="21"/>
        <v>23</v>
      </c>
    </row>
    <row r="89" spans="1:37" ht="20.25" customHeight="1">
      <c r="A89" s="37">
        <f>SUBTOTAL(103,B$4:B89)</f>
        <v>57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31.7</v>
      </c>
      <c r="F89" s="42">
        <f t="shared" si="11"/>
        <v>3178.5561241972559</v>
      </c>
      <c r="G89" s="42">
        <f>P!AJ90</f>
        <v>40</v>
      </c>
      <c r="H89" s="42">
        <f>G89*P!AK90</f>
        <v>4000</v>
      </c>
      <c r="I89" s="42">
        <f>S!E88</f>
        <v>3.6499999999999986</v>
      </c>
      <c r="J89" s="42">
        <f>I89*S!D88</f>
        <v>376.78154010126855</v>
      </c>
      <c r="K89" s="42">
        <f t="shared" si="12"/>
        <v>11.95</v>
      </c>
      <c r="L89" s="42">
        <f t="shared" si="13"/>
        <v>1198.2254159040128</v>
      </c>
      <c r="M89" s="43">
        <f>IF(ISERR((J89+H89)/(G89+I89)),P!AK90,(J89+H89)/(G89+I89))</f>
        <v>100.26990928067053</v>
      </c>
      <c r="N89" s="44">
        <f t="shared" si="14"/>
        <v>4376.7815401012685</v>
      </c>
      <c r="O89" s="44">
        <f t="shared" si="15"/>
        <v>4376.7815401012685</v>
      </c>
      <c r="P89" s="45" t="b">
        <f t="shared" si="16"/>
        <v>1</v>
      </c>
      <c r="Q89" s="183" t="str">
        <f t="shared" si="17"/>
        <v>OK</v>
      </c>
      <c r="S89" s="410">
        <f t="shared" si="18"/>
        <v>100.26990928067053</v>
      </c>
      <c r="T89" s="410">
        <f t="shared" si="19"/>
        <v>11.95</v>
      </c>
      <c r="AJ89" s="58">
        <f t="shared" si="20"/>
        <v>100.26990928067053</v>
      </c>
      <c r="AK89" s="58">
        <f t="shared" si="21"/>
        <v>11.95</v>
      </c>
    </row>
    <row r="90" spans="1:37" ht="20.25" customHeight="1">
      <c r="A90" s="37">
        <f>SUBTOTAL(103,B$4:B90)</f>
        <v>58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1265</v>
      </c>
      <c r="F90" s="42">
        <f t="shared" si="11"/>
        <v>14309.096153846154</v>
      </c>
      <c r="G90" s="42">
        <f>P!AJ91</f>
        <v>1300</v>
      </c>
      <c r="H90" s="42">
        <f>G90*P!AK91</f>
        <v>14705</v>
      </c>
      <c r="I90" s="42">
        <f>S!E89</f>
        <v>0</v>
      </c>
      <c r="J90" s="42">
        <f>I90*S!D89</f>
        <v>0</v>
      </c>
      <c r="K90" s="42">
        <f t="shared" si="12"/>
        <v>35</v>
      </c>
      <c r="L90" s="42">
        <f t="shared" si="13"/>
        <v>395.90384615384613</v>
      </c>
      <c r="M90" s="43">
        <f>IF(ISERR((J90+H90)/(G90+I90)),P!AK91,(J90+H90)/(G90+I90))</f>
        <v>11.311538461538461</v>
      </c>
      <c r="N90" s="44">
        <f t="shared" si="14"/>
        <v>14705</v>
      </c>
      <c r="O90" s="44">
        <f t="shared" si="15"/>
        <v>14705</v>
      </c>
      <c r="P90" s="45" t="b">
        <f t="shared" si="16"/>
        <v>1</v>
      </c>
      <c r="Q90" s="183" t="str">
        <f t="shared" si="17"/>
        <v>OK</v>
      </c>
      <c r="S90" s="410">
        <f t="shared" si="18"/>
        <v>11.311538461538461</v>
      </c>
      <c r="T90" s="410">
        <f t="shared" si="19"/>
        <v>35</v>
      </c>
      <c r="AJ90" s="58">
        <f t="shared" si="20"/>
        <v>11.311538461538461</v>
      </c>
      <c r="AK90" s="58">
        <f t="shared" si="21"/>
        <v>35</v>
      </c>
    </row>
    <row r="91" spans="1:37" ht="20.25" hidden="1" customHeight="1">
      <c r="A91" s="40">
        <f>SUBTOTAL(103,B$4:B91)</f>
        <v>58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hidden="1" customHeight="1">
      <c r="A92" s="40">
        <f>SUBTOTAL(103,B$4:B92)</f>
        <v>58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hidden="1" customHeight="1">
      <c r="A93" s="37">
        <f>SUBTOTAL(103,B$4:B93)</f>
        <v>58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hidden="1" customHeight="1">
      <c r="A94" s="40">
        <f>SUBTOTAL(103,B$4:B94)</f>
        <v>58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58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59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14</v>
      </c>
      <c r="F96" s="42">
        <f t="shared" si="11"/>
        <v>1255.0055915215328</v>
      </c>
      <c r="G96" s="42">
        <f>P!AJ97</f>
        <v>13</v>
      </c>
      <c r="H96" s="42">
        <f>G96*P!AK97</f>
        <v>1170</v>
      </c>
      <c r="I96" s="42">
        <f>S!E95</f>
        <v>1</v>
      </c>
      <c r="J96" s="42">
        <f>I96*S!D95</f>
        <v>85.005591521532878</v>
      </c>
      <c r="K96" s="42">
        <f t="shared" si="12"/>
        <v>0</v>
      </c>
      <c r="L96" s="42">
        <f t="shared" si="13"/>
        <v>0</v>
      </c>
      <c r="M96" s="43">
        <f>IF(ISERR((J96+H96)/(G96+I96)),P!AK97,(J96+H96)/(G96+I96))</f>
        <v>89.643256537252341</v>
      </c>
      <c r="N96" s="44">
        <f t="shared" si="14"/>
        <v>1255.0055915215328</v>
      </c>
      <c r="O96" s="44">
        <f t="shared" si="15"/>
        <v>1255.0055915215328</v>
      </c>
      <c r="P96" s="45" t="b">
        <f t="shared" si="16"/>
        <v>1</v>
      </c>
      <c r="Q96" s="183" t="str">
        <f t="shared" si="17"/>
        <v>OK</v>
      </c>
      <c r="S96" s="410">
        <f t="shared" si="18"/>
        <v>89.643256537252341</v>
      </c>
      <c r="T96" s="410">
        <f t="shared" si="19"/>
        <v>0</v>
      </c>
      <c r="AJ96" s="58">
        <f t="shared" si="20"/>
        <v>89.643256537252341</v>
      </c>
      <c r="AK96" s="58">
        <f t="shared" si="21"/>
        <v>0</v>
      </c>
    </row>
    <row r="97" spans="1:37" ht="20.25" hidden="1" customHeight="1">
      <c r="A97" s="40">
        <f>SUBTOTAL(103,B$4:B97)</f>
        <v>59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hidden="1" customHeight="1">
      <c r="A98" s="40">
        <f>SUBTOTAL(103,B$4:B98)</f>
        <v>59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520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520</v>
      </c>
      <c r="T98" s="410">
        <f t="shared" si="19"/>
        <v>0</v>
      </c>
      <c r="AJ98" s="58">
        <f t="shared" si="20"/>
        <v>520</v>
      </c>
      <c r="AK98" s="58">
        <f t="shared" si="21"/>
        <v>0</v>
      </c>
    </row>
    <row r="99" spans="1:37" ht="20.25" customHeight="1">
      <c r="A99" s="40">
        <f>SUBTOTAL(103,B$4:B99)</f>
        <v>60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3</v>
      </c>
      <c r="F99" s="42">
        <f t="shared" si="11"/>
        <v>530</v>
      </c>
      <c r="G99" s="42">
        <f>P!AJ100</f>
        <v>1</v>
      </c>
      <c r="H99" s="42">
        <f>G99*P!AK100</f>
        <v>175</v>
      </c>
      <c r="I99" s="42">
        <f>S!E98</f>
        <v>2</v>
      </c>
      <c r="J99" s="42">
        <f>I99*S!D98</f>
        <v>355</v>
      </c>
      <c r="K99" s="42">
        <f t="shared" si="12"/>
        <v>0</v>
      </c>
      <c r="L99" s="42">
        <f t="shared" si="13"/>
        <v>0</v>
      </c>
      <c r="M99" s="43">
        <f>IF(ISERR((J99+H99)/(G99+I99)),P!AK100,(J99+H99)/(G99+I99))</f>
        <v>176.66666666666666</v>
      </c>
      <c r="N99" s="44">
        <f t="shared" si="14"/>
        <v>530</v>
      </c>
      <c r="O99" s="44">
        <f t="shared" si="15"/>
        <v>530</v>
      </c>
      <c r="P99" s="45" t="b">
        <f t="shared" si="16"/>
        <v>1</v>
      </c>
      <c r="Q99" s="183" t="str">
        <f t="shared" si="17"/>
        <v>OK</v>
      </c>
      <c r="S99" s="410">
        <f t="shared" si="18"/>
        <v>176.66666666666666</v>
      </c>
      <c r="T99" s="410">
        <f t="shared" si="19"/>
        <v>0</v>
      </c>
      <c r="AJ99" s="58">
        <f t="shared" si="20"/>
        <v>176.66666666666666</v>
      </c>
      <c r="AK99" s="58">
        <f t="shared" si="21"/>
        <v>0</v>
      </c>
    </row>
    <row r="100" spans="1:37" ht="20.25" customHeight="1">
      <c r="A100" s="37">
        <f>SUBTOTAL(103,B$4:B100)</f>
        <v>61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0.2</v>
      </c>
      <c r="F100" s="42">
        <f t="shared" si="11"/>
        <v>119.34149698807269</v>
      </c>
      <c r="G100" s="42">
        <f>P!AJ101</f>
        <v>0.45</v>
      </c>
      <c r="H100" s="42">
        <f>G100*P!AK101</f>
        <v>270</v>
      </c>
      <c r="I100" s="42">
        <f>S!E99</f>
        <v>0.29999999999999982</v>
      </c>
      <c r="J100" s="42">
        <f>I100*S!D99</f>
        <v>177.53061370527243</v>
      </c>
      <c r="K100" s="42">
        <f t="shared" si="12"/>
        <v>0.54999999999999982</v>
      </c>
      <c r="L100" s="42">
        <f t="shared" si="13"/>
        <v>328.18911671719979</v>
      </c>
      <c r="M100" s="43">
        <f>IF(ISERR((J100+H100)/(G100+I100)),P!AK101,(J100+H100)/(G100+I100))</f>
        <v>596.70748494036343</v>
      </c>
      <c r="N100" s="44">
        <f t="shared" si="14"/>
        <v>447.53061370527246</v>
      </c>
      <c r="O100" s="44">
        <f t="shared" si="15"/>
        <v>447.53061370527246</v>
      </c>
      <c r="P100" s="45" t="b">
        <f t="shared" si="16"/>
        <v>1</v>
      </c>
      <c r="Q100" s="183" t="str">
        <f t="shared" si="17"/>
        <v>OK</v>
      </c>
      <c r="S100" s="410">
        <f t="shared" si="18"/>
        <v>596.70748494036343</v>
      </c>
      <c r="T100" s="410">
        <f t="shared" si="19"/>
        <v>0.54999999999999982</v>
      </c>
      <c r="AJ100" s="58">
        <f t="shared" si="20"/>
        <v>596.70748494036343</v>
      </c>
      <c r="AK100" s="58">
        <f t="shared" si="21"/>
        <v>0.54999999999999982</v>
      </c>
    </row>
    <row r="101" spans="1:37" ht="20.25" customHeight="1">
      <c r="A101" s="37">
        <f>SUBTOTAL(103,B$4:B101)</f>
        <v>62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3</v>
      </c>
      <c r="F101" s="42">
        <f t="shared" si="11"/>
        <v>525</v>
      </c>
      <c r="G101" s="42">
        <f>P!AJ102</f>
        <v>3</v>
      </c>
      <c r="H101" s="42">
        <f>G101*P!AK102</f>
        <v>525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175</v>
      </c>
      <c r="N101" s="44">
        <f t="shared" si="14"/>
        <v>525</v>
      </c>
      <c r="O101" s="44">
        <f t="shared" si="15"/>
        <v>525</v>
      </c>
      <c r="P101" s="45" t="b">
        <f t="shared" si="16"/>
        <v>1</v>
      </c>
      <c r="Q101" s="183" t="str">
        <f t="shared" si="17"/>
        <v>OK</v>
      </c>
      <c r="S101" s="410">
        <f t="shared" si="18"/>
        <v>175</v>
      </c>
      <c r="T101" s="410">
        <f t="shared" si="19"/>
        <v>0</v>
      </c>
      <c r="AJ101" s="58">
        <f t="shared" si="20"/>
        <v>175</v>
      </c>
      <c r="AK101" s="58">
        <f t="shared" si="21"/>
        <v>0</v>
      </c>
    </row>
    <row r="102" spans="1:37" ht="20.25" hidden="1" customHeight="1">
      <c r="A102" s="40">
        <f>SUBTOTAL(103,B$4:B102)</f>
        <v>62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customHeight="1">
      <c r="A103" s="40">
        <f>SUBTOTAL(103,B$4:B103)</f>
        <v>63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5</v>
      </c>
      <c r="F103" s="42">
        <f t="shared" si="11"/>
        <v>500</v>
      </c>
      <c r="G103" s="42">
        <f>P!AJ104</f>
        <v>5</v>
      </c>
      <c r="H103" s="42">
        <f>G103*P!AK104</f>
        <v>500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100</v>
      </c>
      <c r="N103" s="44">
        <f t="shared" si="14"/>
        <v>500</v>
      </c>
      <c r="O103" s="44">
        <f t="shared" si="15"/>
        <v>500</v>
      </c>
      <c r="P103" s="45" t="b">
        <f t="shared" si="16"/>
        <v>1</v>
      </c>
      <c r="Q103" s="183" t="str">
        <f t="shared" si="17"/>
        <v>OK</v>
      </c>
      <c r="S103" s="410">
        <f t="shared" si="18"/>
        <v>100</v>
      </c>
      <c r="T103" s="410">
        <f t="shared" si="19"/>
        <v>0</v>
      </c>
      <c r="AJ103" s="58">
        <f t="shared" si="20"/>
        <v>100</v>
      </c>
      <c r="AK103" s="58">
        <f t="shared" si="21"/>
        <v>0</v>
      </c>
    </row>
    <row r="104" spans="1:37" ht="20.25" hidden="1" customHeight="1">
      <c r="A104" s="37">
        <f>SUBTOTAL(103,B$4:B104)</f>
        <v>63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customHeight="1">
      <c r="A105" s="37">
        <f>SUBTOTAL(103,B$4:B105)</f>
        <v>64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13</v>
      </c>
      <c r="F105" s="42">
        <f t="shared" si="11"/>
        <v>2080</v>
      </c>
      <c r="G105" s="42">
        <f>P!AJ106</f>
        <v>12</v>
      </c>
      <c r="H105" s="42">
        <f>G105*P!AK106</f>
        <v>1920</v>
      </c>
      <c r="I105" s="42">
        <f>S!E104</f>
        <v>1</v>
      </c>
      <c r="J105" s="42">
        <f>I105*S!D104</f>
        <v>160</v>
      </c>
      <c r="K105" s="42">
        <f t="shared" si="12"/>
        <v>0</v>
      </c>
      <c r="L105" s="42">
        <f t="shared" si="13"/>
        <v>0</v>
      </c>
      <c r="M105" s="43">
        <f>IF(ISERR((J105+H105)/(G105+I105)),P!AK106,(J105+H105)/(G105+I105))</f>
        <v>160</v>
      </c>
      <c r="N105" s="44">
        <f t="shared" si="14"/>
        <v>2080</v>
      </c>
      <c r="O105" s="44">
        <f t="shared" si="15"/>
        <v>2080</v>
      </c>
      <c r="P105" s="45" t="b">
        <f t="shared" si="16"/>
        <v>1</v>
      </c>
      <c r="Q105" s="183" t="str">
        <f t="shared" si="17"/>
        <v>OK</v>
      </c>
      <c r="S105" s="410">
        <f t="shared" si="18"/>
        <v>160</v>
      </c>
      <c r="T105" s="410">
        <f t="shared" si="19"/>
        <v>0</v>
      </c>
      <c r="AJ105" s="58">
        <f t="shared" si="20"/>
        <v>160</v>
      </c>
      <c r="AK105" s="58">
        <f t="shared" si="21"/>
        <v>0</v>
      </c>
    </row>
    <row r="106" spans="1:37" ht="20.25" hidden="1" customHeight="1">
      <c r="A106" s="37">
        <f>SUBTOTAL(103,B$4:B106)</f>
        <v>64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168.33333333333334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168.33333333333334</v>
      </c>
      <c r="T106" s="410">
        <f t="shared" si="19"/>
        <v>0</v>
      </c>
      <c r="AJ106" s="58">
        <f t="shared" si="20"/>
        <v>168.33333333333334</v>
      </c>
      <c r="AK106" s="58">
        <f t="shared" si="21"/>
        <v>0</v>
      </c>
    </row>
    <row r="107" spans="1:37" ht="20.25" customHeight="1">
      <c r="A107" s="37">
        <f>SUBTOTAL(103,B$4:B107)</f>
        <v>65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0</v>
      </c>
      <c r="F107" s="42">
        <f t="shared" si="11"/>
        <v>0</v>
      </c>
      <c r="G107" s="42">
        <f>P!AJ108</f>
        <v>0</v>
      </c>
      <c r="H107" s="42">
        <f>G107*P!AK108</f>
        <v>0</v>
      </c>
      <c r="I107" s="42">
        <f>S!E106</f>
        <v>1</v>
      </c>
      <c r="J107" s="42">
        <f>I107*S!D106</f>
        <v>161.11111111111111</v>
      </c>
      <c r="K107" s="42">
        <f t="shared" si="12"/>
        <v>1</v>
      </c>
      <c r="L107" s="42">
        <f t="shared" si="13"/>
        <v>161.11111111111111</v>
      </c>
      <c r="M107" s="43">
        <f>IF(ISERR((J107+H107)/(G107+I107)),P!AK108,(J107+H107)/(G107+I107))</f>
        <v>161.11111111111111</v>
      </c>
      <c r="N107" s="44">
        <f t="shared" si="14"/>
        <v>161.11111111111111</v>
      </c>
      <c r="O107" s="44">
        <f t="shared" si="15"/>
        <v>161.11111111111111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1</v>
      </c>
      <c r="AJ107" s="58">
        <f t="shared" si="20"/>
        <v>161.11111111111111</v>
      </c>
      <c r="AK107" s="58">
        <f t="shared" si="21"/>
        <v>1</v>
      </c>
    </row>
    <row r="108" spans="1:37" ht="20.25" customHeight="1">
      <c r="A108" s="37">
        <f>SUBTOTAL(103,B$4:B108)</f>
        <v>66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1.43</v>
      </c>
      <c r="F108" s="42">
        <f t="shared" si="11"/>
        <v>759.6875</v>
      </c>
      <c r="G108" s="42">
        <f>P!AJ109</f>
        <v>1</v>
      </c>
      <c r="H108" s="42">
        <f>G108*P!AK109</f>
        <v>340</v>
      </c>
      <c r="I108" s="42">
        <f>S!E107</f>
        <v>0.60000000000000009</v>
      </c>
      <c r="J108" s="42">
        <f>I108*S!D107</f>
        <v>510.00000000000006</v>
      </c>
      <c r="K108" s="42">
        <f t="shared" si="12"/>
        <v>0.17000000000000015</v>
      </c>
      <c r="L108" s="42">
        <f t="shared" si="13"/>
        <v>90.312500000000085</v>
      </c>
      <c r="M108" s="43">
        <f>IF(ISERR((J108+H108)/(G108+I108)),P!AK109,(J108+H108)/(G108+I108))</f>
        <v>531.25</v>
      </c>
      <c r="N108" s="44">
        <f t="shared" si="14"/>
        <v>850</v>
      </c>
      <c r="O108" s="44">
        <f t="shared" si="15"/>
        <v>850.00000000000011</v>
      </c>
      <c r="P108" s="45" t="b">
        <f t="shared" si="16"/>
        <v>1</v>
      </c>
      <c r="Q108" s="183" t="str">
        <f t="shared" si="17"/>
        <v>OK</v>
      </c>
      <c r="S108" s="410">
        <f t="shared" si="18"/>
        <v>531.25</v>
      </c>
      <c r="T108" s="410">
        <f t="shared" si="19"/>
        <v>0.17000000000000015</v>
      </c>
      <c r="AJ108" s="58">
        <f t="shared" si="20"/>
        <v>531.25</v>
      </c>
      <c r="AK108" s="58">
        <f t="shared" si="21"/>
        <v>0.17000000000000015</v>
      </c>
    </row>
    <row r="109" spans="1:37" ht="20.25" hidden="1" customHeight="1">
      <c r="A109" s="40">
        <f>SUBTOTAL(103,B$4:B109)</f>
        <v>66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67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0</v>
      </c>
      <c r="H110" s="42">
        <f>G110*P!AK111</f>
        <v>0</v>
      </c>
      <c r="I110" s="42">
        <f>S!E109</f>
        <v>2</v>
      </c>
      <c r="J110" s="42">
        <f>I110*S!D109</f>
        <v>541.42857142857144</v>
      </c>
      <c r="K110" s="42">
        <f t="shared" si="12"/>
        <v>2</v>
      </c>
      <c r="L110" s="42">
        <f t="shared" si="13"/>
        <v>541.42857142857144</v>
      </c>
      <c r="M110" s="43">
        <f>IF(ISERR((J110+H110)/(G110+I110)),P!AK111,(J110+H110)/(G110+I110))</f>
        <v>270.71428571428572</v>
      </c>
      <c r="N110" s="44">
        <f t="shared" si="14"/>
        <v>541.42857142857144</v>
      </c>
      <c r="O110" s="44">
        <f t="shared" si="15"/>
        <v>541.42857142857144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270.71428571428572</v>
      </c>
      <c r="T110" s="410">
        <f t="shared" si="19"/>
        <v>2</v>
      </c>
      <c r="AJ110" s="58">
        <f t="shared" si="20"/>
        <v>270.71428571428572</v>
      </c>
      <c r="AK110" s="58">
        <f t="shared" si="21"/>
        <v>2</v>
      </c>
    </row>
    <row r="111" spans="1:37" ht="20.25" hidden="1" customHeight="1">
      <c r="A111" s="40">
        <f>SUBTOTAL(103,B$4:B111)</f>
        <v>67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hidden="1" customHeight="1">
      <c r="A112" s="40">
        <f>SUBTOTAL(103,B$4:B112)</f>
        <v>67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68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0.99</v>
      </c>
      <c r="F113" s="42">
        <f t="shared" si="11"/>
        <v>2075</v>
      </c>
      <c r="G113" s="42">
        <f>P!AJ114</f>
        <v>0.99</v>
      </c>
      <c r="H113" s="42">
        <f>G113*P!AK114</f>
        <v>2075</v>
      </c>
      <c r="I113" s="42">
        <f>S!E112</f>
        <v>0</v>
      </c>
      <c r="J113" s="42">
        <f>I113*S!D112</f>
        <v>0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2095.9595959595958</v>
      </c>
      <c r="N113" s="44">
        <f t="shared" si="14"/>
        <v>2075</v>
      </c>
      <c r="O113" s="44">
        <f t="shared" si="15"/>
        <v>2075</v>
      </c>
      <c r="P113" s="45" t="b">
        <f t="shared" si="16"/>
        <v>1</v>
      </c>
      <c r="Q113" s="183" t="str">
        <f t="shared" si="17"/>
        <v>OK</v>
      </c>
      <c r="S113" s="410">
        <f t="shared" si="18"/>
        <v>2095.9595959595958</v>
      </c>
      <c r="T113" s="410">
        <f t="shared" si="19"/>
        <v>0</v>
      </c>
      <c r="AJ113" s="58">
        <f t="shared" si="20"/>
        <v>2095.9595959595958</v>
      </c>
      <c r="AK113" s="58">
        <f t="shared" si="21"/>
        <v>0</v>
      </c>
    </row>
    <row r="114" spans="1:37" ht="20.25" hidden="1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353</v>
      </c>
      <c r="F117" s="42">
        <f t="shared" si="11"/>
        <v>3172.4997217821342</v>
      </c>
      <c r="G117" s="42">
        <f>P!AJ118</f>
        <v>294</v>
      </c>
      <c r="H117" s="42">
        <f>G117*P!AK118</f>
        <v>2660</v>
      </c>
      <c r="I117" s="42">
        <f>S!E116</f>
        <v>136</v>
      </c>
      <c r="J117" s="42">
        <f>I117*S!D116</f>
        <v>1204.5180746921176</v>
      </c>
      <c r="K117" s="42">
        <f t="shared" si="12"/>
        <v>77</v>
      </c>
      <c r="L117" s="42">
        <f t="shared" si="13"/>
        <v>692.01835290998395</v>
      </c>
      <c r="M117" s="43">
        <f>IF(ISERR((J117+H117)/(G117+I117)),P!AK118,(J117+H117)/(G117+I117))</f>
        <v>8.9872513364932978</v>
      </c>
      <c r="N117" s="44">
        <f t="shared" si="14"/>
        <v>3864.5180746921178</v>
      </c>
      <c r="O117" s="44">
        <f t="shared" si="15"/>
        <v>3864.5180746921183</v>
      </c>
      <c r="P117" s="45" t="b">
        <f t="shared" si="16"/>
        <v>1</v>
      </c>
      <c r="Q117" s="183" t="str">
        <f t="shared" si="17"/>
        <v>OK</v>
      </c>
      <c r="S117" s="410">
        <f t="shared" si="18"/>
        <v>8.9872513364932978</v>
      </c>
      <c r="T117" s="410">
        <f t="shared" si="19"/>
        <v>77</v>
      </c>
      <c r="AJ117" s="58">
        <f t="shared" si="20"/>
        <v>8.9872513364932978</v>
      </c>
      <c r="AK117" s="58">
        <f t="shared" si="21"/>
        <v>77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180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180</v>
      </c>
      <c r="T119" s="410">
        <f t="shared" si="19"/>
        <v>0</v>
      </c>
      <c r="AJ119" s="58">
        <f t="shared" si="20"/>
        <v>180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customHeight="1">
      <c r="A121" s="40">
        <f>SUBTOTAL(103,B$4:B121)</f>
        <v>70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2</v>
      </c>
      <c r="F121" s="42">
        <f t="shared" si="11"/>
        <v>290</v>
      </c>
      <c r="G121" s="42">
        <f>P!AJ122</f>
        <v>2</v>
      </c>
      <c r="H121" s="42">
        <f>G121*P!AK122</f>
        <v>290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145</v>
      </c>
      <c r="N121" s="44">
        <f t="shared" si="14"/>
        <v>290</v>
      </c>
      <c r="O121" s="44">
        <f t="shared" si="15"/>
        <v>290</v>
      </c>
      <c r="P121" s="45" t="b">
        <f t="shared" si="16"/>
        <v>1</v>
      </c>
      <c r="Q121" s="183" t="str">
        <f t="shared" si="17"/>
        <v>OK</v>
      </c>
      <c r="S121" s="410">
        <f t="shared" si="18"/>
        <v>145</v>
      </c>
      <c r="T121" s="410">
        <f t="shared" si="19"/>
        <v>0</v>
      </c>
      <c r="AJ121" s="58">
        <f t="shared" si="20"/>
        <v>145</v>
      </c>
      <c r="AK121" s="58">
        <f t="shared" si="21"/>
        <v>0</v>
      </c>
    </row>
    <row r="122" spans="1:37" ht="20.25" hidden="1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0</v>
      </c>
      <c r="F122" s="42">
        <f t="shared" si="11"/>
        <v>0</v>
      </c>
      <c r="G122" s="42">
        <f>P!AJ123</f>
        <v>0</v>
      </c>
      <c r="H122" s="42">
        <f>G122*P!AK123</f>
        <v>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0</v>
      </c>
      <c r="O122" s="44">
        <f t="shared" si="15"/>
        <v>0</v>
      </c>
      <c r="P122" s="45" t="b">
        <f t="shared" si="16"/>
        <v>1</v>
      </c>
      <c r="Q122" s="183" t="str">
        <f t="shared" si="17"/>
        <v>×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6.583333333333333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6.583333333333333</v>
      </c>
      <c r="T123" s="410">
        <f t="shared" si="19"/>
        <v>0</v>
      </c>
      <c r="AJ123" s="58">
        <f t="shared" si="20"/>
        <v>6.583333333333333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2.8580000000000001</v>
      </c>
      <c r="F124" s="42">
        <f t="shared" si="11"/>
        <v>2900</v>
      </c>
      <c r="G124" s="42">
        <f>P!AJ125</f>
        <v>1.82</v>
      </c>
      <c r="H124" s="42">
        <f>G124*P!AK125</f>
        <v>1705</v>
      </c>
      <c r="I124" s="42">
        <f>S!E123</f>
        <v>1.038</v>
      </c>
      <c r="J124" s="42">
        <f>I124*S!D123</f>
        <v>1195</v>
      </c>
      <c r="K124" s="42">
        <f t="shared" si="12"/>
        <v>0</v>
      </c>
      <c r="L124" s="42">
        <f t="shared" si="13"/>
        <v>0</v>
      </c>
      <c r="M124" s="43">
        <f>IF(ISERR((J124+H124)/(G124+I124)),P!AK125,(J124+H124)/(G124+I124))</f>
        <v>1014.6955913226031</v>
      </c>
      <c r="N124" s="44">
        <f t="shared" si="14"/>
        <v>2900</v>
      </c>
      <c r="O124" s="44">
        <f t="shared" si="15"/>
        <v>2900</v>
      </c>
      <c r="P124" s="45" t="b">
        <f t="shared" si="16"/>
        <v>1</v>
      </c>
      <c r="Q124" s="183" t="str">
        <f t="shared" si="17"/>
        <v>OK</v>
      </c>
      <c r="S124" s="410">
        <f t="shared" si="18"/>
        <v>1014.6955913226031</v>
      </c>
      <c r="T124" s="410">
        <f t="shared" si="19"/>
        <v>0</v>
      </c>
      <c r="AJ124" s="58">
        <f t="shared" si="20"/>
        <v>1014.6955913226031</v>
      </c>
      <c r="AK124" s="58">
        <f t="shared" si="21"/>
        <v>0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512</v>
      </c>
      <c r="F125" s="42">
        <f t="shared" si="11"/>
        <v>5120</v>
      </c>
      <c r="G125" s="42">
        <f>P!AJ126</f>
        <v>512</v>
      </c>
      <c r="H125" s="42">
        <f>G125*P!AK126</f>
        <v>5120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10</v>
      </c>
      <c r="N125" s="44">
        <f t="shared" si="14"/>
        <v>5120</v>
      </c>
      <c r="O125" s="44">
        <f t="shared" si="15"/>
        <v>5120</v>
      </c>
      <c r="P125" s="45" t="b">
        <f t="shared" si="16"/>
        <v>1</v>
      </c>
      <c r="Q125" s="183" t="str">
        <f t="shared" si="17"/>
        <v>OK</v>
      </c>
      <c r="S125" s="410">
        <f t="shared" si="18"/>
        <v>10</v>
      </c>
      <c r="T125" s="410">
        <f t="shared" si="19"/>
        <v>0</v>
      </c>
      <c r="AJ125" s="58">
        <f t="shared" si="20"/>
        <v>10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30.249999999999996</v>
      </c>
      <c r="F127" s="42">
        <f t="shared" si="11"/>
        <v>3312.9999999999995</v>
      </c>
      <c r="G127" s="42">
        <f>P!AJ128</f>
        <v>30.25</v>
      </c>
      <c r="H127" s="42">
        <f>G127*P!AK128</f>
        <v>3313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109.52066115702479</v>
      </c>
      <c r="N127" s="44">
        <f t="shared" si="14"/>
        <v>3313</v>
      </c>
      <c r="O127" s="44">
        <f t="shared" si="15"/>
        <v>3312.9999999999995</v>
      </c>
      <c r="P127" s="45" t="b">
        <f t="shared" si="16"/>
        <v>1</v>
      </c>
      <c r="Q127" s="183" t="str">
        <f t="shared" si="17"/>
        <v>OK</v>
      </c>
      <c r="S127" s="410">
        <f t="shared" si="18"/>
        <v>109.52066115702479</v>
      </c>
      <c r="T127" s="410">
        <f t="shared" si="19"/>
        <v>0</v>
      </c>
      <c r="AJ127" s="58">
        <f t="shared" si="20"/>
        <v>109.52066115702479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363.28358208955223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363.28358208955223</v>
      </c>
      <c r="T128" s="410">
        <f t="shared" si="19"/>
        <v>0</v>
      </c>
      <c r="AJ128" s="58">
        <f t="shared" si="20"/>
        <v>363.28358208955223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1</v>
      </c>
      <c r="F129" s="42">
        <f t="shared" si="11"/>
        <v>380</v>
      </c>
      <c r="G129" s="42">
        <f>P!AJ130</f>
        <v>1</v>
      </c>
      <c r="H129" s="42">
        <f>G129*P!AK130</f>
        <v>380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380</v>
      </c>
      <c r="N129" s="44">
        <f t="shared" si="14"/>
        <v>380</v>
      </c>
      <c r="O129" s="44">
        <f t="shared" si="15"/>
        <v>380</v>
      </c>
      <c r="P129" s="45" t="b">
        <f t="shared" si="16"/>
        <v>1</v>
      </c>
      <c r="Q129" s="183" t="str">
        <f t="shared" si="17"/>
        <v>OK</v>
      </c>
      <c r="S129" s="410">
        <f t="shared" si="18"/>
        <v>380</v>
      </c>
      <c r="T129" s="410">
        <f t="shared" si="19"/>
        <v>0</v>
      </c>
      <c r="AJ129" s="58">
        <f t="shared" si="20"/>
        <v>380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1</v>
      </c>
      <c r="F130" s="42">
        <f t="shared" si="11"/>
        <v>300</v>
      </c>
      <c r="G130" s="42">
        <f>P!AJ131</f>
        <v>1</v>
      </c>
      <c r="H130" s="42">
        <f>G130*P!AK131</f>
        <v>300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300</v>
      </c>
      <c r="N130" s="44">
        <f t="shared" si="14"/>
        <v>300</v>
      </c>
      <c r="O130" s="44">
        <f t="shared" si="15"/>
        <v>300</v>
      </c>
      <c r="P130" s="45" t="b">
        <f t="shared" si="16"/>
        <v>1</v>
      </c>
      <c r="Q130" s="183" t="str">
        <f t="shared" si="17"/>
        <v>OK</v>
      </c>
      <c r="S130" s="410">
        <f t="shared" si="18"/>
        <v>300</v>
      </c>
      <c r="T130" s="410">
        <f t="shared" si="19"/>
        <v>0</v>
      </c>
      <c r="AJ130" s="58">
        <f t="shared" si="20"/>
        <v>300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11</v>
      </c>
      <c r="F131" s="42">
        <f t="shared" si="11"/>
        <v>1150</v>
      </c>
      <c r="G131" s="42">
        <f>P!AJ132</f>
        <v>11</v>
      </c>
      <c r="H131" s="42">
        <f>G131*P!AK132</f>
        <v>1150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104.54545454545455</v>
      </c>
      <c r="N131" s="44">
        <f t="shared" si="14"/>
        <v>1150</v>
      </c>
      <c r="O131" s="44">
        <f t="shared" si="15"/>
        <v>1150</v>
      </c>
      <c r="P131" s="45" t="b">
        <f t="shared" si="16"/>
        <v>1</v>
      </c>
      <c r="Q131" s="183" t="str">
        <f t="shared" si="17"/>
        <v>OK</v>
      </c>
      <c r="S131" s="410">
        <f t="shared" si="18"/>
        <v>104.54545454545455</v>
      </c>
      <c r="T131" s="410">
        <f t="shared" si="19"/>
        <v>0</v>
      </c>
      <c r="AJ131" s="58">
        <f t="shared" si="20"/>
        <v>104.54545454545455</v>
      </c>
      <c r="AK131" s="58">
        <f t="shared" si="21"/>
        <v>0</v>
      </c>
    </row>
    <row r="132" spans="1:37" ht="20.25" hidden="1" customHeight="1">
      <c r="A132" s="40">
        <f>SUBTOTAL(103,B$4:B132)</f>
        <v>76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hidden="1" customHeight="1">
      <c r="A133" s="40">
        <f>SUBTOTAL(103,B$4:B133)</f>
        <v>76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77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15.049999999999999</v>
      </c>
      <c r="F134" s="42">
        <f t="shared" si="22"/>
        <v>2811</v>
      </c>
      <c r="G134" s="42">
        <f>P!AJ135</f>
        <v>15.049999999999999</v>
      </c>
      <c r="H134" s="42">
        <f>G134*P!AK135</f>
        <v>2811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186.77740863787378</v>
      </c>
      <c r="N134" s="44">
        <f t="shared" si="25"/>
        <v>2811</v>
      </c>
      <c r="O134" s="44">
        <f t="shared" si="26"/>
        <v>2811</v>
      </c>
      <c r="P134" s="45" t="b">
        <f t="shared" si="27"/>
        <v>1</v>
      </c>
      <c r="Q134" s="183" t="str">
        <f t="shared" si="28"/>
        <v>OK</v>
      </c>
      <c r="S134" s="410">
        <f t="shared" si="29"/>
        <v>186.77740863787378</v>
      </c>
      <c r="T134" s="410">
        <f t="shared" si="30"/>
        <v>0</v>
      </c>
      <c r="AJ134" s="58">
        <f t="shared" si="31"/>
        <v>186.77740863787378</v>
      </c>
      <c r="AK134" s="58">
        <f t="shared" si="32"/>
        <v>0</v>
      </c>
    </row>
    <row r="135" spans="1:37" ht="20.25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15</v>
      </c>
      <c r="F135" s="42">
        <f t="shared" si="22"/>
        <v>900</v>
      </c>
      <c r="G135" s="42">
        <f>P!AJ136</f>
        <v>15</v>
      </c>
      <c r="H135" s="42">
        <f>G135*P!AK136</f>
        <v>900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900</v>
      </c>
      <c r="O135" s="44">
        <f t="shared" si="26"/>
        <v>900</v>
      </c>
      <c r="P135" s="45" t="b">
        <f t="shared" si="27"/>
        <v>1</v>
      </c>
      <c r="Q135" s="183" t="str">
        <f t="shared" si="28"/>
        <v>OK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hidden="1" customHeight="1">
      <c r="A137" s="40">
        <f>SUBTOTAL(103,B$4:B137)</f>
        <v>78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hidden="1" customHeight="1">
      <c r="A138" s="40">
        <f>SUBTOTAL(103,B$4:B138)</f>
        <v>78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hidden="1" customHeight="1">
      <c r="A139" s="40">
        <f>SUBTOTAL(103,B$4:B139)</f>
        <v>78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hidden="1" customHeight="1">
      <c r="A140" s="40">
        <f>SUBTOTAL(103,B$4:B140)</f>
        <v>78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hidden="1" customHeight="1">
      <c r="A141" s="40">
        <f>SUBTOTAL(103,B$4:B141)</f>
        <v>78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79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76</v>
      </c>
      <c r="F142" s="42">
        <f t="shared" si="22"/>
        <v>2225</v>
      </c>
      <c r="G142" s="42">
        <f>P!AJ143</f>
        <v>76</v>
      </c>
      <c r="H142" s="42">
        <f>G142*P!AK143</f>
        <v>2225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29.276315789473685</v>
      </c>
      <c r="N142" s="44">
        <f t="shared" si="25"/>
        <v>2225</v>
      </c>
      <c r="O142" s="44">
        <f t="shared" si="26"/>
        <v>2225</v>
      </c>
      <c r="P142" s="45" t="b">
        <f t="shared" si="27"/>
        <v>1</v>
      </c>
      <c r="Q142" s="183" t="str">
        <f t="shared" si="28"/>
        <v>OK</v>
      </c>
      <c r="S142" s="410">
        <f t="shared" si="29"/>
        <v>29.276315789473685</v>
      </c>
      <c r="T142" s="410">
        <f t="shared" si="30"/>
        <v>0</v>
      </c>
      <c r="AJ142" s="58">
        <f t="shared" si="31"/>
        <v>29.276315789473685</v>
      </c>
      <c r="AK142" s="58">
        <f t="shared" si="32"/>
        <v>0</v>
      </c>
    </row>
    <row r="143" spans="1:37" ht="20.25" customHeight="1">
      <c r="A143" s="40">
        <f>SUBTOTAL(103,B$4:B143)</f>
        <v>80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4</v>
      </c>
      <c r="F143" s="42">
        <f t="shared" si="22"/>
        <v>280</v>
      </c>
      <c r="G143" s="42">
        <f>P!AJ144</f>
        <v>4</v>
      </c>
      <c r="H143" s="42">
        <f>G143*P!AK144</f>
        <v>280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70</v>
      </c>
      <c r="N143" s="44">
        <f t="shared" si="25"/>
        <v>280</v>
      </c>
      <c r="O143" s="44">
        <f t="shared" si="26"/>
        <v>280</v>
      </c>
      <c r="P143" s="45" t="b">
        <f t="shared" si="27"/>
        <v>1</v>
      </c>
      <c r="Q143" s="183" t="str">
        <f t="shared" si="28"/>
        <v>OK</v>
      </c>
      <c r="S143" s="410">
        <f t="shared" si="29"/>
        <v>70</v>
      </c>
      <c r="T143" s="410">
        <f t="shared" si="30"/>
        <v>0</v>
      </c>
      <c r="AJ143" s="58">
        <f t="shared" si="31"/>
        <v>70</v>
      </c>
      <c r="AK143" s="58">
        <f t="shared" si="32"/>
        <v>0</v>
      </c>
    </row>
    <row r="144" spans="1:37" ht="20.25" customHeight="1">
      <c r="A144" s="37">
        <f>SUBTOTAL(103,B$4:B144)</f>
        <v>81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27</v>
      </c>
      <c r="F144" s="42">
        <f t="shared" si="22"/>
        <v>29700</v>
      </c>
      <c r="G144" s="42">
        <f>P!AJ145</f>
        <v>27</v>
      </c>
      <c r="H144" s="42">
        <f>G144*P!AK145</f>
        <v>29700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1100</v>
      </c>
      <c r="N144" s="44">
        <f t="shared" si="25"/>
        <v>29700</v>
      </c>
      <c r="O144" s="44">
        <f t="shared" si="26"/>
        <v>29700</v>
      </c>
      <c r="P144" s="45" t="b">
        <f t="shared" si="27"/>
        <v>1</v>
      </c>
      <c r="Q144" s="183" t="str">
        <f t="shared" si="28"/>
        <v>OK</v>
      </c>
      <c r="S144" s="410">
        <f t="shared" si="29"/>
        <v>1100</v>
      </c>
      <c r="T144" s="410">
        <f t="shared" si="30"/>
        <v>0</v>
      </c>
      <c r="AJ144" s="58">
        <f t="shared" si="31"/>
        <v>1100</v>
      </c>
      <c r="AK144" s="58">
        <f t="shared" si="32"/>
        <v>0</v>
      </c>
    </row>
    <row r="145" spans="1:37" ht="20.25" hidden="1" customHeight="1">
      <c r="A145" s="40">
        <f>SUBTOTAL(103,B$4:B145)</f>
        <v>81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1</v>
      </c>
      <c r="F146" s="42">
        <f t="shared" si="22"/>
        <v>700</v>
      </c>
      <c r="G146" s="42">
        <f>P!AJ147</f>
        <v>1</v>
      </c>
      <c r="H146" s="42">
        <f>G146*P!AK147</f>
        <v>700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700</v>
      </c>
      <c r="N146" s="44">
        <f t="shared" si="25"/>
        <v>700</v>
      </c>
      <c r="O146" s="44">
        <f t="shared" si="26"/>
        <v>700</v>
      </c>
      <c r="P146" s="45" t="b">
        <f t="shared" si="27"/>
        <v>1</v>
      </c>
      <c r="Q146" s="183" t="str">
        <f t="shared" si="28"/>
        <v>OK</v>
      </c>
      <c r="S146" s="410">
        <f t="shared" si="29"/>
        <v>700</v>
      </c>
      <c r="T146" s="410">
        <f t="shared" si="30"/>
        <v>0</v>
      </c>
      <c r="AJ146" s="58">
        <f t="shared" si="31"/>
        <v>700</v>
      </c>
      <c r="AK146" s="58">
        <f t="shared" si="32"/>
        <v>0</v>
      </c>
    </row>
    <row r="147" spans="1:37" ht="20.25" hidden="1" customHeight="1">
      <c r="A147" s="37">
        <f>SUBTOTAL(103,B$4:B147)</f>
        <v>82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hidden="1" customHeight="1">
      <c r="A148" s="40">
        <f>SUBTOTAL(103,B$4:B148)</f>
        <v>82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hidden="1" customHeight="1">
      <c r="A149" s="40">
        <f>SUBTOTAL(103,B$4:B149)</f>
        <v>82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hidden="1" customHeight="1">
      <c r="A150" s="40">
        <f>SUBTOTAL(103,B$4:B150)</f>
        <v>82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83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136.4</v>
      </c>
      <c r="F151" s="42">
        <f t="shared" si="22"/>
        <v>31555.039447646082</v>
      </c>
      <c r="G151" s="42">
        <f>P!AJ152</f>
        <v>160</v>
      </c>
      <c r="H151" s="42">
        <f>G151*P!AK152</f>
        <v>37076</v>
      </c>
      <c r="I151" s="42">
        <f>S!E150</f>
        <v>15.390000000000214</v>
      </c>
      <c r="J151" s="42">
        <f>I151*S!D150</f>
        <v>3499.0613542716496</v>
      </c>
      <c r="K151" s="42">
        <f t="shared" si="23"/>
        <v>38.990000000000208</v>
      </c>
      <c r="L151" s="42">
        <f t="shared" si="24"/>
        <v>9020.0219066255668</v>
      </c>
      <c r="M151" s="43">
        <f>IF(ISERR((J151+H151)/(G151+I151)),P!AK152,(J151+H151)/(G151+I151))</f>
        <v>231.34193143435544</v>
      </c>
      <c r="N151" s="44">
        <f t="shared" si="25"/>
        <v>40575.061354271653</v>
      </c>
      <c r="O151" s="44">
        <f t="shared" si="26"/>
        <v>40575.061354271646</v>
      </c>
      <c r="P151" s="45" t="b">
        <f t="shared" si="27"/>
        <v>1</v>
      </c>
      <c r="Q151" s="183" t="str">
        <f t="shared" si="28"/>
        <v>OK</v>
      </c>
      <c r="S151" s="410">
        <f t="shared" si="29"/>
        <v>231.34193143435544</v>
      </c>
      <c r="T151" s="410">
        <f t="shared" si="30"/>
        <v>38.990000000000208</v>
      </c>
      <c r="AJ151" s="58">
        <f t="shared" si="31"/>
        <v>231.34193143435544</v>
      </c>
      <c r="AK151" s="58">
        <f t="shared" si="32"/>
        <v>38.990000000000208</v>
      </c>
    </row>
    <row r="152" spans="1:37" ht="20.25" hidden="1" customHeight="1">
      <c r="A152" s="40">
        <f>SUBTOTAL(103,B$4:B152)</f>
        <v>83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84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4.5999999999999996</v>
      </c>
      <c r="F153" s="42">
        <f t="shared" si="22"/>
        <v>781.99999999999989</v>
      </c>
      <c r="G153" s="42">
        <f>P!AJ154</f>
        <v>6.4</v>
      </c>
      <c r="H153" s="42">
        <f>G153*P!AK154</f>
        <v>1088</v>
      </c>
      <c r="I153" s="42">
        <f>S!E152</f>
        <v>0</v>
      </c>
      <c r="J153" s="42">
        <f>I153*S!D152</f>
        <v>0</v>
      </c>
      <c r="K153" s="42">
        <f t="shared" si="23"/>
        <v>1.8000000000000007</v>
      </c>
      <c r="L153" s="42">
        <f t="shared" si="24"/>
        <v>306.00000000000011</v>
      </c>
      <c r="M153" s="43">
        <f>IF(ISERR((J153+H153)/(G153+I153)),P!AK154,(J153+H153)/(G153+I153))</f>
        <v>170</v>
      </c>
      <c r="N153" s="44">
        <f t="shared" si="25"/>
        <v>1088</v>
      </c>
      <c r="O153" s="44">
        <f t="shared" si="26"/>
        <v>1088</v>
      </c>
      <c r="P153" s="45" t="b">
        <f t="shared" si="27"/>
        <v>1</v>
      </c>
      <c r="Q153" s="183" t="str">
        <f t="shared" si="28"/>
        <v>OK</v>
      </c>
      <c r="S153" s="410">
        <f t="shared" si="29"/>
        <v>170</v>
      </c>
      <c r="T153" s="410">
        <f t="shared" si="30"/>
        <v>1.8000000000000007</v>
      </c>
      <c r="AJ153" s="58">
        <f t="shared" si="31"/>
        <v>170</v>
      </c>
      <c r="AK153" s="58">
        <f t="shared" si="32"/>
        <v>1.8000000000000007</v>
      </c>
    </row>
    <row r="154" spans="1:37" ht="20.25" customHeight="1">
      <c r="A154" s="37">
        <f>SUBTOTAL(103,B$4:B154)</f>
        <v>85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33.27000000000001</v>
      </c>
      <c r="F154" s="42">
        <f t="shared" si="22"/>
        <v>12278.011447044208</v>
      </c>
      <c r="G154" s="42">
        <f>P!AJ155</f>
        <v>26.5</v>
      </c>
      <c r="H154" s="42">
        <f>G154*P!AK155</f>
        <v>9790</v>
      </c>
      <c r="I154" s="42">
        <f>S!E153</f>
        <v>6.7700000000000067</v>
      </c>
      <c r="J154" s="42">
        <f>I154*S!D153</f>
        <v>2488.0114470442081</v>
      </c>
      <c r="K154" s="42">
        <f t="shared" si="23"/>
        <v>0</v>
      </c>
      <c r="L154" s="42">
        <f t="shared" si="24"/>
        <v>0</v>
      </c>
      <c r="M154" s="43">
        <f>IF(ISERR((J154+H154)/(G154+I154)),P!AK155,(J154+H154)/(G154+I154))</f>
        <v>369.04152230370318</v>
      </c>
      <c r="N154" s="44">
        <f t="shared" si="25"/>
        <v>12278.011447044208</v>
      </c>
      <c r="O154" s="44">
        <f t="shared" si="26"/>
        <v>12278.011447044208</v>
      </c>
      <c r="P154" s="45" t="b">
        <f t="shared" si="27"/>
        <v>1</v>
      </c>
      <c r="Q154" s="183" t="str">
        <f t="shared" si="28"/>
        <v>OK</v>
      </c>
      <c r="S154" s="410">
        <f t="shared" si="29"/>
        <v>369.04152230370318</v>
      </c>
      <c r="T154" s="410">
        <f t="shared" si="30"/>
        <v>0</v>
      </c>
      <c r="AJ154" s="58">
        <f t="shared" si="31"/>
        <v>369.04152230370318</v>
      </c>
      <c r="AK154" s="58">
        <f t="shared" si="32"/>
        <v>0</v>
      </c>
    </row>
    <row r="155" spans="1:37" ht="20.25" customHeight="1">
      <c r="A155" s="37">
        <f>SUBTOTAL(103,B$4:B155)</f>
        <v>86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3.4</v>
      </c>
      <c r="F155" s="42">
        <f t="shared" si="22"/>
        <v>1190</v>
      </c>
      <c r="G155" s="42">
        <f>P!AJ156</f>
        <v>9.3000000000000007</v>
      </c>
      <c r="H155" s="42">
        <f>G155*P!AK156</f>
        <v>3255.0000000000005</v>
      </c>
      <c r="I155" s="42">
        <f>S!E154</f>
        <v>0</v>
      </c>
      <c r="J155" s="42">
        <f>I155*S!D154</f>
        <v>0</v>
      </c>
      <c r="K155" s="42">
        <f t="shared" si="23"/>
        <v>5.9</v>
      </c>
      <c r="L155" s="42">
        <f t="shared" si="24"/>
        <v>2065</v>
      </c>
      <c r="M155" s="43">
        <f>IF(ISERR((J155+H155)/(G155+I155)),P!AK156,(J155+H155)/(G155+I155))</f>
        <v>350</v>
      </c>
      <c r="N155" s="44">
        <f t="shared" si="25"/>
        <v>3255.0000000000005</v>
      </c>
      <c r="O155" s="44">
        <f t="shared" si="26"/>
        <v>3255</v>
      </c>
      <c r="P155" s="45" t="b">
        <f t="shared" si="27"/>
        <v>1</v>
      </c>
      <c r="Q155" s="183" t="str">
        <f t="shared" si="28"/>
        <v>OK</v>
      </c>
      <c r="S155" s="410">
        <f t="shared" si="29"/>
        <v>350</v>
      </c>
      <c r="T155" s="410">
        <f t="shared" si="30"/>
        <v>5.9</v>
      </c>
      <c r="AJ155" s="58">
        <f t="shared" si="31"/>
        <v>350</v>
      </c>
      <c r="AK155" s="58">
        <f t="shared" si="32"/>
        <v>5.9</v>
      </c>
    </row>
    <row r="156" spans="1:37" ht="20.25" hidden="1" customHeight="1">
      <c r="A156" s="37">
        <f>SUBTOTAL(103,B$4:B156)</f>
        <v>86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2253.7623762376234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2253.7623762376234</v>
      </c>
      <c r="T156" s="410">
        <f t="shared" si="30"/>
        <v>0</v>
      </c>
      <c r="AJ156" s="58">
        <f t="shared" si="31"/>
        <v>2253.7623762376234</v>
      </c>
      <c r="AK156" s="58">
        <f t="shared" si="32"/>
        <v>0</v>
      </c>
    </row>
    <row r="157" spans="1:37" ht="20.25" hidden="1" customHeight="1">
      <c r="A157" s="40">
        <f>SUBTOTAL(103,B$4:B157)</f>
        <v>86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hidden="1" customHeight="1">
      <c r="A158" s="40">
        <f>SUBTOTAL(103,B$4:B158)</f>
        <v>86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86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hidden="1" customHeight="1">
      <c r="A160" s="40">
        <f>SUBTOTAL(103,B$4:B160)</f>
        <v>86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customHeight="1">
      <c r="A161" s="40">
        <f>SUBTOTAL(103,B$4:B161)</f>
        <v>87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1</v>
      </c>
      <c r="F161" s="42">
        <f t="shared" si="22"/>
        <v>370</v>
      </c>
      <c r="G161" s="42">
        <f>P!AJ162</f>
        <v>1</v>
      </c>
      <c r="H161" s="42">
        <f>G161*P!AK162</f>
        <v>370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370</v>
      </c>
      <c r="N161" s="44">
        <f t="shared" si="25"/>
        <v>370</v>
      </c>
      <c r="O161" s="44">
        <f t="shared" si="26"/>
        <v>370</v>
      </c>
      <c r="P161" s="45" t="b">
        <f t="shared" si="27"/>
        <v>1</v>
      </c>
      <c r="Q161" s="183" t="str">
        <f t="shared" si="28"/>
        <v>OK</v>
      </c>
      <c r="S161" s="410">
        <f t="shared" si="29"/>
        <v>370</v>
      </c>
      <c r="T161" s="410">
        <f t="shared" si="30"/>
        <v>0</v>
      </c>
      <c r="AJ161" s="58">
        <f t="shared" si="31"/>
        <v>370</v>
      </c>
      <c r="AK161" s="58">
        <f t="shared" si="32"/>
        <v>0</v>
      </c>
    </row>
    <row r="162" spans="1:37" ht="20.25" customHeight="1">
      <c r="A162" s="37">
        <f>SUBTOTAL(103,B$4:B162)</f>
        <v>88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2</v>
      </c>
      <c r="F162" s="42">
        <f t="shared" si="22"/>
        <v>1200</v>
      </c>
      <c r="G162" s="42">
        <f>P!AJ163</f>
        <v>2</v>
      </c>
      <c r="H162" s="42">
        <f>G162*P!AK163</f>
        <v>1200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600</v>
      </c>
      <c r="N162" s="44">
        <f t="shared" si="25"/>
        <v>1200</v>
      </c>
      <c r="O162" s="44">
        <f t="shared" si="26"/>
        <v>1200</v>
      </c>
      <c r="P162" s="45" t="b">
        <f t="shared" si="27"/>
        <v>1</v>
      </c>
      <c r="Q162" s="183" t="str">
        <f t="shared" si="28"/>
        <v>OK</v>
      </c>
      <c r="S162" s="410">
        <f t="shared" si="29"/>
        <v>600</v>
      </c>
      <c r="T162" s="410">
        <f t="shared" si="30"/>
        <v>0</v>
      </c>
      <c r="AJ162" s="58">
        <f t="shared" si="31"/>
        <v>600</v>
      </c>
      <c r="AK162" s="58">
        <f t="shared" si="32"/>
        <v>0</v>
      </c>
    </row>
    <row r="163" spans="1:37" ht="20.25" hidden="1" customHeight="1">
      <c r="A163" s="40">
        <f>SUBTOTAL(103,B$4:B163)</f>
        <v>88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hidden="1" customHeight="1">
      <c r="A164" s="40">
        <f>SUBTOTAL(103,B$4:B164)</f>
        <v>88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hidden="1" customHeight="1">
      <c r="A165" s="40">
        <f>SUBTOTAL(103,B$4:B165)</f>
        <v>88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190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190</v>
      </c>
      <c r="T165" s="410">
        <f t="shared" si="30"/>
        <v>0</v>
      </c>
      <c r="AJ165" s="58">
        <f t="shared" si="31"/>
        <v>190</v>
      </c>
      <c r="AK165" s="58">
        <f t="shared" si="32"/>
        <v>0</v>
      </c>
    </row>
    <row r="166" spans="1:37" ht="20.25" hidden="1" customHeight="1">
      <c r="A166" s="40">
        <f>SUBTOTAL(103,B$4:B166)</f>
        <v>88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88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88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89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2</v>
      </c>
      <c r="F169" s="42">
        <f t="shared" si="22"/>
        <v>1320</v>
      </c>
      <c r="G169" s="42">
        <f>P!AJ170</f>
        <v>3</v>
      </c>
      <c r="H169" s="42">
        <f>G169*P!AK170</f>
        <v>1980</v>
      </c>
      <c r="I169" s="42">
        <f>S!E168</f>
        <v>0</v>
      </c>
      <c r="J169" s="42">
        <f>I169*S!D168</f>
        <v>0</v>
      </c>
      <c r="K169" s="42">
        <f t="shared" si="23"/>
        <v>1</v>
      </c>
      <c r="L169" s="42">
        <f t="shared" si="24"/>
        <v>660</v>
      </c>
      <c r="M169" s="43">
        <f>IF(ISERR((J169+H169)/(G169+I169)),P!AK170,(J169+H169)/(G169+I169))</f>
        <v>660</v>
      </c>
      <c r="N169" s="44">
        <f t="shared" si="25"/>
        <v>1980</v>
      </c>
      <c r="O169" s="44">
        <f t="shared" si="26"/>
        <v>1980</v>
      </c>
      <c r="P169" s="45" t="b">
        <f t="shared" si="27"/>
        <v>1</v>
      </c>
      <c r="Q169" s="183" t="str">
        <f t="shared" si="28"/>
        <v>OK</v>
      </c>
      <c r="S169" s="410">
        <f t="shared" si="29"/>
        <v>660</v>
      </c>
      <c r="T169" s="410">
        <f t="shared" si="30"/>
        <v>1</v>
      </c>
      <c r="AJ169" s="58">
        <f t="shared" si="31"/>
        <v>660</v>
      </c>
      <c r="AK169" s="58">
        <f t="shared" si="32"/>
        <v>1</v>
      </c>
    </row>
    <row r="170" spans="1:37" ht="20.25" customHeight="1">
      <c r="A170" s="40">
        <f>SUBTOTAL(103,B$4:B170)</f>
        <v>90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9.6999999999999993</v>
      </c>
      <c r="F170" s="42">
        <f t="shared" si="22"/>
        <v>3724.7999999999997</v>
      </c>
      <c r="G170" s="42">
        <f>P!AJ171</f>
        <v>10</v>
      </c>
      <c r="H170" s="42">
        <f>G170*P!AK171</f>
        <v>3840</v>
      </c>
      <c r="I170" s="42">
        <f>S!E169</f>
        <v>0</v>
      </c>
      <c r="J170" s="42">
        <f>I170*S!D169</f>
        <v>0</v>
      </c>
      <c r="K170" s="42">
        <f t="shared" si="23"/>
        <v>0.30000000000000071</v>
      </c>
      <c r="L170" s="42">
        <f t="shared" si="24"/>
        <v>115.20000000000027</v>
      </c>
      <c r="M170" s="43">
        <f>IF(ISERR((J170+H170)/(G170+I170)),P!AK171,(J170+H170)/(G170+I170))</f>
        <v>384</v>
      </c>
      <c r="N170" s="44">
        <f t="shared" si="25"/>
        <v>3840</v>
      </c>
      <c r="O170" s="44">
        <f t="shared" si="26"/>
        <v>3840</v>
      </c>
      <c r="P170" s="45" t="b">
        <f t="shared" si="27"/>
        <v>1</v>
      </c>
      <c r="Q170" s="183" t="str">
        <f t="shared" si="28"/>
        <v>OK</v>
      </c>
      <c r="S170" s="410">
        <f t="shared" si="29"/>
        <v>384</v>
      </c>
      <c r="T170" s="410">
        <f t="shared" si="30"/>
        <v>0.30000000000000071</v>
      </c>
      <c r="AJ170" s="58">
        <f t="shared" si="31"/>
        <v>384</v>
      </c>
      <c r="AK170" s="58">
        <f t="shared" si="32"/>
        <v>0.30000000000000071</v>
      </c>
    </row>
    <row r="171" spans="1:37" ht="20.25" customHeight="1">
      <c r="A171" s="40">
        <f>SUBTOTAL(103,B$4:B171)</f>
        <v>91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25.6</v>
      </c>
      <c r="F171" s="42">
        <f t="shared" si="22"/>
        <v>11028.575464124389</v>
      </c>
      <c r="G171" s="42">
        <f>P!AJ172</f>
        <v>26</v>
      </c>
      <c r="H171" s="42">
        <f>G171*P!AK172</f>
        <v>11100</v>
      </c>
      <c r="I171" s="42">
        <f>S!E170</f>
        <v>3.1999999999999993</v>
      </c>
      <c r="J171" s="42">
        <f>I171*S!D170</f>
        <v>1479.4688887668797</v>
      </c>
      <c r="K171" s="42">
        <f t="shared" si="23"/>
        <v>3.5999999999999979</v>
      </c>
      <c r="L171" s="42">
        <f t="shared" si="24"/>
        <v>1550.8934246424913</v>
      </c>
      <c r="M171" s="43">
        <f>IF(ISERR((J171+H171)/(G171+I171)),P!AK172,(J171+H171)/(G171+I171))</f>
        <v>430.80372906735892</v>
      </c>
      <c r="N171" s="44">
        <f t="shared" si="25"/>
        <v>12579.46888876688</v>
      </c>
      <c r="O171" s="44">
        <f t="shared" si="26"/>
        <v>12579.46888876688</v>
      </c>
      <c r="P171" s="45" t="b">
        <f t="shared" si="27"/>
        <v>1</v>
      </c>
      <c r="Q171" s="183" t="str">
        <f t="shared" si="28"/>
        <v>OK</v>
      </c>
      <c r="S171" s="410">
        <f t="shared" si="29"/>
        <v>430.80372906735892</v>
      </c>
      <c r="T171" s="410">
        <f t="shared" si="30"/>
        <v>3.5999999999999979</v>
      </c>
      <c r="AJ171" s="58">
        <f t="shared" si="31"/>
        <v>430.80372906735892</v>
      </c>
      <c r="AK171" s="58">
        <f t="shared" si="32"/>
        <v>3.5999999999999979</v>
      </c>
    </row>
    <row r="172" spans="1:37" ht="20.25" hidden="1" customHeight="1">
      <c r="A172" s="40">
        <f>SUBTOTAL(103,B$4:B172)</f>
        <v>91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hidden="1" customHeight="1">
      <c r="A173" s="40">
        <f>SUBTOTAL(103,B$4:B173)</f>
        <v>91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hidden="1" customHeight="1">
      <c r="A174" s="40">
        <f>SUBTOTAL(103,B$4:B174)</f>
        <v>91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hidden="1" customHeight="1">
      <c r="A175" s="40">
        <f>SUBTOTAL(103,B$4:B175)</f>
        <v>91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91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hidden="1" customHeight="1">
      <c r="A177" s="40">
        <f>SUBTOTAL(103,B$4:B177)</f>
        <v>91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92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99</v>
      </c>
      <c r="F178" s="42">
        <f t="shared" si="22"/>
        <v>2178</v>
      </c>
      <c r="G178" s="42">
        <f>P!AJ179</f>
        <v>99</v>
      </c>
      <c r="H178" s="42">
        <f>G178*P!AK179</f>
        <v>2178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22</v>
      </c>
      <c r="N178" s="44">
        <f t="shared" si="25"/>
        <v>2178</v>
      </c>
      <c r="O178" s="44">
        <f t="shared" si="26"/>
        <v>2178</v>
      </c>
      <c r="P178" s="45" t="b">
        <f t="shared" si="27"/>
        <v>1</v>
      </c>
      <c r="Q178" s="183" t="str">
        <f t="shared" si="28"/>
        <v>OK</v>
      </c>
      <c r="S178" s="410">
        <f t="shared" si="29"/>
        <v>22</v>
      </c>
      <c r="T178" s="410">
        <f t="shared" si="30"/>
        <v>0</v>
      </c>
      <c r="AJ178" s="58">
        <f t="shared" si="31"/>
        <v>22</v>
      </c>
      <c r="AK178" s="58">
        <f t="shared" si="32"/>
        <v>0</v>
      </c>
    </row>
    <row r="179" spans="1:37" ht="20.25" customHeight="1">
      <c r="A179" s="37">
        <f>SUBTOTAL(103,B$4:B179)</f>
        <v>93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74</v>
      </c>
      <c r="F179" s="42">
        <f t="shared" si="22"/>
        <v>7718</v>
      </c>
      <c r="G179" s="42">
        <f>P!AJ180</f>
        <v>74</v>
      </c>
      <c r="H179" s="42">
        <f>G179*P!AK180</f>
        <v>7718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104.29729729729729</v>
      </c>
      <c r="N179" s="44">
        <f t="shared" si="25"/>
        <v>7718</v>
      </c>
      <c r="O179" s="44">
        <f t="shared" si="26"/>
        <v>7718</v>
      </c>
      <c r="P179" s="45" t="b">
        <f t="shared" si="27"/>
        <v>1</v>
      </c>
      <c r="Q179" s="183" t="str">
        <f t="shared" si="28"/>
        <v>OK</v>
      </c>
      <c r="S179" s="410">
        <f t="shared" si="29"/>
        <v>104.29729729729729</v>
      </c>
      <c r="T179" s="410">
        <f t="shared" si="30"/>
        <v>0</v>
      </c>
      <c r="AJ179" s="58">
        <f t="shared" si="31"/>
        <v>104.29729729729729</v>
      </c>
      <c r="AK179" s="58">
        <f t="shared" si="32"/>
        <v>0</v>
      </c>
    </row>
    <row r="180" spans="1:37" ht="20.25" customHeight="1">
      <c r="A180" s="37">
        <f>SUBTOTAL(103,B$4:B180)</f>
        <v>94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9.5</v>
      </c>
      <c r="F180" s="42">
        <f t="shared" si="22"/>
        <v>1760</v>
      </c>
      <c r="G180" s="42">
        <f>P!AJ181</f>
        <v>9.5</v>
      </c>
      <c r="H180" s="42">
        <f>G180*P!AK181</f>
        <v>1760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185.26315789473685</v>
      </c>
      <c r="N180" s="44">
        <f t="shared" si="25"/>
        <v>1760</v>
      </c>
      <c r="O180" s="44">
        <f t="shared" si="26"/>
        <v>1760</v>
      </c>
      <c r="P180" s="45" t="b">
        <f t="shared" si="27"/>
        <v>1</v>
      </c>
      <c r="Q180" s="183" t="str">
        <f t="shared" si="28"/>
        <v>OK</v>
      </c>
      <c r="S180" s="410">
        <f t="shared" si="29"/>
        <v>185.26315789473685</v>
      </c>
      <c r="T180" s="410">
        <f t="shared" si="30"/>
        <v>0</v>
      </c>
      <c r="AJ180" s="58">
        <f t="shared" si="31"/>
        <v>185.26315789473685</v>
      </c>
      <c r="AK180" s="58">
        <f t="shared" si="32"/>
        <v>0</v>
      </c>
    </row>
    <row r="181" spans="1:37" ht="20.25" customHeight="1">
      <c r="A181" s="37">
        <f>SUBTOTAL(103,B$4:B181)</f>
        <v>95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8.5</v>
      </c>
      <c r="F181" s="42">
        <f t="shared" si="22"/>
        <v>1280</v>
      </c>
      <c r="G181" s="42">
        <f>P!AJ182</f>
        <v>8.5</v>
      </c>
      <c r="H181" s="42">
        <f>G181*P!AK182</f>
        <v>1280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150.58823529411765</v>
      </c>
      <c r="N181" s="44">
        <f t="shared" si="25"/>
        <v>1280</v>
      </c>
      <c r="O181" s="44">
        <f t="shared" si="26"/>
        <v>1280</v>
      </c>
      <c r="P181" s="45" t="b">
        <f t="shared" si="27"/>
        <v>1</v>
      </c>
      <c r="Q181" s="183" t="str">
        <f t="shared" si="28"/>
        <v>OK</v>
      </c>
      <c r="S181" s="410">
        <f t="shared" si="29"/>
        <v>150.58823529411765</v>
      </c>
      <c r="T181" s="410">
        <f t="shared" si="30"/>
        <v>0</v>
      </c>
      <c r="AJ181" s="58">
        <f t="shared" si="31"/>
        <v>150.58823529411765</v>
      </c>
      <c r="AK181" s="58">
        <f t="shared" si="32"/>
        <v>0</v>
      </c>
    </row>
    <row r="182" spans="1:37" ht="20.25" customHeight="1">
      <c r="A182" s="37">
        <f>SUBTOTAL(103,B$4:B182)</f>
        <v>96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15.5</v>
      </c>
      <c r="F182" s="42">
        <f t="shared" si="22"/>
        <v>1845</v>
      </c>
      <c r="G182" s="42">
        <f>P!AJ183</f>
        <v>15.5</v>
      </c>
      <c r="H182" s="42">
        <f>G182*P!AK183</f>
        <v>1845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119.03225806451613</v>
      </c>
      <c r="N182" s="44">
        <f t="shared" si="25"/>
        <v>1845</v>
      </c>
      <c r="O182" s="44">
        <f t="shared" si="26"/>
        <v>1845</v>
      </c>
      <c r="P182" s="45" t="b">
        <f t="shared" si="27"/>
        <v>1</v>
      </c>
      <c r="Q182" s="183" t="str">
        <f t="shared" si="28"/>
        <v>OK</v>
      </c>
      <c r="S182" s="410">
        <f t="shared" si="29"/>
        <v>119.03225806451613</v>
      </c>
      <c r="T182" s="410">
        <f t="shared" si="30"/>
        <v>0</v>
      </c>
      <c r="AJ182" s="58">
        <f t="shared" si="31"/>
        <v>119.03225806451613</v>
      </c>
      <c r="AK182" s="58">
        <f t="shared" si="32"/>
        <v>0</v>
      </c>
    </row>
    <row r="183" spans="1:37" ht="20.25" customHeight="1">
      <c r="A183" s="37">
        <f>SUBTOTAL(103,B$4:B183)</f>
        <v>97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203</v>
      </c>
      <c r="F183" s="42">
        <f t="shared" si="22"/>
        <v>1716.0000000000002</v>
      </c>
      <c r="G183" s="42">
        <f>P!AJ184</f>
        <v>203</v>
      </c>
      <c r="H183" s="42">
        <f>G183*P!AK184</f>
        <v>1716.0000000000002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8.4532019704433505</v>
      </c>
      <c r="N183" s="44">
        <f t="shared" si="25"/>
        <v>1716.0000000000002</v>
      </c>
      <c r="O183" s="44">
        <f t="shared" si="26"/>
        <v>1716.0000000000002</v>
      </c>
      <c r="P183" s="45" t="b">
        <f t="shared" si="27"/>
        <v>1</v>
      </c>
      <c r="Q183" s="183" t="str">
        <f t="shared" si="28"/>
        <v>OK</v>
      </c>
      <c r="S183" s="410">
        <f t="shared" si="29"/>
        <v>8.4532019704433505</v>
      </c>
      <c r="T183" s="410">
        <f t="shared" si="30"/>
        <v>0</v>
      </c>
      <c r="AJ183" s="58">
        <f t="shared" si="31"/>
        <v>8.4532019704433505</v>
      </c>
      <c r="AK183" s="58">
        <f t="shared" si="32"/>
        <v>0</v>
      </c>
    </row>
    <row r="184" spans="1:37" ht="20.25" customHeight="1">
      <c r="A184" s="37">
        <f>SUBTOTAL(103,B$4:B184)</f>
        <v>98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42</v>
      </c>
      <c r="F184" s="42">
        <f t="shared" si="22"/>
        <v>2270</v>
      </c>
      <c r="G184" s="42">
        <f>P!AJ185</f>
        <v>42</v>
      </c>
      <c r="H184" s="42">
        <f>G184*P!AK185</f>
        <v>2270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54.047619047619051</v>
      </c>
      <c r="N184" s="44">
        <f t="shared" si="25"/>
        <v>2270</v>
      </c>
      <c r="O184" s="44">
        <f t="shared" si="26"/>
        <v>2270</v>
      </c>
      <c r="P184" s="45" t="b">
        <f t="shared" si="27"/>
        <v>1</v>
      </c>
      <c r="Q184" s="183" t="str">
        <f t="shared" si="28"/>
        <v>OK</v>
      </c>
      <c r="S184" s="410">
        <f t="shared" si="29"/>
        <v>54.047619047619051</v>
      </c>
      <c r="T184" s="410">
        <f t="shared" si="30"/>
        <v>0</v>
      </c>
      <c r="AJ184" s="58">
        <f t="shared" si="31"/>
        <v>54.047619047619051</v>
      </c>
      <c r="AK184" s="58">
        <f t="shared" si="32"/>
        <v>0</v>
      </c>
    </row>
    <row r="185" spans="1:37" ht="20.25" customHeight="1">
      <c r="A185" s="37">
        <f>SUBTOTAL(103,B$4:B185)</f>
        <v>99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22</v>
      </c>
      <c r="F185" s="42">
        <f t="shared" si="22"/>
        <v>2175</v>
      </c>
      <c r="G185" s="42">
        <f>P!AJ186</f>
        <v>22</v>
      </c>
      <c r="H185" s="42">
        <f>G185*P!AK186</f>
        <v>2175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98.86363636363636</v>
      </c>
      <c r="N185" s="44">
        <f t="shared" si="25"/>
        <v>2175</v>
      </c>
      <c r="O185" s="44">
        <f t="shared" si="26"/>
        <v>2175</v>
      </c>
      <c r="P185" s="45" t="b">
        <f t="shared" si="27"/>
        <v>1</v>
      </c>
      <c r="Q185" s="183" t="str">
        <f t="shared" si="28"/>
        <v>OK</v>
      </c>
      <c r="S185" s="410">
        <f t="shared" si="29"/>
        <v>98.86363636363636</v>
      </c>
      <c r="T185" s="410">
        <f t="shared" si="30"/>
        <v>0</v>
      </c>
      <c r="AJ185" s="58">
        <f t="shared" si="31"/>
        <v>98.86363636363636</v>
      </c>
      <c r="AK185" s="58">
        <f t="shared" si="32"/>
        <v>0</v>
      </c>
    </row>
    <row r="186" spans="1:37" ht="20.25" customHeight="1">
      <c r="A186" s="37">
        <f>SUBTOTAL(103,B$4:B186)</f>
        <v>100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25.5</v>
      </c>
      <c r="F186" s="42">
        <f t="shared" si="22"/>
        <v>1615</v>
      </c>
      <c r="G186" s="42">
        <f>P!AJ187</f>
        <v>25.5</v>
      </c>
      <c r="H186" s="42">
        <f>G186*P!AK187</f>
        <v>1615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63.333333333333336</v>
      </c>
      <c r="N186" s="44">
        <f t="shared" si="25"/>
        <v>1615</v>
      </c>
      <c r="O186" s="44">
        <f t="shared" si="26"/>
        <v>1615</v>
      </c>
      <c r="P186" s="45" t="b">
        <f t="shared" si="27"/>
        <v>1</v>
      </c>
      <c r="Q186" s="183" t="str">
        <f t="shared" si="28"/>
        <v>OK</v>
      </c>
      <c r="S186" s="410">
        <f t="shared" si="29"/>
        <v>63.333333333333336</v>
      </c>
      <c r="T186" s="410">
        <f t="shared" si="30"/>
        <v>0</v>
      </c>
      <c r="AJ186" s="58">
        <f t="shared" si="31"/>
        <v>63.333333333333336</v>
      </c>
      <c r="AK186" s="58">
        <f t="shared" si="32"/>
        <v>0</v>
      </c>
    </row>
    <row r="187" spans="1:37" ht="20.25" customHeight="1">
      <c r="A187" s="37">
        <f>SUBTOTAL(103,B$4:B187)</f>
        <v>101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6</v>
      </c>
      <c r="F187" s="42">
        <f t="shared" si="22"/>
        <v>420</v>
      </c>
      <c r="G187" s="42">
        <f>P!AJ188</f>
        <v>6</v>
      </c>
      <c r="H187" s="42">
        <f>G187*P!AK188</f>
        <v>420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70</v>
      </c>
      <c r="N187" s="44">
        <f t="shared" si="25"/>
        <v>420</v>
      </c>
      <c r="O187" s="44">
        <f t="shared" si="26"/>
        <v>420</v>
      </c>
      <c r="P187" s="45" t="b">
        <f t="shared" si="27"/>
        <v>1</v>
      </c>
      <c r="Q187" s="183" t="str">
        <f t="shared" si="28"/>
        <v>OK</v>
      </c>
      <c r="S187" s="410">
        <f t="shared" si="29"/>
        <v>70</v>
      </c>
      <c r="T187" s="410">
        <f t="shared" si="30"/>
        <v>0</v>
      </c>
      <c r="AJ187" s="58">
        <f t="shared" si="31"/>
        <v>70</v>
      </c>
      <c r="AK187" s="58">
        <f t="shared" si="32"/>
        <v>0</v>
      </c>
    </row>
    <row r="188" spans="1:37" ht="20.25" customHeight="1">
      <c r="A188" s="37">
        <f>SUBTOTAL(103,B$4:B188)</f>
        <v>102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28</v>
      </c>
      <c r="F188" s="42">
        <f t="shared" si="22"/>
        <v>1290</v>
      </c>
      <c r="G188" s="42">
        <f>P!AJ189</f>
        <v>28</v>
      </c>
      <c r="H188" s="42">
        <f>G188*P!AK189</f>
        <v>1290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46.071428571428569</v>
      </c>
      <c r="N188" s="44">
        <f t="shared" si="25"/>
        <v>1290</v>
      </c>
      <c r="O188" s="44">
        <f t="shared" si="26"/>
        <v>1290</v>
      </c>
      <c r="P188" s="45" t="b">
        <f t="shared" si="27"/>
        <v>1</v>
      </c>
      <c r="Q188" s="183" t="str">
        <f t="shared" si="28"/>
        <v>OK</v>
      </c>
      <c r="S188" s="410">
        <f t="shared" si="29"/>
        <v>46.071428571428569</v>
      </c>
      <c r="T188" s="410">
        <f t="shared" si="30"/>
        <v>0</v>
      </c>
      <c r="AJ188" s="58">
        <f t="shared" si="31"/>
        <v>46.071428571428569</v>
      </c>
      <c r="AK188" s="58">
        <f t="shared" si="32"/>
        <v>0</v>
      </c>
    </row>
    <row r="189" spans="1:37" ht="20.25" customHeight="1">
      <c r="A189" s="37">
        <f>SUBTOTAL(103,B$4:B189)</f>
        <v>103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115</v>
      </c>
      <c r="F189" s="42">
        <f t="shared" si="22"/>
        <v>655</v>
      </c>
      <c r="G189" s="42">
        <f>P!AJ190</f>
        <v>115</v>
      </c>
      <c r="H189" s="42">
        <f>G189*P!AK190</f>
        <v>655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5.6956521739130439</v>
      </c>
      <c r="N189" s="44">
        <f t="shared" si="25"/>
        <v>655</v>
      </c>
      <c r="O189" s="44">
        <f t="shared" si="26"/>
        <v>655</v>
      </c>
      <c r="P189" s="45" t="b">
        <f t="shared" si="27"/>
        <v>1</v>
      </c>
      <c r="Q189" s="183" t="str">
        <f t="shared" si="28"/>
        <v>OK</v>
      </c>
      <c r="S189" s="410">
        <f t="shared" si="29"/>
        <v>5.6956521739130439</v>
      </c>
      <c r="T189" s="410">
        <f t="shared" si="30"/>
        <v>0</v>
      </c>
      <c r="AJ189" s="58">
        <f t="shared" si="31"/>
        <v>5.6956521739130439</v>
      </c>
      <c r="AK189" s="58">
        <f t="shared" si="32"/>
        <v>0</v>
      </c>
    </row>
    <row r="190" spans="1:37" ht="20.25" hidden="1" customHeight="1">
      <c r="A190" s="40">
        <f>SUBTOTAL(103,B$4:B190)</f>
        <v>103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25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25</v>
      </c>
      <c r="T190" s="410">
        <f t="shared" si="30"/>
        <v>0</v>
      </c>
      <c r="AJ190" s="58">
        <f t="shared" si="31"/>
        <v>25</v>
      </c>
      <c r="AK190" s="58">
        <f t="shared" si="32"/>
        <v>0</v>
      </c>
    </row>
    <row r="191" spans="1:37" ht="20.25" hidden="1" customHeight="1">
      <c r="A191" s="40">
        <f>SUBTOTAL(103,B$4:B191)</f>
        <v>103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0</v>
      </c>
      <c r="F191" s="42">
        <f t="shared" si="22"/>
        <v>0</v>
      </c>
      <c r="G191" s="42">
        <f>P!AJ192</f>
        <v>0</v>
      </c>
      <c r="H191" s="42">
        <f>G191*P!AK192</f>
        <v>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12</v>
      </c>
      <c r="N191" s="44">
        <f t="shared" si="25"/>
        <v>0</v>
      </c>
      <c r="O191" s="44">
        <f t="shared" si="26"/>
        <v>0</v>
      </c>
      <c r="P191" s="45" t="b">
        <f t="shared" si="27"/>
        <v>1</v>
      </c>
      <c r="Q191" s="183" t="str">
        <f t="shared" si="28"/>
        <v>×</v>
      </c>
      <c r="S191" s="410">
        <f t="shared" si="29"/>
        <v>12</v>
      </c>
      <c r="T191" s="410">
        <f t="shared" si="30"/>
        <v>0</v>
      </c>
      <c r="AJ191" s="58">
        <f t="shared" si="31"/>
        <v>12</v>
      </c>
      <c r="AK191" s="58">
        <f t="shared" si="32"/>
        <v>0</v>
      </c>
    </row>
    <row r="192" spans="1:37" ht="20.25" customHeight="1">
      <c r="A192" s="37">
        <f>SUBTOTAL(103,B$4:B192)</f>
        <v>104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7</v>
      </c>
      <c r="F192" s="42">
        <f t="shared" si="22"/>
        <v>210</v>
      </c>
      <c r="G192" s="42">
        <f>P!AJ193</f>
        <v>7</v>
      </c>
      <c r="H192" s="42">
        <f>G192*P!AK193</f>
        <v>210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30</v>
      </c>
      <c r="N192" s="44">
        <f t="shared" si="25"/>
        <v>210</v>
      </c>
      <c r="O192" s="44">
        <f t="shared" si="26"/>
        <v>210</v>
      </c>
      <c r="P192" s="45" t="b">
        <f t="shared" si="27"/>
        <v>1</v>
      </c>
      <c r="Q192" s="183" t="str">
        <f t="shared" si="28"/>
        <v>OK</v>
      </c>
      <c r="S192" s="410">
        <f t="shared" si="29"/>
        <v>30</v>
      </c>
      <c r="T192" s="410">
        <f t="shared" si="30"/>
        <v>0</v>
      </c>
      <c r="AJ192" s="58">
        <f t="shared" si="31"/>
        <v>30</v>
      </c>
      <c r="AK192" s="58">
        <f t="shared" si="32"/>
        <v>0</v>
      </c>
    </row>
    <row r="193" spans="1:37" ht="20.25" hidden="1" customHeight="1">
      <c r="A193" s="40">
        <f>SUBTOTAL(103,B$4:B193)</f>
        <v>104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105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36</v>
      </c>
      <c r="F194" s="42">
        <f t="shared" si="22"/>
        <v>1660</v>
      </c>
      <c r="G194" s="42">
        <f>P!AJ195</f>
        <v>36</v>
      </c>
      <c r="H194" s="42">
        <f>G194*P!AK195</f>
        <v>1660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46.111111111111114</v>
      </c>
      <c r="N194" s="44">
        <f t="shared" si="25"/>
        <v>1660</v>
      </c>
      <c r="O194" s="44">
        <f t="shared" si="26"/>
        <v>1660</v>
      </c>
      <c r="P194" s="45" t="b">
        <f t="shared" si="27"/>
        <v>1</v>
      </c>
      <c r="Q194" s="183" t="str">
        <f t="shared" si="28"/>
        <v>OK</v>
      </c>
      <c r="S194" s="410">
        <f t="shared" si="29"/>
        <v>46.111111111111114</v>
      </c>
      <c r="T194" s="410">
        <f t="shared" si="30"/>
        <v>0</v>
      </c>
      <c r="AJ194" s="58">
        <f t="shared" si="31"/>
        <v>46.111111111111114</v>
      </c>
      <c r="AK194" s="58">
        <f t="shared" si="32"/>
        <v>0</v>
      </c>
    </row>
    <row r="195" spans="1:37" ht="20.25" customHeight="1">
      <c r="A195" s="37">
        <f>SUBTOTAL(103,B$4:B195)</f>
        <v>106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47</v>
      </c>
      <c r="F195" s="42">
        <f t="shared" si="22"/>
        <v>1619</v>
      </c>
      <c r="G195" s="42">
        <f>P!AJ196</f>
        <v>47</v>
      </c>
      <c r="H195" s="42">
        <f>G195*P!AK196</f>
        <v>1619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34.446808510638299</v>
      </c>
      <c r="N195" s="44">
        <f t="shared" si="25"/>
        <v>1619</v>
      </c>
      <c r="O195" s="44">
        <f t="shared" si="26"/>
        <v>1619</v>
      </c>
      <c r="P195" s="45" t="b">
        <f t="shared" si="27"/>
        <v>1</v>
      </c>
      <c r="Q195" s="183" t="str">
        <f t="shared" si="28"/>
        <v>OK</v>
      </c>
      <c r="S195" s="410">
        <f t="shared" si="29"/>
        <v>34.446808510638299</v>
      </c>
      <c r="T195" s="410">
        <f t="shared" si="30"/>
        <v>0</v>
      </c>
      <c r="AJ195" s="58">
        <f t="shared" si="31"/>
        <v>34.446808510638299</v>
      </c>
      <c r="AK195" s="58">
        <f t="shared" si="32"/>
        <v>0</v>
      </c>
    </row>
    <row r="196" spans="1:37" ht="20.25" customHeight="1">
      <c r="A196" s="37">
        <f>SUBTOTAL(103,B$4:B196)</f>
        <v>107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33</v>
      </c>
      <c r="F196" s="42">
        <f t="shared" si="22"/>
        <v>640</v>
      </c>
      <c r="G196" s="42">
        <f>P!AJ197</f>
        <v>33</v>
      </c>
      <c r="H196" s="42">
        <f>G196*P!AK197</f>
        <v>640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19.393939393939394</v>
      </c>
      <c r="N196" s="44">
        <f t="shared" si="25"/>
        <v>640</v>
      </c>
      <c r="O196" s="44">
        <f t="shared" si="26"/>
        <v>640</v>
      </c>
      <c r="P196" s="45" t="b">
        <f t="shared" si="27"/>
        <v>1</v>
      </c>
      <c r="Q196" s="183" t="str">
        <f t="shared" si="28"/>
        <v>OK</v>
      </c>
      <c r="S196" s="410">
        <f t="shared" si="29"/>
        <v>19.393939393939394</v>
      </c>
      <c r="T196" s="410">
        <f t="shared" si="30"/>
        <v>0</v>
      </c>
      <c r="AJ196" s="58">
        <f t="shared" si="31"/>
        <v>19.393939393939394</v>
      </c>
      <c r="AK196" s="58">
        <f t="shared" si="32"/>
        <v>0</v>
      </c>
    </row>
    <row r="197" spans="1:37" ht="20.25" hidden="1" customHeight="1">
      <c r="A197" s="40">
        <f>SUBTOTAL(103,B$4:B197)</f>
        <v>107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110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110</v>
      </c>
      <c r="T197" s="410">
        <f t="shared" ref="T197:T253" si="40">K197</f>
        <v>0</v>
      </c>
      <c r="AJ197" s="58">
        <f t="shared" ref="AJ197:AJ253" si="41">M197</f>
        <v>110</v>
      </c>
      <c r="AK197" s="58">
        <f t="shared" ref="AK197:AK253" si="42">K197</f>
        <v>0</v>
      </c>
    </row>
    <row r="198" spans="1:37" ht="20.25" customHeight="1">
      <c r="A198" s="37">
        <f>SUBTOTAL(103,B$4:B198)</f>
        <v>108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17</v>
      </c>
      <c r="F198" s="42">
        <f t="shared" si="33"/>
        <v>1950</v>
      </c>
      <c r="G198" s="42">
        <f>P!AJ199</f>
        <v>17</v>
      </c>
      <c r="H198" s="42">
        <f>G198*P!AK199</f>
        <v>1950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114.70588235294117</v>
      </c>
      <c r="N198" s="44">
        <f t="shared" si="35"/>
        <v>1950</v>
      </c>
      <c r="O198" s="44">
        <f t="shared" si="36"/>
        <v>1950</v>
      </c>
      <c r="P198" s="45" t="b">
        <f t="shared" si="37"/>
        <v>1</v>
      </c>
      <c r="Q198" s="183" t="str">
        <f t="shared" si="38"/>
        <v>OK</v>
      </c>
      <c r="S198" s="410">
        <f t="shared" si="39"/>
        <v>114.70588235294117</v>
      </c>
      <c r="T198" s="410">
        <f t="shared" si="40"/>
        <v>0</v>
      </c>
      <c r="AJ198" s="58">
        <f t="shared" si="41"/>
        <v>114.70588235294117</v>
      </c>
      <c r="AK198" s="58">
        <f t="shared" si="42"/>
        <v>0</v>
      </c>
    </row>
    <row r="199" spans="1:37" ht="20.25" customHeight="1">
      <c r="A199" s="37">
        <f>SUBTOTAL(103,B$4:B199)</f>
        <v>109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9</v>
      </c>
      <c r="F199" s="42">
        <f t="shared" si="33"/>
        <v>1210</v>
      </c>
      <c r="G199" s="42">
        <f>P!AJ200</f>
        <v>9</v>
      </c>
      <c r="H199" s="42">
        <f>G199*P!AK200</f>
        <v>1210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134.44444444444446</v>
      </c>
      <c r="N199" s="44">
        <f t="shared" si="35"/>
        <v>1210</v>
      </c>
      <c r="O199" s="44">
        <f t="shared" si="36"/>
        <v>1210</v>
      </c>
      <c r="P199" s="45" t="b">
        <f t="shared" si="37"/>
        <v>1</v>
      </c>
      <c r="Q199" s="183" t="str">
        <f t="shared" si="38"/>
        <v>OK</v>
      </c>
      <c r="S199" s="410">
        <f t="shared" si="39"/>
        <v>134.44444444444446</v>
      </c>
      <c r="T199" s="410">
        <f t="shared" si="40"/>
        <v>0</v>
      </c>
      <c r="AJ199" s="58">
        <f t="shared" si="41"/>
        <v>134.44444444444446</v>
      </c>
      <c r="AK199" s="58">
        <f t="shared" si="42"/>
        <v>0</v>
      </c>
    </row>
    <row r="200" spans="1:37" ht="20.25" customHeight="1">
      <c r="A200" s="37">
        <f>SUBTOTAL(103,B$4:B200)</f>
        <v>110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0.5</v>
      </c>
      <c r="F200" s="42">
        <f t="shared" si="33"/>
        <v>130</v>
      </c>
      <c r="G200" s="42">
        <f>P!AJ201</f>
        <v>0.5</v>
      </c>
      <c r="H200" s="42">
        <f>G200*P!AK201</f>
        <v>130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260</v>
      </c>
      <c r="N200" s="44">
        <f t="shared" si="35"/>
        <v>130</v>
      </c>
      <c r="O200" s="44">
        <f t="shared" si="36"/>
        <v>130</v>
      </c>
      <c r="P200" s="45" t="b">
        <f t="shared" si="37"/>
        <v>1</v>
      </c>
      <c r="Q200" s="183" t="str">
        <f t="shared" si="38"/>
        <v>OK</v>
      </c>
      <c r="S200" s="410">
        <f t="shared" si="39"/>
        <v>260</v>
      </c>
      <c r="T200" s="410">
        <f t="shared" si="40"/>
        <v>0</v>
      </c>
      <c r="AJ200" s="58">
        <f t="shared" si="41"/>
        <v>260</v>
      </c>
      <c r="AK200" s="58">
        <f t="shared" si="42"/>
        <v>0</v>
      </c>
    </row>
    <row r="201" spans="1:37" ht="20.25" hidden="1" customHeight="1">
      <c r="A201" s="40">
        <f>SUBTOTAL(103,B$4:B201)</f>
        <v>110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hidden="1" customHeight="1">
      <c r="A202" s="40">
        <f>SUBTOTAL(103,B$4:B202)</f>
        <v>110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customHeight="1">
      <c r="A203" s="37">
        <f>SUBTOTAL(103,B$4:B203)</f>
        <v>111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20</v>
      </c>
      <c r="F203" s="42">
        <f t="shared" si="33"/>
        <v>1200</v>
      </c>
      <c r="G203" s="42">
        <f>P!AJ204</f>
        <v>20</v>
      </c>
      <c r="H203" s="42">
        <f>G203*P!AK204</f>
        <v>1200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60</v>
      </c>
      <c r="N203" s="44">
        <f t="shared" si="35"/>
        <v>1200</v>
      </c>
      <c r="O203" s="44">
        <f t="shared" si="36"/>
        <v>1200</v>
      </c>
      <c r="P203" s="45" t="b">
        <f t="shared" si="37"/>
        <v>1</v>
      </c>
      <c r="Q203" s="183" t="str">
        <f t="shared" si="38"/>
        <v>OK</v>
      </c>
      <c r="S203" s="410">
        <f t="shared" si="39"/>
        <v>60</v>
      </c>
      <c r="T203" s="410">
        <f t="shared" si="40"/>
        <v>0</v>
      </c>
      <c r="AJ203" s="58">
        <f t="shared" si="41"/>
        <v>60</v>
      </c>
      <c r="AK203" s="58">
        <f t="shared" si="42"/>
        <v>0</v>
      </c>
    </row>
    <row r="204" spans="1:37" ht="20.25" customHeight="1">
      <c r="A204" s="40">
        <f>SUBTOTAL(103,B$4:B204)</f>
        <v>112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43</v>
      </c>
      <c r="F204" s="42">
        <f t="shared" si="33"/>
        <v>1870</v>
      </c>
      <c r="G204" s="42">
        <f>P!AJ205</f>
        <v>43</v>
      </c>
      <c r="H204" s="42">
        <f>G204*P!AK205</f>
        <v>1870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43.488372093023258</v>
      </c>
      <c r="N204" s="44">
        <f t="shared" si="35"/>
        <v>1870</v>
      </c>
      <c r="O204" s="44">
        <f t="shared" si="36"/>
        <v>1870</v>
      </c>
      <c r="P204" s="45" t="b">
        <f t="shared" si="37"/>
        <v>1</v>
      </c>
      <c r="Q204" s="183" t="str">
        <f t="shared" si="38"/>
        <v>OK</v>
      </c>
      <c r="S204" s="410">
        <f t="shared" si="39"/>
        <v>43.488372093023258</v>
      </c>
      <c r="T204" s="410">
        <f t="shared" si="40"/>
        <v>0</v>
      </c>
      <c r="AJ204" s="58">
        <f t="shared" si="41"/>
        <v>43.488372093023258</v>
      </c>
      <c r="AK204" s="58">
        <f t="shared" si="42"/>
        <v>0</v>
      </c>
    </row>
    <row r="205" spans="1:37" ht="20.25" customHeight="1">
      <c r="A205" s="37">
        <f>SUBTOTAL(103,B$4:B205)</f>
        <v>113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28</v>
      </c>
      <c r="F205" s="42">
        <f t="shared" si="33"/>
        <v>1485</v>
      </c>
      <c r="G205" s="42">
        <f>P!AJ206</f>
        <v>28</v>
      </c>
      <c r="H205" s="42">
        <f>G205*P!AK206</f>
        <v>1485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53.035714285714285</v>
      </c>
      <c r="N205" s="44">
        <f t="shared" si="35"/>
        <v>1485</v>
      </c>
      <c r="O205" s="44">
        <f t="shared" si="36"/>
        <v>1485</v>
      </c>
      <c r="P205" s="45" t="b">
        <f t="shared" si="37"/>
        <v>1</v>
      </c>
      <c r="Q205" s="183" t="str">
        <f t="shared" si="38"/>
        <v>OK</v>
      </c>
      <c r="S205" s="410">
        <f t="shared" si="39"/>
        <v>53.035714285714285</v>
      </c>
      <c r="T205" s="410">
        <f t="shared" si="40"/>
        <v>0</v>
      </c>
      <c r="AJ205" s="58">
        <f t="shared" si="41"/>
        <v>53.035714285714285</v>
      </c>
      <c r="AK205" s="58">
        <f t="shared" si="42"/>
        <v>0</v>
      </c>
    </row>
    <row r="206" spans="1:37" ht="20.25" customHeight="1">
      <c r="A206" s="37">
        <f>SUBTOTAL(103,B$4:B206)</f>
        <v>114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21</v>
      </c>
      <c r="F206" s="42">
        <f t="shared" si="33"/>
        <v>899.99999999999989</v>
      </c>
      <c r="G206" s="42">
        <f>P!AJ207</f>
        <v>21</v>
      </c>
      <c r="H206" s="42">
        <f>G206*P!AK207</f>
        <v>899.99999999999989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42.857142857142854</v>
      </c>
      <c r="N206" s="44">
        <f t="shared" si="35"/>
        <v>899.99999999999989</v>
      </c>
      <c r="O206" s="44">
        <f t="shared" si="36"/>
        <v>899.99999999999989</v>
      </c>
      <c r="P206" s="45" t="b">
        <f t="shared" si="37"/>
        <v>1</v>
      </c>
      <c r="Q206" s="183" t="str">
        <f t="shared" si="38"/>
        <v>OK</v>
      </c>
      <c r="S206" s="410">
        <f t="shared" si="39"/>
        <v>42.857142857142854</v>
      </c>
      <c r="T206" s="410">
        <f t="shared" si="40"/>
        <v>0</v>
      </c>
      <c r="AJ206" s="58">
        <f t="shared" si="41"/>
        <v>42.857142857142854</v>
      </c>
      <c r="AK206" s="58">
        <f t="shared" si="42"/>
        <v>0</v>
      </c>
    </row>
    <row r="207" spans="1:37" ht="20.25" customHeight="1">
      <c r="A207" s="37">
        <f>SUBTOTAL(103,B$4:B207)</f>
        <v>115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30</v>
      </c>
      <c r="F207" s="42">
        <f t="shared" si="33"/>
        <v>1100</v>
      </c>
      <c r="G207" s="42">
        <f>P!AJ208</f>
        <v>30</v>
      </c>
      <c r="H207" s="42">
        <f>G207*P!AK208</f>
        <v>1100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36.666666666666664</v>
      </c>
      <c r="N207" s="44">
        <f t="shared" si="35"/>
        <v>1100</v>
      </c>
      <c r="O207" s="44">
        <f t="shared" si="36"/>
        <v>1100</v>
      </c>
      <c r="P207" s="45" t="b">
        <f t="shared" si="37"/>
        <v>1</v>
      </c>
      <c r="Q207" s="183" t="str">
        <f t="shared" si="38"/>
        <v>OK</v>
      </c>
      <c r="S207" s="410">
        <f t="shared" si="39"/>
        <v>36.666666666666664</v>
      </c>
      <c r="T207" s="410">
        <f t="shared" si="40"/>
        <v>0</v>
      </c>
      <c r="AJ207" s="58">
        <f t="shared" si="41"/>
        <v>36.666666666666664</v>
      </c>
      <c r="AK207" s="58">
        <f t="shared" si="42"/>
        <v>0</v>
      </c>
    </row>
    <row r="208" spans="1:37" ht="20.25" customHeight="1">
      <c r="A208" s="37">
        <f>SUBTOTAL(103,B$4:B208)</f>
        <v>116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25</v>
      </c>
      <c r="F208" s="42">
        <f t="shared" si="33"/>
        <v>1450</v>
      </c>
      <c r="G208" s="42">
        <f>P!AJ209</f>
        <v>25</v>
      </c>
      <c r="H208" s="42">
        <f>G208*P!AK209</f>
        <v>1450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58</v>
      </c>
      <c r="N208" s="44">
        <f t="shared" si="35"/>
        <v>1450</v>
      </c>
      <c r="O208" s="44">
        <f t="shared" si="36"/>
        <v>1450</v>
      </c>
      <c r="P208" s="45" t="b">
        <f t="shared" si="37"/>
        <v>1</v>
      </c>
      <c r="Q208" s="183" t="str">
        <f t="shared" si="38"/>
        <v>OK</v>
      </c>
      <c r="S208" s="410">
        <f t="shared" si="39"/>
        <v>58</v>
      </c>
      <c r="T208" s="410">
        <f t="shared" si="40"/>
        <v>0</v>
      </c>
      <c r="AJ208" s="58">
        <f t="shared" si="41"/>
        <v>58</v>
      </c>
      <c r="AK208" s="58">
        <f t="shared" si="42"/>
        <v>0</v>
      </c>
    </row>
    <row r="209" spans="1:37" ht="20.25" hidden="1" customHeight="1">
      <c r="A209" s="40">
        <f>SUBTOTAL(103,B$4:B209)</f>
        <v>116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117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3</v>
      </c>
      <c r="F210" s="42">
        <f t="shared" si="33"/>
        <v>120</v>
      </c>
      <c r="G210" s="42">
        <f>P!AJ211</f>
        <v>3</v>
      </c>
      <c r="H210" s="42">
        <f>G210*P!AK211</f>
        <v>120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40</v>
      </c>
      <c r="N210" s="44">
        <f t="shared" si="35"/>
        <v>120</v>
      </c>
      <c r="O210" s="44">
        <f t="shared" si="36"/>
        <v>120</v>
      </c>
      <c r="P210" s="45" t="b">
        <f t="shared" si="37"/>
        <v>1</v>
      </c>
      <c r="Q210" s="183" t="str">
        <f t="shared" si="38"/>
        <v>OK</v>
      </c>
      <c r="S210" s="410">
        <f t="shared" si="39"/>
        <v>40</v>
      </c>
      <c r="T210" s="410">
        <f t="shared" si="40"/>
        <v>0</v>
      </c>
      <c r="AJ210" s="58">
        <f t="shared" si="41"/>
        <v>40</v>
      </c>
      <c r="AK210" s="58">
        <f t="shared" si="42"/>
        <v>0</v>
      </c>
    </row>
    <row r="211" spans="1:37" ht="20.25" hidden="1" customHeight="1">
      <c r="A211" s="40">
        <f>SUBTOTAL(103,B$4:B211)</f>
        <v>117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hidden="1" customHeight="1">
      <c r="A212" s="40">
        <f>SUBTOTAL(103,B$4:B212)</f>
        <v>117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hidden="1" customHeight="1">
      <c r="A213" s="37">
        <f>SUBTOTAL(103,B$4:B213)</f>
        <v>117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hidden="1" customHeight="1">
      <c r="A214" s="40">
        <f>SUBTOTAL(103,B$4:B214)</f>
        <v>117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118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26</v>
      </c>
      <c r="F215" s="42">
        <f t="shared" si="33"/>
        <v>2660</v>
      </c>
      <c r="G215" s="42">
        <f>P!AJ216</f>
        <v>26</v>
      </c>
      <c r="H215" s="42">
        <f>G215*P!AK216</f>
        <v>2660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102.30769230769231</v>
      </c>
      <c r="N215" s="44">
        <f t="shared" si="35"/>
        <v>2660</v>
      </c>
      <c r="O215" s="44">
        <f t="shared" si="36"/>
        <v>2660</v>
      </c>
      <c r="P215" s="45" t="b">
        <f t="shared" si="37"/>
        <v>1</v>
      </c>
      <c r="Q215" s="183" t="str">
        <f t="shared" si="38"/>
        <v>OK</v>
      </c>
      <c r="S215" s="410">
        <f t="shared" si="39"/>
        <v>102.30769230769231</v>
      </c>
      <c r="T215" s="410">
        <f t="shared" si="40"/>
        <v>0</v>
      </c>
      <c r="AJ215" s="58">
        <f t="shared" si="41"/>
        <v>102.30769230769231</v>
      </c>
      <c r="AK215" s="58">
        <f t="shared" si="42"/>
        <v>0</v>
      </c>
    </row>
    <row r="216" spans="1:37" ht="20.25" hidden="1" customHeight="1">
      <c r="A216" s="40">
        <f>SUBTOTAL(103,B$4:B216)</f>
        <v>118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hidden="1" customHeight="1">
      <c r="A217" s="40">
        <f>SUBTOTAL(103,B$4:B217)</f>
        <v>118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hidden="1" customHeight="1">
      <c r="A218" s="40">
        <f>SUBTOTAL(103,B$4:B218)</f>
        <v>118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hidden="1" customHeight="1">
      <c r="A219" s="40">
        <f>SUBTOTAL(103,B$4:B219)</f>
        <v>118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hidden="1" customHeight="1">
      <c r="A220" s="40">
        <f>SUBTOTAL(103,B$4:B220)</f>
        <v>118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118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118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hidden="1" customHeight="1">
      <c r="A223" s="40">
        <f>SUBTOTAL(103,B$4:B223)</f>
        <v>118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118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118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118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118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118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hidden="1" customHeight="1">
      <c r="A229" s="40">
        <f>SUBTOTAL(103,B$4:B229)</f>
        <v>118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119</v>
      </c>
      <c r="B230" s="21">
        <f>P!A231</f>
        <v>227</v>
      </c>
      <c r="C230" s="41" t="str">
        <f>P!B231</f>
        <v>কাচা ছানা সন্দেশ</v>
      </c>
      <c r="D230" s="21" t="str">
        <f>P!C231</f>
        <v>কেজি</v>
      </c>
      <c r="E230" s="42">
        <f>S!AN229</f>
        <v>1</v>
      </c>
      <c r="F230" s="42">
        <f t="shared" si="33"/>
        <v>680</v>
      </c>
      <c r="G230" s="42">
        <f>P!AJ231</f>
        <v>1</v>
      </c>
      <c r="H230" s="42">
        <f>G230*P!AK231</f>
        <v>680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680</v>
      </c>
      <c r="N230" s="44">
        <f t="shared" si="35"/>
        <v>680</v>
      </c>
      <c r="O230" s="44">
        <f t="shared" si="36"/>
        <v>680</v>
      </c>
      <c r="P230" s="45" t="b">
        <f t="shared" si="37"/>
        <v>1</v>
      </c>
      <c r="Q230" s="183" t="str">
        <f t="shared" si="38"/>
        <v>OK</v>
      </c>
      <c r="S230" s="410">
        <f t="shared" si="39"/>
        <v>680</v>
      </c>
      <c r="T230" s="410">
        <f t="shared" si="40"/>
        <v>0</v>
      </c>
      <c r="AJ230" s="58">
        <f t="shared" si="41"/>
        <v>680</v>
      </c>
      <c r="AK230" s="58">
        <f t="shared" si="42"/>
        <v>0</v>
      </c>
    </row>
    <row r="231" spans="1:37" ht="20.25" customHeight="1">
      <c r="A231" s="37">
        <f>SUBTOTAL(103,B$4:B231)</f>
        <v>120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28.5</v>
      </c>
      <c r="F231" s="42">
        <f t="shared" si="33"/>
        <v>23302.899964441469</v>
      </c>
      <c r="G231" s="42">
        <f>P!AJ232</f>
        <v>56</v>
      </c>
      <c r="H231" s="42">
        <f>G231*P!AK232</f>
        <v>43600</v>
      </c>
      <c r="I231" s="42">
        <f>S!E230</f>
        <v>27.024999999999991</v>
      </c>
      <c r="J231" s="42">
        <f>I231*S!D230</f>
        <v>24285.027001675538</v>
      </c>
      <c r="K231" s="42">
        <f t="shared" si="34"/>
        <v>54.524999999999991</v>
      </c>
      <c r="L231" s="42">
        <f t="shared" si="43"/>
        <v>44582.127037234066</v>
      </c>
      <c r="M231" s="43">
        <f>IF(ISERR((J231+H231)/(G231+I231)),P!AK232,(J231+H231)/(G231+I231))</f>
        <v>817.64561278741996</v>
      </c>
      <c r="N231" s="44">
        <f t="shared" si="35"/>
        <v>67885.027001675538</v>
      </c>
      <c r="O231" s="44">
        <f t="shared" si="36"/>
        <v>67885.027001675538</v>
      </c>
      <c r="P231" s="45" t="b">
        <f t="shared" si="37"/>
        <v>1</v>
      </c>
      <c r="Q231" s="183" t="str">
        <f t="shared" si="38"/>
        <v>OK</v>
      </c>
      <c r="S231" s="410">
        <f t="shared" si="39"/>
        <v>817.64561278741996</v>
      </c>
      <c r="T231" s="410">
        <f t="shared" si="40"/>
        <v>54.524999999999991</v>
      </c>
      <c r="AJ231" s="58">
        <f t="shared" si="41"/>
        <v>817.64561278741996</v>
      </c>
      <c r="AK231" s="58">
        <f t="shared" si="42"/>
        <v>54.524999999999991</v>
      </c>
    </row>
    <row r="232" spans="1:37" ht="20.25" customHeight="1">
      <c r="A232" s="37">
        <f>SUBTOTAL(103,B$4:B232)</f>
        <v>121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2055</v>
      </c>
      <c r="F232" s="42">
        <f t="shared" si="33"/>
        <v>2877.000017232268</v>
      </c>
      <c r="G232" s="42">
        <f>P!AJ233</f>
        <v>4000</v>
      </c>
      <c r="H232" s="42">
        <f>G232*P!AK233</f>
        <v>5600</v>
      </c>
      <c r="I232" s="42">
        <f>S!E231</f>
        <v>2793</v>
      </c>
      <c r="J232" s="42">
        <f>I232*S!D231</f>
        <v>3910.2000569629176</v>
      </c>
      <c r="K232" s="42">
        <f t="shared" si="34"/>
        <v>4738</v>
      </c>
      <c r="L232" s="42">
        <f t="shared" si="43"/>
        <v>6633.2000397306501</v>
      </c>
      <c r="M232" s="43">
        <f>IF(ISERR((J232+H232)/(G232+I232)),P!AK233,(J232+H232)/(G232+I232))</f>
        <v>1.400000008385532</v>
      </c>
      <c r="N232" s="44">
        <f t="shared" si="35"/>
        <v>9510.2000569629181</v>
      </c>
      <c r="O232" s="44">
        <f t="shared" si="36"/>
        <v>9510.2000569629181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1.400000008385532</v>
      </c>
      <c r="T232" s="410">
        <f t="shared" si="40"/>
        <v>4738</v>
      </c>
      <c r="AJ232" s="58">
        <f t="shared" si="41"/>
        <v>1.400000008385532</v>
      </c>
      <c r="AK232" s="58">
        <f t="shared" si="42"/>
        <v>4738</v>
      </c>
    </row>
    <row r="233" spans="1:37" ht="20.25" customHeight="1">
      <c r="A233" s="37">
        <f>SUBTOTAL(103,B$4:B233)</f>
        <v>122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375</v>
      </c>
      <c r="F233" s="42">
        <f t="shared" si="33"/>
        <v>9560.7279082018995</v>
      </c>
      <c r="G233" s="42">
        <f>P!AJ234</f>
        <v>430</v>
      </c>
      <c r="H233" s="42">
        <f>G233*P!AK234</f>
        <v>10938</v>
      </c>
      <c r="I233" s="42">
        <f>S!E232</f>
        <v>16.799999999999955</v>
      </c>
      <c r="J233" s="42">
        <f>I233*S!D232</f>
        <v>453.28861169228679</v>
      </c>
      <c r="K233" s="42">
        <f t="shared" si="34"/>
        <v>71.799999999999955</v>
      </c>
      <c r="L233" s="42">
        <f t="shared" si="43"/>
        <v>1830.5607034903892</v>
      </c>
      <c r="M233" s="43">
        <f>IF(ISERR((J233+H233)/(G233+I233)),P!AK234,(J233+H233)/(G233+I233))</f>
        <v>25.495274421871731</v>
      </c>
      <c r="N233" s="44">
        <f t="shared" si="35"/>
        <v>11391.288611692287</v>
      </c>
      <c r="O233" s="44">
        <f t="shared" si="36"/>
        <v>11391.288611692289</v>
      </c>
      <c r="P233" s="45" t="b">
        <f t="shared" si="37"/>
        <v>1</v>
      </c>
      <c r="Q233" s="183" t="str">
        <f t="shared" si="38"/>
        <v>OK</v>
      </c>
      <c r="S233" s="410">
        <f t="shared" si="39"/>
        <v>25.495274421871731</v>
      </c>
      <c r="T233" s="410">
        <f t="shared" si="40"/>
        <v>71.799999999999955</v>
      </c>
      <c r="AJ233" s="58">
        <f t="shared" si="41"/>
        <v>25.495274421871731</v>
      </c>
      <c r="AK233" s="58">
        <f t="shared" si="42"/>
        <v>71.799999999999955</v>
      </c>
    </row>
    <row r="234" spans="1:37" ht="20.25" hidden="1" customHeight="1">
      <c r="A234" s="40">
        <f>SUBTOTAL(103,B$4:B234)</f>
        <v>122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hidden="1" customHeight="1">
      <c r="A235" s="40">
        <f>SUBTOTAL(103,B$4:B235)</f>
        <v>122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hidden="1" customHeight="1">
      <c r="A236" s="40">
        <f>SUBTOTAL(103,B$4:B236)</f>
        <v>122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hidden="1" customHeight="1">
      <c r="A237" s="40">
        <f>SUBTOTAL(103,B$4:B237)</f>
        <v>122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hidden="1" customHeight="1">
      <c r="A238" s="40">
        <f>SUBTOTAL(103,B$4:B238)</f>
        <v>122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hidden="1" customHeight="1">
      <c r="A239" s="40">
        <f>SUBTOTAL(103,B$4:B239)</f>
        <v>122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hidden="1" customHeight="1">
      <c r="A240" s="40">
        <f>SUBTOTAL(103,B$4:B240)</f>
        <v>122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hidden="1" customHeight="1">
      <c r="A241" s="40">
        <f>SUBTOTAL(103,B$4:B241)</f>
        <v>122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hidden="1" customHeight="1">
      <c r="A242" s="40">
        <f>SUBTOTAL(103,B$4:B242)</f>
        <v>122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122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280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280</v>
      </c>
      <c r="T243" s="410">
        <f t="shared" si="40"/>
        <v>0</v>
      </c>
      <c r="AJ243" s="58">
        <f t="shared" si="41"/>
        <v>280</v>
      </c>
      <c r="AK243" s="58">
        <f t="shared" si="42"/>
        <v>0</v>
      </c>
    </row>
    <row r="244" spans="1:37" ht="20.25" customHeight="1">
      <c r="A244" s="37">
        <f>SUBTOTAL(103,B$4:B244)</f>
        <v>123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1230</v>
      </c>
      <c r="F244" s="42">
        <f t="shared" si="33"/>
        <v>11567</v>
      </c>
      <c r="G244" s="42">
        <f>P!AJ245</f>
        <v>1230</v>
      </c>
      <c r="H244" s="42">
        <f>G244*P!AK245</f>
        <v>11567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9.4040650406504067</v>
      </c>
      <c r="N244" s="44">
        <f t="shared" si="35"/>
        <v>11567</v>
      </c>
      <c r="O244" s="44">
        <f t="shared" si="36"/>
        <v>11567</v>
      </c>
      <c r="P244" s="45" t="b">
        <f t="shared" si="37"/>
        <v>1</v>
      </c>
      <c r="Q244" s="183" t="str">
        <f t="shared" si="38"/>
        <v>OK</v>
      </c>
      <c r="S244" s="410">
        <f t="shared" si="39"/>
        <v>9.4040650406504067</v>
      </c>
      <c r="T244" s="410">
        <f t="shared" si="40"/>
        <v>0</v>
      </c>
      <c r="AJ244" s="58">
        <f t="shared" si="41"/>
        <v>9.4040650406504067</v>
      </c>
      <c r="AK244" s="58">
        <f t="shared" si="42"/>
        <v>0</v>
      </c>
    </row>
    <row r="245" spans="1:37" ht="20.25" hidden="1" customHeight="1">
      <c r="A245" s="37">
        <f>SUBTOTAL(103,B$4:B245)</f>
        <v>123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124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16</v>
      </c>
      <c r="F246" s="42">
        <f t="shared" si="33"/>
        <v>5599.9999871117425</v>
      </c>
      <c r="G246" s="42">
        <f>P!AJ247</f>
        <v>20</v>
      </c>
      <c r="H246" s="42">
        <f>G246*P!AK247</f>
        <v>7000</v>
      </c>
      <c r="I246" s="42">
        <f>S!E245</f>
        <v>16.5</v>
      </c>
      <c r="J246" s="42">
        <f>I246*S!D245</f>
        <v>5774.9999705986629</v>
      </c>
      <c r="K246" s="42">
        <f t="shared" si="34"/>
        <v>20.5</v>
      </c>
      <c r="L246" s="42">
        <f t="shared" si="43"/>
        <v>7174.9999834869204</v>
      </c>
      <c r="M246" s="43">
        <f>IF(ISERR((J246+H246)/(G246+I246)),P!AK247,(J246+H246)/(G246+I246))</f>
        <v>349.99999919448391</v>
      </c>
      <c r="N246" s="44">
        <f t="shared" si="35"/>
        <v>12774.999970598663</v>
      </c>
      <c r="O246" s="44">
        <f t="shared" si="36"/>
        <v>12774.999970598663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349.99999919448391</v>
      </c>
      <c r="T246" s="410">
        <f t="shared" si="40"/>
        <v>20.5</v>
      </c>
      <c r="AJ246" s="58">
        <f t="shared" si="41"/>
        <v>349.99999919448391</v>
      </c>
      <c r="AK246" s="58">
        <f t="shared" si="42"/>
        <v>20.5</v>
      </c>
    </row>
    <row r="247" spans="1:37" ht="20.25" hidden="1" customHeight="1">
      <c r="A247" s="37">
        <f>SUBTOTAL(103,B$4:B247)</f>
        <v>124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125</v>
      </c>
      <c r="B248" s="21">
        <f>P!A249</f>
        <v>245</v>
      </c>
      <c r="C248" s="290" t="str">
        <f>P!B249</f>
        <v>বিবিধ (পাইপ ক্রয়, চিকেন বার্গার, ওয়ানটাইম মাস্ক, ওয়ানটাইম হ্যান্ড গ্লভস...)</v>
      </c>
      <c r="D248" s="21" t="str">
        <f>P!C249</f>
        <v>টাকা</v>
      </c>
      <c r="E248" s="197">
        <f>S!AN247</f>
        <v>4330</v>
      </c>
      <c r="F248" s="197">
        <f t="shared" si="33"/>
        <v>4330</v>
      </c>
      <c r="G248" s="197">
        <f>P!AJ249</f>
        <v>4330</v>
      </c>
      <c r="H248" s="197">
        <f>G248*P!AK249</f>
        <v>4330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4330</v>
      </c>
      <c r="O248" s="274">
        <f t="shared" si="36"/>
        <v>4330</v>
      </c>
      <c r="P248" s="275" t="b">
        <f t="shared" si="37"/>
        <v>1</v>
      </c>
      <c r="Q248" s="199" t="str">
        <f t="shared" si="38"/>
        <v>OK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hidden="1" customHeight="1">
      <c r="A249" s="37">
        <f>SUBTOTAL(103,B$4:B249)</f>
        <v>125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0</v>
      </c>
      <c r="F249" s="42">
        <f t="shared" si="33"/>
        <v>0</v>
      </c>
      <c r="G249" s="42">
        <f>P!AJ250</f>
        <v>0</v>
      </c>
      <c r="H249" s="42">
        <f>G249*P!AK250</f>
        <v>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0</v>
      </c>
      <c r="O249" s="44">
        <f t="shared" si="36"/>
        <v>0</v>
      </c>
      <c r="P249" s="45" t="b">
        <f t="shared" si="37"/>
        <v>1</v>
      </c>
      <c r="Q249" s="183" t="str">
        <f t="shared" si="38"/>
        <v>×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hidden="1" customHeight="1">
      <c r="A250" s="37">
        <f>SUBTOTAL(103,B$4:B250)</f>
        <v>125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126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880</v>
      </c>
      <c r="F251" s="42">
        <f t="shared" si="33"/>
        <v>880</v>
      </c>
      <c r="G251" s="42">
        <f>P!AJ252</f>
        <v>880</v>
      </c>
      <c r="H251" s="42">
        <f>G251*P!AK252</f>
        <v>880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880</v>
      </c>
      <c r="O251" s="44">
        <f t="shared" si="36"/>
        <v>880</v>
      </c>
      <c r="P251" s="45" t="b">
        <f t="shared" si="37"/>
        <v>1</v>
      </c>
      <c r="Q251" s="183" t="str">
        <f t="shared" si="38"/>
        <v>OK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127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3940</v>
      </c>
      <c r="F252" s="42">
        <f t="shared" si="33"/>
        <v>3940</v>
      </c>
      <c r="G252" s="42">
        <f>P!AJ253</f>
        <v>3940</v>
      </c>
      <c r="H252" s="42">
        <f>G252*P!AK253</f>
        <v>3940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3940</v>
      </c>
      <c r="O252" s="44">
        <f t="shared" si="36"/>
        <v>3940</v>
      </c>
      <c r="P252" s="45" t="b">
        <f t="shared" si="37"/>
        <v>1</v>
      </c>
      <c r="Q252" s="183" t="str">
        <f t="shared" si="38"/>
        <v>OK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128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31400</v>
      </c>
      <c r="F253" s="42">
        <f t="shared" si="33"/>
        <v>31400</v>
      </c>
      <c r="G253" s="42">
        <f>P!AJ254</f>
        <v>31400</v>
      </c>
      <c r="H253" s="42">
        <f>G253*P!AK254</f>
        <v>31400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31400</v>
      </c>
      <c r="O253" s="44">
        <f t="shared" si="36"/>
        <v>31400</v>
      </c>
      <c r="P253" s="45" t="b">
        <f t="shared" si="37"/>
        <v>1</v>
      </c>
      <c r="Q253" s="183" t="str">
        <f t="shared" si="38"/>
        <v>OK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366603.13772889931</v>
      </c>
      <c r="G254" s="124"/>
      <c r="H254" s="123">
        <f>SUM(H4:H253)</f>
        <v>403349</v>
      </c>
      <c r="I254" s="124"/>
      <c r="J254" s="123">
        <f>SUM(J4:J253)</f>
        <v>98492.600107326347</v>
      </c>
      <c r="K254" s="125"/>
      <c r="L254" s="123">
        <f>SUM(L4:L253)</f>
        <v>135238.46237842704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40"/>
      <c r="D283" s="440"/>
      <c r="E283" s="440"/>
      <c r="F283" s="440"/>
    </row>
    <row r="284" spans="3:6" ht="20.25" customHeight="1">
      <c r="C284" s="51"/>
      <c r="D284" s="52"/>
      <c r="E284" s="437"/>
      <c r="F284" s="437"/>
    </row>
    <row r="285" spans="3:6" ht="20.25" customHeight="1">
      <c r="C285" s="53"/>
      <c r="D285" s="52"/>
      <c r="E285" s="437"/>
      <c r="F285" s="437"/>
    </row>
    <row r="286" spans="3:6" ht="20.25" customHeight="1">
      <c r="C286" s="53"/>
      <c r="D286" s="52"/>
      <c r="E286" s="437"/>
      <c r="F286" s="437"/>
    </row>
    <row r="287" spans="3:6" ht="20.25" customHeight="1">
      <c r="C287" s="53"/>
      <c r="D287" s="52"/>
      <c r="E287" s="437"/>
      <c r="F287" s="437"/>
    </row>
    <row r="288" spans="3:6" ht="20.25" customHeight="1">
      <c r="C288" s="53"/>
      <c r="D288" s="52"/>
      <c r="E288" s="437"/>
      <c r="F288" s="437"/>
    </row>
    <row r="289" spans="3:6" ht="20.25" customHeight="1">
      <c r="C289" s="53"/>
      <c r="D289" s="52"/>
      <c r="E289" s="437"/>
      <c r="F289" s="437"/>
    </row>
    <row r="290" spans="3:6" ht="20.25" customHeight="1">
      <c r="C290" s="53"/>
      <c r="D290" s="52"/>
      <c r="E290" s="441"/>
      <c r="F290" s="441"/>
    </row>
    <row r="291" spans="3:6" ht="20.25" customHeight="1">
      <c r="C291" s="53"/>
      <c r="D291" s="52"/>
      <c r="E291" s="437"/>
      <c r="F291" s="437"/>
    </row>
    <row r="292" spans="3:6" ht="20.25" customHeight="1">
      <c r="C292" s="53"/>
      <c r="D292" s="52"/>
      <c r="E292" s="437"/>
      <c r="F292" s="437"/>
    </row>
    <row r="294" spans="3:6" ht="20.25" customHeight="1">
      <c r="C294" s="53"/>
      <c r="D294" s="437"/>
      <c r="E294" s="437"/>
      <c r="F294" s="437"/>
    </row>
    <row r="295" spans="3:6" ht="20.25" customHeight="1">
      <c r="C295" s="53"/>
      <c r="D295" s="437"/>
      <c r="E295" s="437"/>
      <c r="F295" s="437"/>
    </row>
    <row r="296" spans="3:6" ht="20.25" customHeight="1">
      <c r="C296" s="53"/>
      <c r="D296" s="437"/>
      <c r="E296" s="437"/>
      <c r="F296" s="437"/>
    </row>
    <row r="297" spans="3:6" ht="20.25" customHeight="1">
      <c r="C297" s="54"/>
      <c r="D297" s="437"/>
      <c r="E297" s="437"/>
      <c r="F297" s="437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506" priority="3" operator="lessThan">
      <formula>0</formula>
    </cfRule>
  </conditionalFormatting>
  <conditionalFormatting sqref="P4:P253">
    <cfRule type="cellIs" dxfId="505" priority="5" operator="equal">
      <formula>FALSE</formula>
    </cfRule>
  </conditionalFormatting>
  <conditionalFormatting sqref="Q4:Q253">
    <cfRule type="cellIs" dxfId="504" priority="4" operator="equal">
      <formula>"SHOW"</formula>
    </cfRule>
  </conditionalFormatting>
  <conditionalFormatting sqref="Q1:Q1048576">
    <cfRule type="cellIs" dxfId="503" priority="1" operator="equal">
      <formula>"OK"</formula>
    </cfRule>
    <cfRule type="cellIs" dxfId="50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Normal="100" workbookViewId="0">
      <pane xSplit="10" ySplit="1" topLeftCell="K232" activePane="bottomRight" state="frozen"/>
      <selection pane="topRight" activeCell="K1" sqref="K1"/>
      <selection pane="bottomLeft" activeCell="A2" sqref="A2"/>
      <selection pane="bottomRight" activeCell="C250" sqref="C250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2" t="s">
        <v>471</v>
      </c>
      <c r="B1" s="442"/>
      <c r="C1" s="442"/>
      <c r="D1" s="442"/>
      <c r="E1" s="442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175</v>
      </c>
      <c r="F5" s="183" t="str">
        <f t="shared" si="0"/>
        <v>OK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50</v>
      </c>
      <c r="F6" s="183" t="str">
        <f t="shared" si="0"/>
        <v>OK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25</v>
      </c>
      <c r="F8" s="183" t="str">
        <f t="shared" si="0"/>
        <v>OK</v>
      </c>
      <c r="H8"/>
      <c r="I8"/>
      <c r="J8"/>
    </row>
    <row r="9" spans="1:10" ht="18.75" hidden="1" customHeight="1">
      <c r="A9" s="21">
        <f>SUBTOTAL(103,B$3:B9)</f>
        <v>3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25</v>
      </c>
      <c r="F10" s="183" t="str">
        <f t="shared" si="0"/>
        <v>OK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customHeight="1">
      <c r="A12" s="21">
        <f>SUBTOTAL(103,B$3:B12)</f>
        <v>5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2</v>
      </c>
      <c r="F12" s="183" t="str">
        <f t="shared" si="0"/>
        <v>OK</v>
      </c>
      <c r="H12"/>
      <c r="I12"/>
      <c r="J12"/>
    </row>
    <row r="13" spans="1:10" ht="18.75" customHeight="1">
      <c r="A13" s="21">
        <f>SUBTOTAL(103,B$3:B13)</f>
        <v>6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105</v>
      </c>
      <c r="F13" s="183" t="str">
        <f t="shared" si="0"/>
        <v>OK</v>
      </c>
      <c r="H13"/>
      <c r="I13"/>
      <c r="J13"/>
    </row>
    <row r="14" spans="1:10" ht="18.75" customHeight="1">
      <c r="A14" s="21">
        <f>SUBTOTAL(103,B$3:B14)</f>
        <v>7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5</v>
      </c>
      <c r="F14" s="183" t="str">
        <f t="shared" si="0"/>
        <v>OK</v>
      </c>
      <c r="H14"/>
      <c r="I14"/>
      <c r="J14"/>
    </row>
    <row r="15" spans="1:10" ht="18.75" customHeight="1">
      <c r="A15" s="21">
        <f>SUBTOTAL(103,B$3:B15)</f>
        <v>8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25</v>
      </c>
      <c r="F15" s="183" t="str">
        <f t="shared" si="0"/>
        <v>OK</v>
      </c>
      <c r="H15"/>
      <c r="I15"/>
      <c r="J15"/>
    </row>
    <row r="16" spans="1:10" ht="18.75" hidden="1" customHeight="1">
      <c r="A16" s="21">
        <f>SUBTOTAL(103,B$3:B16)</f>
        <v>8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9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0.30000000000000004</v>
      </c>
      <c r="F17" s="183" t="str">
        <f t="shared" si="0"/>
        <v>OK</v>
      </c>
    </row>
    <row r="18" spans="1:6" ht="18.75" hidden="1" customHeight="1">
      <c r="A18" s="21">
        <f>SUBTOTAL(103,B$3:B18)</f>
        <v>9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10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189</v>
      </c>
      <c r="F19" s="183" t="str">
        <f t="shared" si="0"/>
        <v>OK</v>
      </c>
    </row>
    <row r="20" spans="1:6" ht="18.75" customHeight="1">
      <c r="A20" s="21">
        <f>SUBTOTAL(103,B$3:B20)</f>
        <v>11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7.2</v>
      </c>
      <c r="F20" s="183" t="str">
        <f t="shared" si="0"/>
        <v>OK</v>
      </c>
    </row>
    <row r="21" spans="1:6" ht="18.75" hidden="1" customHeight="1">
      <c r="A21" s="21">
        <f>SUBTOTAL(103,B$3:B21)</f>
        <v>11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0</v>
      </c>
      <c r="F21" s="183" t="str">
        <f t="shared" si="0"/>
        <v>×</v>
      </c>
    </row>
    <row r="22" spans="1:6" ht="18.75" customHeight="1">
      <c r="A22" s="21">
        <f>SUBTOTAL(103,B$3:B22)</f>
        <v>12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720</v>
      </c>
      <c r="F22" s="183" t="str">
        <f t="shared" si="0"/>
        <v>OK</v>
      </c>
    </row>
    <row r="23" spans="1:6" ht="18.75" customHeight="1">
      <c r="A23" s="21">
        <f>SUBTOTAL(103,B$3:B23)</f>
        <v>13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1</v>
      </c>
      <c r="F23" s="183" t="str">
        <f t="shared" si="0"/>
        <v>OK</v>
      </c>
    </row>
    <row r="24" spans="1:6" ht="18.75" customHeight="1">
      <c r="A24" s="21">
        <f>SUBTOTAL(103,B$3:B24)</f>
        <v>14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1</v>
      </c>
      <c r="F24" s="183" t="str">
        <f t="shared" si="0"/>
        <v>OK</v>
      </c>
    </row>
    <row r="25" spans="1:6" ht="18.75" hidden="1" customHeight="1">
      <c r="A25" s="21">
        <f>SUBTOTAL(103,B$3:B25)</f>
        <v>14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14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14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14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15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1E-3</v>
      </c>
      <c r="F29" s="183" t="str">
        <f t="shared" si="0"/>
        <v>OK</v>
      </c>
    </row>
    <row r="30" spans="1:6" ht="18.75" hidden="1" customHeight="1">
      <c r="A30" s="21">
        <f>SUBTOTAL(103,B$3:B30)</f>
        <v>15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15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15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15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16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32</v>
      </c>
      <c r="F34" s="183" t="str">
        <f t="shared" si="0"/>
        <v>OK</v>
      </c>
    </row>
    <row r="35" spans="1:6" ht="18.75" hidden="1" customHeight="1">
      <c r="A35" s="21">
        <f>SUBTOTAL(103,B$3:B35)</f>
        <v>16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hidden="1" customHeight="1">
      <c r="A36" s="21">
        <f>SUBTOTAL(103,B$3:B36)</f>
        <v>16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16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17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1</v>
      </c>
      <c r="F38" s="183" t="str">
        <f t="shared" si="0"/>
        <v>OK</v>
      </c>
    </row>
    <row r="39" spans="1:6" ht="18.75" hidden="1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1</v>
      </c>
      <c r="F40" s="183" t="str">
        <f t="shared" si="0"/>
        <v>OK</v>
      </c>
    </row>
    <row r="41" spans="1:6" ht="18.75" hidden="1" customHeight="1">
      <c r="A41" s="21">
        <f>SUBTOTAL(103,B$3:B41)</f>
        <v>18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18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18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18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hidden="1" customHeight="1">
      <c r="A45" s="21">
        <f>SUBTOTAL(103,B$3:B45)</f>
        <v>18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customHeight="1">
      <c r="A46" s="21">
        <f>SUBTOTAL(103,B$3:B46)</f>
        <v>19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0.25</v>
      </c>
      <c r="F46" s="183" t="str">
        <f t="shared" si="0"/>
        <v>OK</v>
      </c>
    </row>
    <row r="47" spans="1:6" ht="18.75" hidden="1" customHeight="1">
      <c r="A47" s="21">
        <f>SUBTOTAL(103,B$3:B47)</f>
        <v>19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19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19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20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2</v>
      </c>
      <c r="F50" s="183" t="str">
        <f t="shared" si="0"/>
        <v>OK</v>
      </c>
    </row>
    <row r="51" spans="1:6" ht="18.75" hidden="1" customHeight="1">
      <c r="A51" s="21">
        <f>SUBTOTAL(103,B$3:B51)</f>
        <v>20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20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20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21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200</v>
      </c>
      <c r="F54" s="183" t="str">
        <f t="shared" si="0"/>
        <v>OK</v>
      </c>
    </row>
    <row r="55" spans="1:6" ht="18.75" customHeight="1">
      <c r="A55" s="21">
        <f>SUBTOTAL(103,B$3:B55)</f>
        <v>22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100</v>
      </c>
      <c r="F55" s="183" t="str">
        <f t="shared" si="0"/>
        <v>OK</v>
      </c>
    </row>
    <row r="56" spans="1:6" ht="18.75" customHeight="1">
      <c r="A56" s="21">
        <f>SUBTOTAL(103,B$3:B56)</f>
        <v>23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49</v>
      </c>
      <c r="F56" s="183" t="str">
        <f t="shared" si="0"/>
        <v>OK</v>
      </c>
    </row>
    <row r="57" spans="1:6" ht="18.75" hidden="1" customHeight="1">
      <c r="A57" s="21">
        <f>SUBTOTAL(103,B$3:B57)</f>
        <v>23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23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23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24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10</v>
      </c>
      <c r="F60" s="183" t="str">
        <f t="shared" si="0"/>
        <v>OK</v>
      </c>
    </row>
    <row r="61" spans="1:6" ht="18.75" customHeight="1">
      <c r="A61" s="21">
        <f>SUBTOTAL(103,B$3:B61)</f>
        <v>25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1.5</v>
      </c>
      <c r="F61" s="183" t="str">
        <f t="shared" si="0"/>
        <v>OK</v>
      </c>
    </row>
    <row r="62" spans="1:6" ht="18.75" customHeight="1">
      <c r="A62" s="21">
        <f>SUBTOTAL(103,B$3:B62)</f>
        <v>26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1.5</v>
      </c>
      <c r="F62" s="183" t="str">
        <f t="shared" si="0"/>
        <v>OK</v>
      </c>
    </row>
    <row r="63" spans="1:6" ht="18.75" customHeight="1">
      <c r="A63" s="21">
        <f>SUBTOTAL(103,B$3:B63)</f>
        <v>27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0.2</v>
      </c>
      <c r="F63" s="183" t="str">
        <f t="shared" si="0"/>
        <v>OK</v>
      </c>
    </row>
    <row r="64" spans="1:6" ht="18.75" hidden="1" customHeight="1">
      <c r="A64" s="21">
        <f>SUBTOTAL(103,B$3:B64)</f>
        <v>27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28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0.89999999999999991</v>
      </c>
      <c r="F65" s="183" t="str">
        <f t="shared" si="0"/>
        <v>OK</v>
      </c>
    </row>
    <row r="66" spans="1:6" ht="18.75" customHeight="1">
      <c r="A66" s="21">
        <f>SUBTOTAL(103,B$3:B66)</f>
        <v>29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2</v>
      </c>
      <c r="F66" s="183" t="str">
        <f t="shared" si="0"/>
        <v>OK</v>
      </c>
    </row>
    <row r="67" spans="1:6" ht="18.75" customHeight="1">
      <c r="A67" s="21">
        <f>SUBTOTAL(103,B$3:B67)</f>
        <v>30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2</v>
      </c>
      <c r="F67" s="183" t="str">
        <f t="shared" si="0"/>
        <v>OK</v>
      </c>
    </row>
    <row r="68" spans="1:6" ht="18.75" customHeight="1">
      <c r="A68" s="21">
        <f>SUBTOTAL(103,B$3:B68)</f>
        <v>31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0.3</v>
      </c>
      <c r="F68" s="183" t="str">
        <f t="shared" ref="F68:F131" si="1">IF(E68&lt;&gt;0,"OK","×")</f>
        <v>OK</v>
      </c>
    </row>
    <row r="69" spans="1:6" ht="18.75" customHeight="1">
      <c r="A69" s="21">
        <f>SUBTOTAL(103,B$3:B69)</f>
        <v>32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0.7</v>
      </c>
      <c r="F69" s="183" t="str">
        <f t="shared" si="1"/>
        <v>OK</v>
      </c>
    </row>
    <row r="70" spans="1:6" ht="18.75" customHeight="1">
      <c r="A70" s="21">
        <f>SUBTOTAL(103,B$3:B70)</f>
        <v>33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0.17499999999999999</v>
      </c>
      <c r="F70" s="183" t="str">
        <f t="shared" si="1"/>
        <v>OK</v>
      </c>
    </row>
    <row r="71" spans="1:6" ht="18.75" hidden="1" customHeight="1">
      <c r="A71" s="21">
        <f>SUBTOTAL(103,B$3:B71)</f>
        <v>33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customHeight="1">
      <c r="A72" s="21">
        <f>SUBTOTAL(103,B$3:B72)</f>
        <v>34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0.35</v>
      </c>
      <c r="F72" s="183" t="str">
        <f t="shared" si="1"/>
        <v>OK</v>
      </c>
    </row>
    <row r="73" spans="1:6" ht="18.75" customHeight="1">
      <c r="A73" s="21">
        <f>SUBTOTAL(103,B$3:B73)</f>
        <v>35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0.2</v>
      </c>
      <c r="F73" s="183" t="str">
        <f t="shared" si="1"/>
        <v>OK</v>
      </c>
    </row>
    <row r="74" spans="1:6" ht="18.75" hidden="1" customHeight="1">
      <c r="A74" s="21">
        <f>SUBTOTAL(103,B$3:B74)</f>
        <v>35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36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0.65</v>
      </c>
      <c r="F75" s="183" t="str">
        <f t="shared" si="1"/>
        <v>OK</v>
      </c>
    </row>
    <row r="76" spans="1:6" ht="18.75" hidden="1" customHeight="1">
      <c r="A76" s="21">
        <f>SUBTOTAL(103,B$3:B76)</f>
        <v>36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hidden="1" customHeight="1">
      <c r="A77" s="21">
        <f>SUBTOTAL(103,B$3:B77)</f>
        <v>36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customHeight="1">
      <c r="A78" s="21">
        <f>SUBTOTAL(103,B$3:B78)</f>
        <v>37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0.30000000000000004</v>
      </c>
      <c r="F78" s="183" t="str">
        <f t="shared" si="1"/>
        <v>OK</v>
      </c>
    </row>
    <row r="79" spans="1:6" ht="18.75" hidden="1" customHeight="1">
      <c r="A79" s="21">
        <f>SUBTOTAL(103,B$3:B79)</f>
        <v>37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38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4</v>
      </c>
      <c r="F80" s="183" t="str">
        <f t="shared" si="1"/>
        <v>OK</v>
      </c>
    </row>
    <row r="81" spans="1:6" ht="18.75" hidden="1" customHeight="1">
      <c r="A81" s="21">
        <f>SUBTOTAL(103,B$3:B81)</f>
        <v>38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38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38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customHeight="1">
      <c r="A84" s="21">
        <f>SUBTOTAL(103,B$3:B84)</f>
        <v>39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2.5000000000000001E-2</v>
      </c>
      <c r="F84" s="183" t="str">
        <f t="shared" si="1"/>
        <v>OK</v>
      </c>
    </row>
    <row r="85" spans="1:6" ht="18.75" hidden="1" customHeight="1">
      <c r="A85" s="21">
        <f>SUBTOTAL(103,B$3:B85)</f>
        <v>39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40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0.1</v>
      </c>
      <c r="F86" s="183" t="str">
        <f t="shared" si="1"/>
        <v>OK</v>
      </c>
    </row>
    <row r="87" spans="1:6" ht="18.75" customHeight="1">
      <c r="A87" s="21">
        <f>SUBTOTAL(103,B$3:B87)</f>
        <v>41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96</v>
      </c>
      <c r="F87" s="183" t="str">
        <f t="shared" si="1"/>
        <v>OK</v>
      </c>
    </row>
    <row r="88" spans="1:6" ht="18.75" customHeight="1">
      <c r="A88" s="21">
        <f>SUBTOTAL(103,B$3:B88)</f>
        <v>42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40</v>
      </c>
      <c r="F88" s="183" t="str">
        <f t="shared" si="1"/>
        <v>OK</v>
      </c>
    </row>
    <row r="89" spans="1:6" ht="18.75" customHeight="1">
      <c r="A89" s="21">
        <f>SUBTOTAL(103,B$3:B89)</f>
        <v>43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1300</v>
      </c>
      <c r="F89" s="183" t="str">
        <f t="shared" si="1"/>
        <v>OK</v>
      </c>
    </row>
    <row r="90" spans="1:6" ht="18.75" hidden="1" customHeight="1">
      <c r="A90" s="21">
        <f>SUBTOTAL(103,B$3:B90)</f>
        <v>43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43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hidden="1" customHeight="1">
      <c r="A92" s="21">
        <f>SUBTOTAL(103,B$3:B92)</f>
        <v>43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43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43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44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13</v>
      </c>
      <c r="F95" s="183" t="str">
        <f t="shared" si="1"/>
        <v>OK</v>
      </c>
    </row>
    <row r="96" spans="1:6" ht="18.75" hidden="1" customHeight="1">
      <c r="A96" s="21">
        <f>SUBTOTAL(103,B$3:B96)</f>
        <v>44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44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45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1</v>
      </c>
      <c r="F98" s="183" t="str">
        <f t="shared" si="1"/>
        <v>OK</v>
      </c>
    </row>
    <row r="99" spans="1:6" ht="18.75" customHeight="1">
      <c r="A99" s="21">
        <f>SUBTOTAL(103,B$3:B99)</f>
        <v>46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0.45</v>
      </c>
      <c r="F99" s="183" t="str">
        <f t="shared" si="1"/>
        <v>OK</v>
      </c>
    </row>
    <row r="100" spans="1:6" ht="18.75" customHeight="1">
      <c r="A100" s="21">
        <f>SUBTOTAL(103,B$3:B100)</f>
        <v>47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3</v>
      </c>
      <c r="F100" s="183" t="str">
        <f t="shared" si="1"/>
        <v>OK</v>
      </c>
    </row>
    <row r="101" spans="1:6" ht="18.75" hidden="1" customHeight="1">
      <c r="A101" s="21">
        <f>SUBTOTAL(103,B$3:B101)</f>
        <v>47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customHeight="1">
      <c r="A102" s="21">
        <f>SUBTOTAL(103,B$3:B102)</f>
        <v>48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5</v>
      </c>
      <c r="F102" s="183" t="str">
        <f t="shared" si="1"/>
        <v>OK</v>
      </c>
    </row>
    <row r="103" spans="1:6" ht="18.75" hidden="1" customHeight="1">
      <c r="A103" s="21">
        <f>SUBTOTAL(103,B$3:B103)</f>
        <v>48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customHeight="1">
      <c r="A104" s="21">
        <f>SUBTOTAL(103,B$3:B104)</f>
        <v>49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12</v>
      </c>
      <c r="F104" s="183" t="str">
        <f t="shared" si="1"/>
        <v>OK</v>
      </c>
    </row>
    <row r="105" spans="1:6" ht="18.75" hidden="1" customHeight="1">
      <c r="A105" s="21">
        <f>SUBTOTAL(103,B$3:B105)</f>
        <v>49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hidden="1" customHeight="1">
      <c r="A106" s="21">
        <f>SUBTOTAL(103,B$3:B106)</f>
        <v>49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customHeight="1">
      <c r="A107" s="21">
        <f>SUBTOTAL(103,B$3:B107)</f>
        <v>50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1</v>
      </c>
      <c r="F107" s="183" t="str">
        <f t="shared" si="1"/>
        <v>OK</v>
      </c>
    </row>
    <row r="108" spans="1:6" ht="18.75" hidden="1" customHeight="1">
      <c r="A108" s="21">
        <f>SUBTOTAL(103,B$3:B108)</f>
        <v>50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hidden="1" customHeight="1">
      <c r="A109" s="21">
        <f>SUBTOTAL(103,B$3:B109)</f>
        <v>50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0</v>
      </c>
      <c r="F109" s="183" t="str">
        <f t="shared" si="1"/>
        <v>×</v>
      </c>
    </row>
    <row r="110" spans="1:6" ht="18.75" hidden="1" customHeight="1">
      <c r="A110" s="21">
        <f>SUBTOTAL(103,B$3:B110)</f>
        <v>50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50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51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0.99</v>
      </c>
      <c r="F112" s="183" t="str">
        <f t="shared" si="1"/>
        <v>OK</v>
      </c>
    </row>
    <row r="113" spans="1:6" ht="18.75" hidden="1" customHeight="1">
      <c r="A113" s="21">
        <f>SUBTOTAL(103,B$3:B113)</f>
        <v>51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51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51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52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294</v>
      </c>
      <c r="F116" s="183" t="str">
        <f t="shared" si="1"/>
        <v>OK</v>
      </c>
    </row>
    <row r="117" spans="1:6" ht="18.75" hidden="1" customHeight="1">
      <c r="A117" s="21">
        <f>SUBTOTAL(103,B$3:B117)</f>
        <v>52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52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52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customHeight="1">
      <c r="A120" s="21">
        <f>SUBTOTAL(103,B$3:B120)</f>
        <v>53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2</v>
      </c>
      <c r="F120" s="183" t="str">
        <f t="shared" si="1"/>
        <v>OK</v>
      </c>
    </row>
    <row r="121" spans="1:6" ht="18.75" hidden="1" customHeight="1">
      <c r="A121" s="21">
        <f>SUBTOTAL(103,B$3:B121)</f>
        <v>53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0</v>
      </c>
      <c r="F121" s="183" t="str">
        <f t="shared" si="1"/>
        <v>×</v>
      </c>
    </row>
    <row r="122" spans="1:6" ht="18.75" hidden="1" customHeight="1">
      <c r="A122" s="21">
        <f>SUBTOTAL(103,B$3:B122)</f>
        <v>53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54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1.82</v>
      </c>
      <c r="F123" s="183" t="str">
        <f t="shared" si="1"/>
        <v>OK</v>
      </c>
    </row>
    <row r="124" spans="1:6" ht="18.75" customHeight="1">
      <c r="A124" s="21">
        <f>SUBTOTAL(103,B$3:B124)</f>
        <v>55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512</v>
      </c>
      <c r="F124" s="183" t="str">
        <f t="shared" si="1"/>
        <v>OK</v>
      </c>
    </row>
    <row r="125" spans="1:6" ht="18.75" hidden="1" customHeight="1">
      <c r="A125" s="21">
        <f>SUBTOTAL(103,B$3:B125)</f>
        <v>55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56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30.25</v>
      </c>
      <c r="F126" s="183" t="str">
        <f t="shared" si="1"/>
        <v>OK</v>
      </c>
    </row>
    <row r="127" spans="1:6" ht="18.75" hidden="1" customHeight="1">
      <c r="A127" s="21">
        <f>SUBTOTAL(103,B$3:B127)</f>
        <v>56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57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1</v>
      </c>
      <c r="F128" s="183" t="str">
        <f t="shared" si="1"/>
        <v>OK</v>
      </c>
    </row>
    <row r="129" spans="1:6" ht="18.75" customHeight="1">
      <c r="A129" s="21">
        <f>SUBTOTAL(103,B$3:B129)</f>
        <v>58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1</v>
      </c>
      <c r="F129" s="183" t="str">
        <f t="shared" si="1"/>
        <v>OK</v>
      </c>
    </row>
    <row r="130" spans="1:6" ht="18.75" customHeight="1">
      <c r="A130" s="21">
        <f>SUBTOTAL(103,B$3:B130)</f>
        <v>59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11</v>
      </c>
      <c r="F130" s="183" t="str">
        <f t="shared" si="1"/>
        <v>OK</v>
      </c>
    </row>
    <row r="131" spans="1:6" ht="18.75" hidden="1" customHeight="1">
      <c r="A131" s="21">
        <f>SUBTOTAL(103,B$3:B131)</f>
        <v>59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59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60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15.049999999999999</v>
      </c>
      <c r="F133" s="183" t="str">
        <f t="shared" si="2"/>
        <v>OK</v>
      </c>
    </row>
    <row r="134" spans="1:6" ht="18.75" customHeight="1">
      <c r="A134" s="21">
        <f>SUBTOTAL(103,B$3:B134)</f>
        <v>61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15</v>
      </c>
      <c r="F134" s="183" t="str">
        <f t="shared" si="2"/>
        <v>OK</v>
      </c>
    </row>
    <row r="135" spans="1:6" ht="18.75" hidden="1" customHeight="1">
      <c r="A135" s="21">
        <f>SUBTOTAL(103,B$3:B135)</f>
        <v>61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hidden="1" customHeight="1">
      <c r="A136" s="21">
        <f>SUBTOTAL(103,B$3:B136)</f>
        <v>61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hidden="1" customHeight="1">
      <c r="A137" s="21">
        <f>SUBTOTAL(103,B$3:B137)</f>
        <v>61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61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61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61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62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76</v>
      </c>
      <c r="F141" s="183" t="str">
        <f t="shared" si="2"/>
        <v>OK</v>
      </c>
    </row>
    <row r="142" spans="1:6" ht="18.75" customHeight="1">
      <c r="A142" s="21">
        <f>SUBTOTAL(103,B$3:B142)</f>
        <v>63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4</v>
      </c>
      <c r="F142" s="183" t="str">
        <f t="shared" si="2"/>
        <v>OK</v>
      </c>
    </row>
    <row r="143" spans="1:6" ht="18.75" customHeight="1">
      <c r="A143" s="21">
        <f>SUBTOTAL(103,B$3:B143)</f>
        <v>64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27</v>
      </c>
      <c r="F143" s="183" t="str">
        <f t="shared" si="2"/>
        <v>OK</v>
      </c>
    </row>
    <row r="144" spans="1:6" ht="18.75" hidden="1" customHeight="1">
      <c r="A144" s="21">
        <f>SUBTOTAL(103,B$3:B144)</f>
        <v>64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customHeight="1">
      <c r="A145" s="21">
        <f>SUBTOTAL(103,B$3:B145)</f>
        <v>65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1</v>
      </c>
      <c r="F145" s="183" t="str">
        <f t="shared" si="2"/>
        <v>OK</v>
      </c>
    </row>
    <row r="146" spans="1:6" ht="18.75" hidden="1" customHeight="1">
      <c r="A146" s="21">
        <f>SUBTOTAL(103,B$3:B146)</f>
        <v>65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hidden="1" customHeight="1">
      <c r="A147" s="21">
        <f>SUBTOTAL(103,B$3:B147)</f>
        <v>65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65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65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66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160</v>
      </c>
      <c r="F150" s="183" t="str">
        <f t="shared" si="2"/>
        <v>OK</v>
      </c>
    </row>
    <row r="151" spans="1:6" ht="18.75" hidden="1" customHeight="1">
      <c r="A151" s="21">
        <f>SUBTOTAL(103,B$3:B151)</f>
        <v>66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67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6.4</v>
      </c>
      <c r="F152" s="183" t="str">
        <f t="shared" si="2"/>
        <v>OK</v>
      </c>
    </row>
    <row r="153" spans="1:6" ht="18.75" customHeight="1">
      <c r="A153" s="21">
        <f>SUBTOTAL(103,B$3:B153)</f>
        <v>68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26.5</v>
      </c>
      <c r="F153" s="183" t="str">
        <f t="shared" si="2"/>
        <v>OK</v>
      </c>
    </row>
    <row r="154" spans="1:6" ht="18.75" customHeight="1">
      <c r="A154" s="21">
        <f>SUBTOTAL(103,B$3:B154)</f>
        <v>69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9.3000000000000007</v>
      </c>
      <c r="F154" s="183" t="str">
        <f t="shared" si="2"/>
        <v>OK</v>
      </c>
    </row>
    <row r="155" spans="1:6" ht="18.75" hidden="1" customHeight="1">
      <c r="A155" s="21">
        <f>SUBTOTAL(103,B$3:B155)</f>
        <v>69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69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69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69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69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70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1</v>
      </c>
      <c r="F160" s="183" t="str">
        <f t="shared" si="2"/>
        <v>OK</v>
      </c>
    </row>
    <row r="161" spans="1:6" ht="18.75" customHeight="1">
      <c r="A161" s="21">
        <f>SUBTOTAL(103,B$3:B161)</f>
        <v>71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2</v>
      </c>
      <c r="F161" s="183" t="str">
        <f t="shared" si="2"/>
        <v>OK</v>
      </c>
    </row>
    <row r="162" spans="1:6" ht="18.75" hidden="1" customHeight="1">
      <c r="A162" s="21">
        <f>SUBTOTAL(103,B$3:B162)</f>
        <v>71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71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71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71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71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71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72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3</v>
      </c>
      <c r="F168" s="183" t="str">
        <f t="shared" si="2"/>
        <v>OK</v>
      </c>
    </row>
    <row r="169" spans="1:6" ht="18.75" customHeight="1">
      <c r="A169" s="21">
        <f>SUBTOTAL(103,B$3:B169)</f>
        <v>73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10</v>
      </c>
      <c r="F169" s="183" t="str">
        <f t="shared" si="2"/>
        <v>OK</v>
      </c>
    </row>
    <row r="170" spans="1:6" ht="18.75" customHeight="1">
      <c r="A170" s="21">
        <f>SUBTOTAL(103,B$3:B170)</f>
        <v>74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26</v>
      </c>
      <c r="F170" s="183" t="str">
        <f t="shared" si="2"/>
        <v>OK</v>
      </c>
    </row>
    <row r="171" spans="1:6" ht="18.75" hidden="1" customHeight="1">
      <c r="A171" s="21">
        <f>SUBTOTAL(103,B$3:B171)</f>
        <v>74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74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hidden="1" customHeight="1">
      <c r="A173" s="21">
        <f>SUBTOTAL(103,B$3:B173)</f>
        <v>74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74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74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74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75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99</v>
      </c>
      <c r="F177" s="183" t="str">
        <f t="shared" si="2"/>
        <v>OK</v>
      </c>
    </row>
    <row r="178" spans="1:6" ht="18.75" customHeight="1">
      <c r="A178" s="21">
        <f>SUBTOTAL(103,B$3:B178)</f>
        <v>76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74</v>
      </c>
      <c r="F178" s="183" t="str">
        <f t="shared" si="2"/>
        <v>OK</v>
      </c>
    </row>
    <row r="179" spans="1:6" ht="18.75" customHeight="1">
      <c r="A179" s="21">
        <f>SUBTOTAL(103,B$3:B179)</f>
        <v>77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9.5</v>
      </c>
      <c r="F179" s="183" t="str">
        <f t="shared" si="2"/>
        <v>OK</v>
      </c>
    </row>
    <row r="180" spans="1:6" ht="18.75" customHeight="1">
      <c r="A180" s="21">
        <f>SUBTOTAL(103,B$3:B180)</f>
        <v>78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8.5</v>
      </c>
      <c r="F180" s="183" t="str">
        <f t="shared" si="2"/>
        <v>OK</v>
      </c>
    </row>
    <row r="181" spans="1:6" ht="18.75" customHeight="1">
      <c r="A181" s="21">
        <f>SUBTOTAL(103,B$3:B181)</f>
        <v>79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15.5</v>
      </c>
      <c r="F181" s="183" t="str">
        <f t="shared" si="2"/>
        <v>OK</v>
      </c>
    </row>
    <row r="182" spans="1:6" ht="18.75" customHeight="1">
      <c r="A182" s="21">
        <f>SUBTOTAL(103,B$3:B182)</f>
        <v>80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203</v>
      </c>
      <c r="F182" s="183" t="str">
        <f t="shared" si="2"/>
        <v>OK</v>
      </c>
    </row>
    <row r="183" spans="1:6" ht="18.75" customHeight="1">
      <c r="A183" s="21">
        <f>SUBTOTAL(103,B$3:B183)</f>
        <v>81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42</v>
      </c>
      <c r="F183" s="183" t="str">
        <f t="shared" si="2"/>
        <v>OK</v>
      </c>
    </row>
    <row r="184" spans="1:6" ht="18.75" customHeight="1">
      <c r="A184" s="21">
        <f>SUBTOTAL(103,B$3:B184)</f>
        <v>82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22</v>
      </c>
      <c r="F184" s="183" t="str">
        <f t="shared" si="2"/>
        <v>OK</v>
      </c>
    </row>
    <row r="185" spans="1:6" ht="18.75" customHeight="1">
      <c r="A185" s="21">
        <f>SUBTOTAL(103,B$3:B185)</f>
        <v>83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25.5</v>
      </c>
      <c r="F185" s="183" t="str">
        <f t="shared" si="2"/>
        <v>OK</v>
      </c>
    </row>
    <row r="186" spans="1:6" ht="18.75" customHeight="1">
      <c r="A186" s="21">
        <f>SUBTOTAL(103,B$3:B186)</f>
        <v>84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6</v>
      </c>
      <c r="F186" s="183" t="str">
        <f t="shared" si="2"/>
        <v>OK</v>
      </c>
    </row>
    <row r="187" spans="1:6" ht="18.75" customHeight="1">
      <c r="A187" s="21">
        <f>SUBTOTAL(103,B$3:B187)</f>
        <v>85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28</v>
      </c>
      <c r="F187" s="183" t="str">
        <f t="shared" si="2"/>
        <v>OK</v>
      </c>
    </row>
    <row r="188" spans="1:6" ht="18.75" customHeight="1">
      <c r="A188" s="21">
        <f>SUBTOTAL(103,B$3:B188)</f>
        <v>86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115</v>
      </c>
      <c r="F188" s="183" t="str">
        <f t="shared" si="2"/>
        <v>OK</v>
      </c>
    </row>
    <row r="189" spans="1:6" ht="18.75" hidden="1" customHeight="1">
      <c r="A189" s="21">
        <f>SUBTOTAL(103,B$3:B189)</f>
        <v>86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hidden="1" customHeight="1">
      <c r="A190" s="21">
        <f>SUBTOTAL(103,B$3:B190)</f>
        <v>86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0</v>
      </c>
      <c r="F190" s="183" t="str">
        <f t="shared" si="2"/>
        <v>×</v>
      </c>
    </row>
    <row r="191" spans="1:6" ht="18.75" customHeight="1">
      <c r="A191" s="21">
        <f>SUBTOTAL(103,B$3:B191)</f>
        <v>87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7</v>
      </c>
      <c r="F191" s="183" t="str">
        <f t="shared" si="2"/>
        <v>OK</v>
      </c>
    </row>
    <row r="192" spans="1:6" ht="18.75" hidden="1" customHeight="1">
      <c r="A192" s="21">
        <f>SUBTOTAL(103,B$3:B192)</f>
        <v>87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88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36</v>
      </c>
      <c r="F193" s="183" t="str">
        <f t="shared" si="2"/>
        <v>OK</v>
      </c>
    </row>
    <row r="194" spans="1:6" ht="18.75" customHeight="1">
      <c r="A194" s="21">
        <f>SUBTOTAL(103,B$3:B194)</f>
        <v>89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47</v>
      </c>
      <c r="F194" s="183" t="str">
        <f t="shared" si="2"/>
        <v>OK</v>
      </c>
    </row>
    <row r="195" spans="1:6" ht="18.75" customHeight="1">
      <c r="A195" s="21">
        <f>SUBTOTAL(103,B$3:B195)</f>
        <v>90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33</v>
      </c>
      <c r="F195" s="183" t="str">
        <f t="shared" si="2"/>
        <v>OK</v>
      </c>
    </row>
    <row r="196" spans="1:6" ht="18.75" hidden="1" customHeight="1">
      <c r="A196" s="21">
        <f>SUBTOTAL(103,B$3:B196)</f>
        <v>90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91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17</v>
      </c>
      <c r="F197" s="183" t="str">
        <f t="shared" si="3"/>
        <v>OK</v>
      </c>
    </row>
    <row r="198" spans="1:6" ht="18.75" customHeight="1">
      <c r="A198" s="21">
        <f>SUBTOTAL(103,B$3:B198)</f>
        <v>92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9</v>
      </c>
      <c r="F198" s="183" t="str">
        <f t="shared" si="3"/>
        <v>OK</v>
      </c>
    </row>
    <row r="199" spans="1:6" ht="18.75" customHeight="1">
      <c r="A199" s="21">
        <f>SUBTOTAL(103,B$3:B199)</f>
        <v>93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0.5</v>
      </c>
      <c r="F199" s="183" t="str">
        <f t="shared" si="3"/>
        <v>OK</v>
      </c>
    </row>
    <row r="200" spans="1:6" ht="18.75" hidden="1" customHeight="1">
      <c r="A200" s="21">
        <f>SUBTOTAL(103,B$3:B200)</f>
        <v>93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93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customHeight="1">
      <c r="A202" s="21">
        <f>SUBTOTAL(103,B$3:B202)</f>
        <v>94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20</v>
      </c>
      <c r="F202" s="183" t="str">
        <f t="shared" si="3"/>
        <v>OK</v>
      </c>
    </row>
    <row r="203" spans="1:6" ht="18.75" customHeight="1">
      <c r="A203" s="21">
        <f>SUBTOTAL(103,B$3:B203)</f>
        <v>95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43</v>
      </c>
      <c r="F203" s="183" t="str">
        <f t="shared" si="3"/>
        <v>OK</v>
      </c>
    </row>
    <row r="204" spans="1:6" ht="18.75" customHeight="1">
      <c r="A204" s="21">
        <f>SUBTOTAL(103,B$3:B204)</f>
        <v>96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28</v>
      </c>
      <c r="F204" s="183" t="str">
        <f t="shared" si="3"/>
        <v>OK</v>
      </c>
    </row>
    <row r="205" spans="1:6" ht="18.75" customHeight="1">
      <c r="A205" s="21">
        <f>SUBTOTAL(103,B$3:B205)</f>
        <v>97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21</v>
      </c>
      <c r="F205" s="183" t="str">
        <f t="shared" si="3"/>
        <v>OK</v>
      </c>
    </row>
    <row r="206" spans="1:6" ht="18.75" customHeight="1">
      <c r="A206" s="21">
        <f>SUBTOTAL(103,B$3:B206)</f>
        <v>98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30</v>
      </c>
      <c r="F206" s="183" t="str">
        <f t="shared" si="3"/>
        <v>OK</v>
      </c>
    </row>
    <row r="207" spans="1:6" ht="18.75" customHeight="1">
      <c r="A207" s="21">
        <f>SUBTOTAL(103,B$3:B207)</f>
        <v>99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25</v>
      </c>
      <c r="F207" s="183" t="str">
        <f t="shared" si="3"/>
        <v>OK</v>
      </c>
    </row>
    <row r="208" spans="1:6" ht="18.75" hidden="1" customHeight="1">
      <c r="A208" s="21">
        <f>SUBTOTAL(103,B$3:B208)</f>
        <v>99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100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3</v>
      </c>
      <c r="F209" s="183" t="str">
        <f t="shared" si="3"/>
        <v>OK</v>
      </c>
    </row>
    <row r="210" spans="1:6" ht="18.75" hidden="1" customHeight="1">
      <c r="A210" s="21">
        <f>SUBTOTAL(103,B$3:B210)</f>
        <v>100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100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100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100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101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26</v>
      </c>
      <c r="F214" s="183" t="str">
        <f t="shared" si="3"/>
        <v>OK</v>
      </c>
    </row>
    <row r="215" spans="1:6" ht="18.75" hidden="1" customHeight="1">
      <c r="A215" s="21">
        <f>SUBTOTAL(103,B$3:B215)</f>
        <v>101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101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101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101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101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101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101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101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101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101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101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101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101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hidden="1" customHeight="1">
      <c r="A228" s="21">
        <f>SUBTOTAL(103,B$3:B228)</f>
        <v>101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102</v>
      </c>
      <c r="B229" s="21">
        <f>P!A231</f>
        <v>227</v>
      </c>
      <c r="C229" s="11" t="str">
        <f>P!B231</f>
        <v>কাচা ছানা সন্দেশ</v>
      </c>
      <c r="D229" s="11" t="str">
        <f>P!C231</f>
        <v>কেজি</v>
      </c>
      <c r="E229" s="31">
        <f>P!AJ231</f>
        <v>1</v>
      </c>
      <c r="F229" s="183" t="str">
        <f t="shared" si="3"/>
        <v>OK</v>
      </c>
    </row>
    <row r="230" spans="1:6" ht="18.75" customHeight="1">
      <c r="A230" s="21">
        <f>SUBTOTAL(103,B$3:B230)</f>
        <v>103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56</v>
      </c>
      <c r="F230" s="183" t="str">
        <f t="shared" si="3"/>
        <v>OK</v>
      </c>
    </row>
    <row r="231" spans="1:6" ht="18.75" customHeight="1">
      <c r="A231" s="21">
        <f>SUBTOTAL(103,B$3:B231)</f>
        <v>104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4000</v>
      </c>
      <c r="F231" s="183" t="str">
        <f t="shared" si="3"/>
        <v>OK</v>
      </c>
    </row>
    <row r="232" spans="1:6" ht="18.75" customHeight="1">
      <c r="A232" s="21">
        <f>SUBTOTAL(103,B$3:B232)</f>
        <v>105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430</v>
      </c>
      <c r="F232" s="183" t="str">
        <f t="shared" si="3"/>
        <v>OK</v>
      </c>
    </row>
    <row r="233" spans="1:6" ht="18.75" hidden="1" customHeight="1">
      <c r="A233" s="21">
        <f>SUBTOTAL(103,B$3:B233)</f>
        <v>105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105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105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105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105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105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105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105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105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105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106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1230</v>
      </c>
      <c r="F243" s="183" t="str">
        <f t="shared" si="3"/>
        <v>OK</v>
      </c>
    </row>
    <row r="244" spans="1:6" ht="18.75" hidden="1" customHeight="1">
      <c r="A244" s="21">
        <f>SUBTOTAL(103,B$3:B244)</f>
        <v>106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107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20</v>
      </c>
      <c r="F245" s="183" t="str">
        <f t="shared" si="3"/>
        <v>OK</v>
      </c>
    </row>
    <row r="246" spans="1:6" ht="18.75" hidden="1" customHeight="1">
      <c r="A246" s="21">
        <f>SUBTOTAL(103,B$3:B246)</f>
        <v>107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108</v>
      </c>
      <c r="B247" s="21">
        <f>P!A249</f>
        <v>245</v>
      </c>
      <c r="C247" s="282" t="str">
        <f>P!B249</f>
        <v>বিবিধ (পাইপ ক্রয়, চিকেন বার্গার, ওয়ানটাইম মাস্ক, ওয়ানটাইম হ্যান্ড গ্লভস...)</v>
      </c>
      <c r="D247" s="11" t="str">
        <f>P!C249</f>
        <v>টাকা</v>
      </c>
      <c r="E247" s="31">
        <f>P!AJ249</f>
        <v>4330</v>
      </c>
      <c r="F247" s="183" t="str">
        <f t="shared" si="3"/>
        <v>OK</v>
      </c>
    </row>
    <row r="248" spans="1:6" ht="18.75" hidden="1" customHeight="1">
      <c r="A248" s="21">
        <f>SUBTOTAL(103,B$3:B248)</f>
        <v>108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0</v>
      </c>
      <c r="F248" s="183" t="str">
        <f t="shared" si="3"/>
        <v>×</v>
      </c>
    </row>
    <row r="249" spans="1:6" ht="18.75" hidden="1" customHeight="1">
      <c r="A249" s="21">
        <f>SUBTOTAL(103,B$3:B249)</f>
        <v>108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109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880</v>
      </c>
      <c r="F250" s="183" t="str">
        <f t="shared" si="3"/>
        <v>OK</v>
      </c>
    </row>
    <row r="251" spans="1:6" ht="18.75" customHeight="1">
      <c r="A251" s="21">
        <f>SUBTOTAL(103,B$3:B251)</f>
        <v>110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3940</v>
      </c>
      <c r="F251" s="183" t="str">
        <f t="shared" si="3"/>
        <v>OK</v>
      </c>
    </row>
    <row r="252" spans="1:6" ht="18.75" customHeight="1">
      <c r="A252" s="21">
        <f>SUBTOTAL(103,B$3:B252)</f>
        <v>111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31400</v>
      </c>
      <c r="F252" s="183" t="str">
        <f t="shared" si="3"/>
        <v>OK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501" priority="2" operator="lessThan">
      <formula>0</formula>
    </cfRule>
  </conditionalFormatting>
  <conditionalFormatting sqref="F3:F252">
    <cfRule type="cellIs" dxfId="500" priority="3" operator="equal">
      <formula>"NZ"</formula>
    </cfRule>
    <cfRule type="cellIs" dxfId="499" priority="4" operator="equal">
      <formula>"OK"</formula>
    </cfRule>
  </conditionalFormatting>
  <conditionalFormatting sqref="F1:F1048576">
    <cfRule type="cellIs" dxfId="49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D7" zoomScaleNormal="100" workbookViewId="0">
      <selection activeCell="I18" sqref="I18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7" t="s">
        <v>472</v>
      </c>
      <c r="B1" s="447"/>
      <c r="C1" s="447"/>
      <c r="D1" s="447"/>
      <c r="E1" s="447"/>
      <c r="F1" s="447"/>
      <c r="G1" s="447"/>
      <c r="H1" s="447"/>
      <c r="I1" s="447"/>
      <c r="J1" s="447"/>
      <c r="K1" s="447"/>
      <c r="L1" s="447"/>
      <c r="M1" s="447"/>
      <c r="N1" s="447"/>
      <c r="O1" s="447"/>
      <c r="P1" s="447"/>
      <c r="Q1" s="447"/>
      <c r="R1" s="447"/>
      <c r="S1" s="447"/>
      <c r="T1" s="447"/>
      <c r="U1" s="447"/>
      <c r="V1" s="182"/>
      <c r="W1" s="59"/>
    </row>
    <row r="2" spans="1:25" ht="15" customHeight="1">
      <c r="A2" s="449" t="s">
        <v>0</v>
      </c>
      <c r="B2" s="450" t="s">
        <v>214</v>
      </c>
      <c r="C2" s="451" t="s">
        <v>1</v>
      </c>
      <c r="D2" s="451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49" t="s">
        <v>295</v>
      </c>
      <c r="V2" s="443" t="s">
        <v>330</v>
      </c>
      <c r="W2" s="24"/>
      <c r="Y2" s="181"/>
    </row>
    <row r="3" spans="1:25" ht="12" customHeight="1">
      <c r="A3" s="449"/>
      <c r="B3" s="450"/>
      <c r="C3" s="451"/>
      <c r="D3" s="451"/>
      <c r="E3" s="422">
        <f>P!D3</f>
        <v>45962</v>
      </c>
      <c r="F3" s="422">
        <f>P!F3</f>
        <v>45963</v>
      </c>
      <c r="G3" s="422">
        <f>P!H3</f>
        <v>45964</v>
      </c>
      <c r="H3" s="422">
        <f>P!J3</f>
        <v>45965</v>
      </c>
      <c r="I3" s="422">
        <f>P!L3</f>
        <v>45966</v>
      </c>
      <c r="J3" s="422">
        <f>P!N3</f>
        <v>45967</v>
      </c>
      <c r="K3" s="422">
        <f>P!P3</f>
        <v>45968</v>
      </c>
      <c r="L3" s="422">
        <f>P!R3</f>
        <v>45969</v>
      </c>
      <c r="M3" s="422">
        <f>P!T3</f>
        <v>45970</v>
      </c>
      <c r="N3" s="422">
        <f>P!V3</f>
        <v>45971</v>
      </c>
      <c r="O3" s="422">
        <f>P!X3</f>
        <v>45972</v>
      </c>
      <c r="P3" s="33">
        <f>P!Z3</f>
        <v>45973</v>
      </c>
      <c r="Q3" s="33">
        <f>P!AB3</f>
        <v>45974</v>
      </c>
      <c r="R3" s="33">
        <f>P!AD3</f>
        <v>45975</v>
      </c>
      <c r="S3" s="33">
        <f>P!AF3</f>
        <v>45976</v>
      </c>
      <c r="T3" s="420">
        <f>P!AH3</f>
        <v>45977</v>
      </c>
      <c r="U3" s="449"/>
      <c r="V3" s="444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25</v>
      </c>
      <c r="F6" s="31">
        <f>P!F7</f>
        <v>50</v>
      </c>
      <c r="G6" s="31">
        <f>P!H7</f>
        <v>0</v>
      </c>
      <c r="H6" s="31">
        <f>P!J7</f>
        <v>50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50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14875</v>
      </c>
      <c r="V6" s="183" t="str">
        <f t="shared" si="0"/>
        <v>OK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50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6100</v>
      </c>
      <c r="V7" s="183" t="str">
        <f t="shared" si="0"/>
        <v>OK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25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3875</v>
      </c>
      <c r="V9" s="183" t="str">
        <f t="shared" si="0"/>
        <v>OK</v>
      </c>
      <c r="W9" s="24"/>
    </row>
    <row r="10" spans="1:25" ht="16.5" hidden="1">
      <c r="A10" s="21">
        <f>SUBTOTAL(103,B$4:B10)</f>
        <v>3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25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3250</v>
      </c>
      <c r="V11" s="183" t="str">
        <f t="shared" si="0"/>
        <v>OK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>
      <c r="A13" s="21">
        <f>SUBTOTAL(103,B$4:B13)</f>
        <v>5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2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120</v>
      </c>
      <c r="V13" s="183" t="str">
        <f t="shared" si="0"/>
        <v>OK</v>
      </c>
      <c r="W13" s="25"/>
    </row>
    <row r="14" spans="1:25" ht="16.5">
      <c r="A14" s="21">
        <f>SUBTOTAL(103,B$4:B14)</f>
        <v>6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15</v>
      </c>
      <c r="F14" s="31">
        <f>P!F15</f>
        <v>15</v>
      </c>
      <c r="G14" s="31">
        <f>P!H15</f>
        <v>15</v>
      </c>
      <c r="H14" s="31">
        <f>P!J15</f>
        <v>15</v>
      </c>
      <c r="I14" s="31">
        <f>P!L15</f>
        <v>10</v>
      </c>
      <c r="J14" s="31">
        <f>P!N15</f>
        <v>25</v>
      </c>
      <c r="K14" s="31">
        <f>P!P15</f>
        <v>0</v>
      </c>
      <c r="L14" s="31">
        <f>P!R15</f>
        <v>0</v>
      </c>
      <c r="M14" s="31">
        <f>P!T15</f>
        <v>5</v>
      </c>
      <c r="N14" s="31">
        <f>P!V15</f>
        <v>5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19110</v>
      </c>
      <c r="V14" s="183" t="str">
        <f t="shared" si="0"/>
        <v>OK</v>
      </c>
      <c r="W14" s="24"/>
    </row>
    <row r="15" spans="1:25" ht="16.5">
      <c r="A15" s="21">
        <f>SUBTOTAL(103,B$4:B15)</f>
        <v>7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1</v>
      </c>
      <c r="F15" s="31">
        <f>P!F16</f>
        <v>0</v>
      </c>
      <c r="G15" s="31">
        <f>P!H16</f>
        <v>2</v>
      </c>
      <c r="H15" s="31">
        <f>P!J16</f>
        <v>0</v>
      </c>
      <c r="I15" s="31">
        <f>P!L16</f>
        <v>0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2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1600</v>
      </c>
      <c r="V15" s="183" t="str">
        <f t="shared" si="0"/>
        <v>OK</v>
      </c>
      <c r="W15" s="25"/>
    </row>
    <row r="16" spans="1:25" ht="16.5">
      <c r="A16" s="21">
        <f>SUBTOTAL(103,B$4:B16)</f>
        <v>8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25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1000</v>
      </c>
      <c r="V16" s="183" t="str">
        <f t="shared" si="0"/>
        <v>OK</v>
      </c>
      <c r="W16" s="24"/>
    </row>
    <row r="17" spans="1:23" ht="16.5" hidden="1">
      <c r="A17" s="413">
        <f>SUBTOTAL(103,B$4:B17)</f>
        <v>8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9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0.1</v>
      </c>
      <c r="J18" s="31">
        <f>P!N19</f>
        <v>0</v>
      </c>
      <c r="K18" s="31">
        <f>P!P19</f>
        <v>0</v>
      </c>
      <c r="L18" s="31">
        <f>P!R19</f>
        <v>0.2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100</v>
      </c>
      <c r="V18" s="183" t="str">
        <f t="shared" si="0"/>
        <v>OK</v>
      </c>
      <c r="W18" s="24"/>
    </row>
    <row r="19" spans="1:23" ht="16.5" hidden="1">
      <c r="A19" s="413">
        <f>SUBTOTAL(103,B$4:B19)</f>
        <v>9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10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63</v>
      </c>
      <c r="G20" s="31">
        <f>P!H21</f>
        <v>0</v>
      </c>
      <c r="H20" s="31">
        <f>P!J21</f>
        <v>0</v>
      </c>
      <c r="I20" s="31">
        <f>P!L21</f>
        <v>126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11340</v>
      </c>
      <c r="V20" s="183" t="str">
        <f t="shared" si="0"/>
        <v>OK</v>
      </c>
      <c r="W20" s="24"/>
    </row>
    <row r="21" spans="1:23" ht="16.5">
      <c r="A21" s="21">
        <f>SUBTOTAL(103,B$4:B21)</f>
        <v>11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0.5</v>
      </c>
      <c r="F21" s="31">
        <f>P!F22</f>
        <v>1</v>
      </c>
      <c r="G21" s="31">
        <f>P!H22</f>
        <v>0</v>
      </c>
      <c r="H21" s="31">
        <f>P!J22</f>
        <v>1.5</v>
      </c>
      <c r="I21" s="31">
        <f>P!L22</f>
        <v>1</v>
      </c>
      <c r="J21" s="31">
        <f>P!N22</f>
        <v>1</v>
      </c>
      <c r="K21" s="31">
        <f>P!P22</f>
        <v>0</v>
      </c>
      <c r="L21" s="31">
        <f>P!R22</f>
        <v>1</v>
      </c>
      <c r="M21" s="31">
        <f>P!T22</f>
        <v>0.2</v>
      </c>
      <c r="N21" s="31">
        <f>P!V22</f>
        <v>1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6720</v>
      </c>
      <c r="V21" s="183" t="str">
        <f t="shared" si="0"/>
        <v>OK</v>
      </c>
      <c r="W21" s="25"/>
    </row>
    <row r="22" spans="1:23" ht="16.5" hidden="1">
      <c r="A22" s="21">
        <f>SUBTOTAL(103,B$4:B22)</f>
        <v>11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0</v>
      </c>
      <c r="V22" s="183" t="str">
        <f t="shared" si="0"/>
        <v>×</v>
      </c>
      <c r="W22" s="25"/>
    </row>
    <row r="23" spans="1:23" ht="16.5">
      <c r="A23" s="21">
        <f>SUBTOTAL(103,B$4:B23)</f>
        <v>12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720</v>
      </c>
      <c r="K23" s="31">
        <f>P!P24</f>
        <v>0</v>
      </c>
      <c r="L23" s="31">
        <f>P!R24</f>
        <v>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2016</v>
      </c>
      <c r="V23" s="183" t="str">
        <f t="shared" si="0"/>
        <v>OK</v>
      </c>
      <c r="W23" s="25"/>
    </row>
    <row r="24" spans="1:23" ht="16.5">
      <c r="A24" s="413">
        <f>SUBTOTAL(103,B$4:B24)</f>
        <v>13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1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300</v>
      </c>
      <c r="V24" s="183" t="str">
        <f t="shared" si="0"/>
        <v>OK</v>
      </c>
      <c r="W24" s="25"/>
    </row>
    <row r="25" spans="1:23" ht="16.5">
      <c r="A25" s="21">
        <f>SUBTOTAL(103,B$4:B25)</f>
        <v>14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1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440</v>
      </c>
      <c r="V25" s="183" t="str">
        <f t="shared" si="0"/>
        <v>OK</v>
      </c>
      <c r="W25" s="25"/>
    </row>
    <row r="26" spans="1:23" ht="16.5" hidden="1">
      <c r="A26" s="21">
        <f>SUBTOTAL(103,B$4:B26)</f>
        <v>14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14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14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14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15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1E-3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300</v>
      </c>
      <c r="V30" s="183" t="str">
        <f t="shared" si="0"/>
        <v>OK</v>
      </c>
      <c r="W30" s="25"/>
    </row>
    <row r="31" spans="1:23" ht="16.5" hidden="1">
      <c r="A31" s="413">
        <f>SUBTOTAL(103,B$4:B31)</f>
        <v>15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15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15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15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16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32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4320</v>
      </c>
      <c r="V35" s="183" t="str">
        <f t="shared" si="0"/>
        <v>OK</v>
      </c>
      <c r="W35" s="25"/>
    </row>
    <row r="36" spans="1:23" ht="16.5" hidden="1">
      <c r="A36" s="413">
        <f>SUBTOTAL(103,B$4:B36)</f>
        <v>16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 hidden="1">
      <c r="A37" s="21">
        <f>SUBTOTAL(103,B$4:B37)</f>
        <v>16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16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17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0</v>
      </c>
      <c r="L39" s="31">
        <f>P!R40</f>
        <v>1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120</v>
      </c>
      <c r="V39" s="183" t="str">
        <f t="shared" si="0"/>
        <v>OK</v>
      </c>
      <c r="W39" s="25"/>
    </row>
    <row r="40" spans="1:23" ht="16.5" hidden="1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1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85</v>
      </c>
      <c r="V41" s="183" t="str">
        <f t="shared" si="0"/>
        <v>OK</v>
      </c>
      <c r="W41" s="25"/>
    </row>
    <row r="42" spans="1:23" ht="16.5" hidden="1">
      <c r="A42" s="21">
        <f>SUBTOTAL(103,B$4:B42)</f>
        <v>18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18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18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18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 hidden="1">
      <c r="A46" s="21">
        <f>SUBTOTAL(103,B$4:B46)</f>
        <v>18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>
      <c r="A47" s="21">
        <f>SUBTOTAL(103,B$4:B47)</f>
        <v>19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0.25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200</v>
      </c>
      <c r="V47" s="183" t="str">
        <f t="shared" si="0"/>
        <v>OK</v>
      </c>
      <c r="W47" s="25"/>
    </row>
    <row r="48" spans="1:23" ht="16.5" hidden="1">
      <c r="A48" s="413">
        <f>SUBTOTAL(103,B$4:B48)</f>
        <v>19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19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19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20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2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120</v>
      </c>
      <c r="V51" s="183" t="str">
        <f t="shared" si="0"/>
        <v>OK</v>
      </c>
      <c r="W51" s="25"/>
    </row>
    <row r="52" spans="1:23" ht="16.5" hidden="1">
      <c r="A52" s="413">
        <f>SUBTOTAL(103,B$4:B52)</f>
        <v>20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20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20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21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100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100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160</v>
      </c>
      <c r="V55" s="183" t="str">
        <f t="shared" si="0"/>
        <v>OK</v>
      </c>
      <c r="W55" s="25"/>
    </row>
    <row r="56" spans="1:23" ht="16.5">
      <c r="A56" s="21">
        <f>SUBTOTAL(103,B$4:B56)</f>
        <v>22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100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25</v>
      </c>
      <c r="V56" s="183" t="str">
        <f t="shared" si="0"/>
        <v>OK</v>
      </c>
      <c r="W56" s="25"/>
    </row>
    <row r="57" spans="1:23" ht="16.5">
      <c r="A57" s="21">
        <f>SUBTOTAL(103,B$4:B57)</f>
        <v>23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6</v>
      </c>
      <c r="F57" s="31">
        <f>P!F58</f>
        <v>6</v>
      </c>
      <c r="G57" s="31">
        <f>P!H58</f>
        <v>8</v>
      </c>
      <c r="H57" s="31">
        <f>P!J58</f>
        <v>8</v>
      </c>
      <c r="I57" s="31">
        <f>P!L58</f>
        <v>6</v>
      </c>
      <c r="J57" s="31">
        <f>P!N58</f>
        <v>6</v>
      </c>
      <c r="K57" s="31">
        <f>P!P58</f>
        <v>0</v>
      </c>
      <c r="L57" s="31">
        <f>P!R58</f>
        <v>0</v>
      </c>
      <c r="M57" s="31">
        <f>P!T58</f>
        <v>5</v>
      </c>
      <c r="N57" s="31">
        <f>P!V58</f>
        <v>4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980</v>
      </c>
      <c r="V57" s="183" t="str">
        <f t="shared" si="0"/>
        <v>OK</v>
      </c>
      <c r="W57" s="25"/>
    </row>
    <row r="58" spans="1:23" ht="16.5" hidden="1">
      <c r="A58" s="413">
        <f>SUBTOTAL(103,B$4:B58)</f>
        <v>23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23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23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24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5</v>
      </c>
      <c r="H61" s="31">
        <f>P!J62</f>
        <v>0</v>
      </c>
      <c r="I61" s="31">
        <f>P!L62</f>
        <v>0</v>
      </c>
      <c r="J61" s="31">
        <f>P!N62</f>
        <v>5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1100</v>
      </c>
      <c r="V61" s="183" t="str">
        <f t="shared" si="0"/>
        <v>OK</v>
      </c>
      <c r="W61" s="25"/>
    </row>
    <row r="62" spans="1:23" ht="16.5">
      <c r="A62" s="21">
        <f>SUBTOTAL(103,B$4:B62)</f>
        <v>25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0.5</v>
      </c>
      <c r="G62" s="31">
        <f>P!H63</f>
        <v>0</v>
      </c>
      <c r="H62" s="31">
        <f>P!J63</f>
        <v>0.5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</v>
      </c>
      <c r="M62" s="31">
        <f>P!T63</f>
        <v>0</v>
      </c>
      <c r="N62" s="31">
        <f>P!V63</f>
        <v>0.5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960</v>
      </c>
      <c r="V62" s="183" t="str">
        <f t="shared" si="0"/>
        <v>OK</v>
      </c>
      <c r="W62" s="25"/>
    </row>
    <row r="63" spans="1:23" ht="16.5">
      <c r="A63" s="21">
        <f>SUBTOTAL(103,B$4:B63)</f>
        <v>26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0.5</v>
      </c>
      <c r="G63" s="31">
        <f>P!H64</f>
        <v>0</v>
      </c>
      <c r="H63" s="31">
        <f>P!J64</f>
        <v>0.5</v>
      </c>
      <c r="I63" s="31">
        <f>P!L64</f>
        <v>0</v>
      </c>
      <c r="J63" s="31">
        <f>P!N64</f>
        <v>0</v>
      </c>
      <c r="K63" s="31">
        <f>P!P64</f>
        <v>0</v>
      </c>
      <c r="L63" s="31">
        <f>P!R64</f>
        <v>0</v>
      </c>
      <c r="M63" s="31">
        <f>P!T64</f>
        <v>0.5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990</v>
      </c>
      <c r="V63" s="183" t="str">
        <f t="shared" si="0"/>
        <v>OK</v>
      </c>
      <c r="W63" s="25"/>
    </row>
    <row r="64" spans="1:23" ht="16.5">
      <c r="A64" s="21">
        <f>SUBTOTAL(103,B$4:B64)</f>
        <v>27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0.1</v>
      </c>
      <c r="H64" s="31">
        <f>P!J65</f>
        <v>0</v>
      </c>
      <c r="I64" s="31">
        <f>P!L65</f>
        <v>0.1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80</v>
      </c>
      <c r="V64" s="183" t="str">
        <f t="shared" si="0"/>
        <v>OK</v>
      </c>
      <c r="W64" s="25"/>
    </row>
    <row r="65" spans="1:23" ht="16.5" hidden="1">
      <c r="A65" s="413">
        <f>SUBTOTAL(103,B$4:B65)</f>
        <v>27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28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0.1</v>
      </c>
      <c r="F66" s="31">
        <f>P!F67</f>
        <v>0.1</v>
      </c>
      <c r="G66" s="31">
        <f>P!H67</f>
        <v>0</v>
      </c>
      <c r="H66" s="31">
        <f>P!J67</f>
        <v>0</v>
      </c>
      <c r="I66" s="31">
        <f>P!L67</f>
        <v>0.2</v>
      </c>
      <c r="J66" s="31">
        <f>P!N67</f>
        <v>0</v>
      </c>
      <c r="K66" s="31">
        <f>P!P67</f>
        <v>0.5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1180</v>
      </c>
      <c r="V66" s="183" t="str">
        <f t="shared" si="0"/>
        <v>OK</v>
      </c>
      <c r="W66" s="25"/>
    </row>
    <row r="67" spans="1:23" ht="16.5">
      <c r="A67" s="21">
        <f>SUBTOTAL(103,B$4:B67)</f>
        <v>29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1</v>
      </c>
      <c r="J67" s="31">
        <f>P!N68</f>
        <v>0</v>
      </c>
      <c r="K67" s="31">
        <f>P!P68</f>
        <v>0</v>
      </c>
      <c r="L67" s="31">
        <f>P!R68</f>
        <v>1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36</v>
      </c>
      <c r="V67" s="183" t="str">
        <f t="shared" si="0"/>
        <v>OK</v>
      </c>
      <c r="W67" s="25"/>
    </row>
    <row r="68" spans="1:23" ht="16.5">
      <c r="A68" s="21">
        <f>SUBTOTAL(103,B$4:B68)</f>
        <v>30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1</v>
      </c>
      <c r="J68" s="31">
        <f>P!N69</f>
        <v>0</v>
      </c>
      <c r="K68" s="31">
        <f>P!P69</f>
        <v>0</v>
      </c>
      <c r="L68" s="31">
        <f>P!R69</f>
        <v>1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36</v>
      </c>
      <c r="V68" s="183" t="str">
        <f t="shared" si="0"/>
        <v>OK</v>
      </c>
      <c r="W68" s="25"/>
    </row>
    <row r="69" spans="1:23" ht="16.5">
      <c r="A69" s="21">
        <f>SUBTOTAL(103,B$4:B69)</f>
        <v>31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0.05</v>
      </c>
      <c r="F69" s="31">
        <f>P!F70</f>
        <v>0.05</v>
      </c>
      <c r="G69" s="31">
        <f>P!H70</f>
        <v>0</v>
      </c>
      <c r="H69" s="31">
        <f>P!J70</f>
        <v>0.1</v>
      </c>
      <c r="I69" s="31">
        <f>P!L70</f>
        <v>0</v>
      </c>
      <c r="J69" s="31">
        <f>P!N70</f>
        <v>0.05</v>
      </c>
      <c r="K69" s="31">
        <f>P!P70</f>
        <v>0</v>
      </c>
      <c r="L69" s="31">
        <f>P!R70</f>
        <v>0</v>
      </c>
      <c r="M69" s="31">
        <f>P!T70</f>
        <v>0.05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1720</v>
      </c>
      <c r="V69" s="183" t="str">
        <f t="shared" ref="V69:V132" si="1">IF(U69&lt;&gt;0, "OK","×")</f>
        <v>OK</v>
      </c>
      <c r="W69" s="25"/>
    </row>
    <row r="70" spans="1:23" ht="16.5">
      <c r="A70" s="21">
        <f>SUBTOTAL(103,B$4:B70)</f>
        <v>32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0.1</v>
      </c>
      <c r="F70" s="31">
        <f>P!F71</f>
        <v>0.1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0.5</v>
      </c>
      <c r="K70" s="31">
        <f>P!P71</f>
        <v>0</v>
      </c>
      <c r="L70" s="31">
        <f>P!R71</f>
        <v>0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420</v>
      </c>
      <c r="V70" s="183" t="str">
        <f t="shared" si="1"/>
        <v>OK</v>
      </c>
      <c r="W70" s="25"/>
    </row>
    <row r="71" spans="1:23" ht="16.5">
      <c r="A71" s="21">
        <f>SUBTOTAL(103,B$4:B71)</f>
        <v>33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2.5000000000000001E-2</v>
      </c>
      <c r="F71" s="31">
        <f>P!F72</f>
        <v>2.5000000000000001E-2</v>
      </c>
      <c r="G71" s="31">
        <f>P!H72</f>
        <v>0</v>
      </c>
      <c r="H71" s="31">
        <f>P!J72</f>
        <v>0</v>
      </c>
      <c r="I71" s="31">
        <f>P!L72</f>
        <v>2.5000000000000001E-2</v>
      </c>
      <c r="J71" s="31">
        <f>P!N72</f>
        <v>0.05</v>
      </c>
      <c r="K71" s="31">
        <f>P!P72</f>
        <v>0</v>
      </c>
      <c r="L71" s="31">
        <f>P!R72</f>
        <v>0</v>
      </c>
      <c r="M71" s="31">
        <f>P!T72</f>
        <v>0.05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470</v>
      </c>
      <c r="V71" s="183" t="str">
        <f t="shared" si="1"/>
        <v>OK</v>
      </c>
      <c r="W71" s="25"/>
    </row>
    <row r="72" spans="1:23" ht="16.5" hidden="1">
      <c r="A72" s="21">
        <f>SUBTOTAL(103,B$4:B72)</f>
        <v>33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>
      <c r="A73" s="21">
        <f>SUBTOTAL(103,B$4:B73)</f>
        <v>34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0.25</v>
      </c>
      <c r="J73" s="31">
        <f>P!N74</f>
        <v>0</v>
      </c>
      <c r="K73" s="31">
        <f>P!P74</f>
        <v>0</v>
      </c>
      <c r="L73" s="31">
        <f>P!R74</f>
        <v>0.1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305</v>
      </c>
      <c r="V73" s="183" t="str">
        <f t="shared" si="1"/>
        <v>OK</v>
      </c>
      <c r="W73" s="25"/>
    </row>
    <row r="74" spans="1:23" ht="16.5">
      <c r="A74" s="21">
        <f>SUBTOTAL(103,B$4:B74)</f>
        <v>35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0.2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140</v>
      </c>
      <c r="V74" s="183" t="str">
        <f t="shared" si="1"/>
        <v>OK</v>
      </c>
      <c r="W74" s="25"/>
    </row>
    <row r="75" spans="1:23" ht="16.5" hidden="1">
      <c r="A75" s="413">
        <f>SUBTOTAL(103,B$4:B75)</f>
        <v>35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36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0.2</v>
      </c>
      <c r="L76" s="31">
        <f>P!R77</f>
        <v>0.45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1180</v>
      </c>
      <c r="V76" s="183" t="str">
        <f t="shared" si="1"/>
        <v>OK</v>
      </c>
      <c r="W76" s="25"/>
    </row>
    <row r="77" spans="1:23" ht="16.5" hidden="1">
      <c r="A77" s="413">
        <f>SUBTOTAL(103,B$4:B77)</f>
        <v>36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 hidden="1">
      <c r="A78" s="21">
        <f>SUBTOTAL(103,B$4:B78)</f>
        <v>36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>
      <c r="A79" s="21">
        <f>SUBTOTAL(103,B$4:B79)</f>
        <v>37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0.1</v>
      </c>
      <c r="G79" s="31">
        <f>P!H80</f>
        <v>0</v>
      </c>
      <c r="H79" s="31">
        <f>P!J80</f>
        <v>0.1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0.1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180</v>
      </c>
      <c r="V79" s="183" t="str">
        <f t="shared" si="1"/>
        <v>OK</v>
      </c>
      <c r="W79" s="25"/>
    </row>
    <row r="80" spans="1:23" ht="16.5" hidden="1">
      <c r="A80" s="413">
        <f>SUBTOTAL(103,B$4:B80)</f>
        <v>37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38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1</v>
      </c>
      <c r="F81" s="31">
        <f>P!F82</f>
        <v>1</v>
      </c>
      <c r="G81" s="31">
        <f>P!H82</f>
        <v>1</v>
      </c>
      <c r="H81" s="31">
        <f>P!J82</f>
        <v>0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1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720</v>
      </c>
      <c r="V81" s="183" t="str">
        <f t="shared" si="1"/>
        <v>OK</v>
      </c>
      <c r="W81" s="25"/>
    </row>
    <row r="82" spans="1:23" ht="16.5" hidden="1">
      <c r="A82" s="413">
        <f>SUBTOTAL(103,B$4:B82)</f>
        <v>38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38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38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>
      <c r="A85" s="21">
        <f>SUBTOTAL(103,B$4:B85)</f>
        <v>39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2.5000000000000001E-2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90</v>
      </c>
      <c r="V85" s="183" t="str">
        <f t="shared" si="1"/>
        <v>OK</v>
      </c>
      <c r="W85" s="25"/>
    </row>
    <row r="86" spans="1:23" ht="16.5" hidden="1">
      <c r="A86" s="21">
        <f>SUBTOTAL(103,B$4:B86)</f>
        <v>39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40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0.1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180</v>
      </c>
      <c r="V87" s="183" t="str">
        <f t="shared" si="1"/>
        <v>OK</v>
      </c>
      <c r="W87" s="25"/>
    </row>
    <row r="88" spans="1:23" ht="16.5">
      <c r="A88" s="21">
        <f>SUBTOTAL(103,B$4:B88)</f>
        <v>41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24</v>
      </c>
      <c r="G88" s="31">
        <f>P!H89</f>
        <v>0</v>
      </c>
      <c r="H88" s="31">
        <f>P!J89</f>
        <v>24</v>
      </c>
      <c r="I88" s="31">
        <f>P!L89</f>
        <v>24</v>
      </c>
      <c r="J88" s="31">
        <f>P!N89</f>
        <v>24</v>
      </c>
      <c r="K88" s="31">
        <f>P!P89</f>
        <v>0</v>
      </c>
      <c r="L88" s="31">
        <f>P!R89</f>
        <v>0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6432</v>
      </c>
      <c r="V88" s="183" t="str">
        <f t="shared" si="1"/>
        <v>OK</v>
      </c>
      <c r="W88" s="25"/>
    </row>
    <row r="89" spans="1:23" ht="16.5">
      <c r="A89" s="21">
        <f>SUBTOTAL(103,B$4:B89)</f>
        <v>42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20</v>
      </c>
      <c r="G89" s="31">
        <f>P!H90</f>
        <v>0</v>
      </c>
      <c r="H89" s="31">
        <f>P!J90</f>
        <v>0</v>
      </c>
      <c r="I89" s="31">
        <f>P!L90</f>
        <v>20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4000</v>
      </c>
      <c r="V89" s="183" t="str">
        <f t="shared" si="1"/>
        <v>OK</v>
      </c>
      <c r="W89" s="25"/>
    </row>
    <row r="90" spans="1:23" ht="16.5">
      <c r="A90" s="21">
        <f>SUBTOTAL(103,B$4:B90)</f>
        <v>43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150</v>
      </c>
      <c r="F90" s="31">
        <f>P!F91</f>
        <v>240</v>
      </c>
      <c r="G90" s="31">
        <f>P!H91</f>
        <v>60</v>
      </c>
      <c r="H90" s="31">
        <f>P!J91</f>
        <v>210</v>
      </c>
      <c r="I90" s="31">
        <f>P!L91</f>
        <v>330</v>
      </c>
      <c r="J90" s="31">
        <f>P!N91</f>
        <v>90</v>
      </c>
      <c r="K90" s="31">
        <f>P!P91</f>
        <v>40</v>
      </c>
      <c r="L90" s="31">
        <f>P!R91</f>
        <v>30</v>
      </c>
      <c r="M90" s="31">
        <f>P!T91</f>
        <v>90</v>
      </c>
      <c r="N90" s="31">
        <f>P!V91</f>
        <v>60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14705</v>
      </c>
      <c r="V90" s="183" t="str">
        <f t="shared" si="1"/>
        <v>OK</v>
      </c>
      <c r="W90" s="25"/>
    </row>
    <row r="91" spans="1:23" ht="16.5" hidden="1">
      <c r="A91" s="413">
        <f>SUBTOTAL(103,B$4:B91)</f>
        <v>43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43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 hidden="1">
      <c r="A93" s="21">
        <f>SUBTOTAL(103,B$4:B93)</f>
        <v>43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43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43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44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4</v>
      </c>
      <c r="F96" s="31">
        <f>P!F97</f>
        <v>4</v>
      </c>
      <c r="G96" s="31">
        <f>P!H97</f>
        <v>0</v>
      </c>
      <c r="H96" s="31">
        <f>P!J97</f>
        <v>1</v>
      </c>
      <c r="I96" s="31">
        <f>P!L97</f>
        <v>0</v>
      </c>
      <c r="J96" s="31">
        <f>P!N97</f>
        <v>4</v>
      </c>
      <c r="K96" s="31">
        <f>P!P97</f>
        <v>0</v>
      </c>
      <c r="L96" s="31">
        <f>P!R97</f>
        <v>0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1170</v>
      </c>
      <c r="V96" s="183" t="str">
        <f t="shared" si="1"/>
        <v>OK</v>
      </c>
      <c r="W96" s="25"/>
    </row>
    <row r="97" spans="1:23" ht="16.5" hidden="1">
      <c r="A97" s="413">
        <f>SUBTOTAL(103,B$4:B97)</f>
        <v>44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44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45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0</v>
      </c>
      <c r="H99" s="31">
        <f>P!J100</f>
        <v>0</v>
      </c>
      <c r="I99" s="31">
        <f>P!L100</f>
        <v>0</v>
      </c>
      <c r="J99" s="31">
        <f>P!N100</f>
        <v>1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175</v>
      </c>
      <c r="V99" s="183" t="str">
        <f t="shared" si="1"/>
        <v>OK</v>
      </c>
      <c r="W99" s="25"/>
    </row>
    <row r="100" spans="1:23" ht="16.5">
      <c r="A100" s="413">
        <f>SUBTOTAL(103,B$4:B100)</f>
        <v>46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0.45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270</v>
      </c>
      <c r="V100" s="183" t="str">
        <f t="shared" si="1"/>
        <v>OK</v>
      </c>
      <c r="W100" s="25"/>
    </row>
    <row r="101" spans="1:23" ht="16.5">
      <c r="A101" s="21">
        <f>SUBTOTAL(103,B$4:B101)</f>
        <v>47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3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525</v>
      </c>
      <c r="V101" s="183" t="str">
        <f t="shared" si="1"/>
        <v>OK</v>
      </c>
      <c r="W101" s="25"/>
    </row>
    <row r="102" spans="1:23" ht="16.5" hidden="1">
      <c r="A102" s="413">
        <f>SUBTOTAL(103,B$4:B102)</f>
        <v>47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>
      <c r="A103" s="21">
        <f>SUBTOTAL(103,B$4:B103)</f>
        <v>48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2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3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500</v>
      </c>
      <c r="V103" s="183" t="str">
        <f t="shared" si="1"/>
        <v>OK</v>
      </c>
      <c r="W103" s="25"/>
    </row>
    <row r="104" spans="1:23" ht="16.5" hidden="1">
      <c r="A104" s="21">
        <f>SUBTOTAL(103,B$4:B104)</f>
        <v>48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>
      <c r="A105" s="21">
        <f>SUBTOTAL(103,B$4:B105)</f>
        <v>49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12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1920</v>
      </c>
      <c r="V105" s="183" t="str">
        <f t="shared" si="1"/>
        <v>OK</v>
      </c>
      <c r="W105" s="25"/>
    </row>
    <row r="106" spans="1:23" ht="16.5" hidden="1">
      <c r="A106" s="413">
        <f>SUBTOTAL(103,B$4:B106)</f>
        <v>49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hidden="1" customHeight="1">
      <c r="A107" s="21">
        <f>SUBTOTAL(103,B$4:B107)</f>
        <v>49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>
      <c r="A108" s="21">
        <f>SUBTOTAL(103,B$4:B108)</f>
        <v>50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1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340</v>
      </c>
      <c r="V108" s="183" t="str">
        <f t="shared" si="1"/>
        <v>OK</v>
      </c>
      <c r="W108" s="25"/>
    </row>
    <row r="109" spans="1:23" ht="16.5" hidden="1">
      <c r="A109" s="413">
        <f>SUBTOTAL(103,B$4:B109)</f>
        <v>50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 hidden="1">
      <c r="A110" s="21">
        <f>SUBTOTAL(103,B$4:B110)</f>
        <v>50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0</v>
      </c>
      <c r="V110" s="183" t="str">
        <f t="shared" si="1"/>
        <v>×</v>
      </c>
      <c r="W110" s="25"/>
    </row>
    <row r="111" spans="1:23" ht="16.5" hidden="1">
      <c r="A111" s="413">
        <f>SUBTOTAL(103,B$4:B111)</f>
        <v>50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50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51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0</v>
      </c>
      <c r="G113" s="31">
        <f>P!H114</f>
        <v>0</v>
      </c>
      <c r="H113" s="31">
        <f>P!J114</f>
        <v>0.5</v>
      </c>
      <c r="I113" s="31">
        <f>P!L114</f>
        <v>0</v>
      </c>
      <c r="J113" s="31">
        <f>P!N114</f>
        <v>0.25</v>
      </c>
      <c r="K113" s="31">
        <f>P!P114</f>
        <v>0</v>
      </c>
      <c r="L113" s="31">
        <f>P!R114</f>
        <v>0.24</v>
      </c>
      <c r="M113" s="31">
        <f>P!T114</f>
        <v>0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2075</v>
      </c>
      <c r="V113" s="183" t="str">
        <f t="shared" si="1"/>
        <v>OK</v>
      </c>
      <c r="W113" s="25"/>
    </row>
    <row r="114" spans="1:23" ht="16.5" hidden="1">
      <c r="A114" s="21">
        <f>SUBTOTAL(103,B$4:B114)</f>
        <v>51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51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51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52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0</v>
      </c>
      <c r="H117" s="31">
        <f>P!J118</f>
        <v>0</v>
      </c>
      <c r="I117" s="31">
        <f>P!L118</f>
        <v>288</v>
      </c>
      <c r="J117" s="31">
        <f>P!N118</f>
        <v>0</v>
      </c>
      <c r="K117" s="31">
        <f>P!P118</f>
        <v>6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2660</v>
      </c>
      <c r="V117" s="183" t="str">
        <f t="shared" si="1"/>
        <v>OK</v>
      </c>
      <c r="W117" s="25"/>
    </row>
    <row r="118" spans="1:23" ht="16.5" hidden="1">
      <c r="A118" s="413">
        <f>SUBTOTAL(103,B$4:B118)</f>
        <v>52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52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52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>
      <c r="A121" s="21">
        <f>SUBTOTAL(103,B$4:B121)</f>
        <v>53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2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290</v>
      </c>
      <c r="V121" s="183" t="str">
        <f t="shared" si="1"/>
        <v>OK</v>
      </c>
      <c r="W121" s="25"/>
    </row>
    <row r="122" spans="1:23" ht="16.5" hidden="1">
      <c r="A122" s="21">
        <f>SUBTOTAL(103,B$4:B122)</f>
        <v>53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0</v>
      </c>
      <c r="V122" s="183" t="str">
        <f t="shared" si="1"/>
        <v>×</v>
      </c>
      <c r="W122" s="25"/>
    </row>
    <row r="123" spans="1:23" ht="16.5" hidden="1">
      <c r="A123" s="21">
        <f>SUBTOTAL(103,B$4:B123)</f>
        <v>53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54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0.32</v>
      </c>
      <c r="G124" s="31">
        <f>P!H125</f>
        <v>0</v>
      </c>
      <c r="H124" s="31">
        <f>P!J125</f>
        <v>0</v>
      </c>
      <c r="I124" s="31">
        <f>P!L125</f>
        <v>1.5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1705</v>
      </c>
      <c r="V124" s="183" t="str">
        <f t="shared" si="1"/>
        <v>OK</v>
      </c>
      <c r="W124" s="25"/>
    </row>
    <row r="125" spans="1:23" ht="16.5">
      <c r="A125" s="21">
        <f>SUBTOTAL(103,B$4:B125)</f>
        <v>55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48</v>
      </c>
      <c r="F125" s="31">
        <f>P!F126</f>
        <v>86</v>
      </c>
      <c r="G125" s="31">
        <f>P!H126</f>
        <v>30</v>
      </c>
      <c r="H125" s="31">
        <f>P!J126</f>
        <v>85</v>
      </c>
      <c r="I125" s="31">
        <f>P!L126</f>
        <v>97</v>
      </c>
      <c r="J125" s="31">
        <f>P!N126</f>
        <v>35</v>
      </c>
      <c r="K125" s="31">
        <f>P!P126</f>
        <v>30</v>
      </c>
      <c r="L125" s="31">
        <f>P!R126</f>
        <v>35</v>
      </c>
      <c r="M125" s="31">
        <f>P!T126</f>
        <v>40</v>
      </c>
      <c r="N125" s="31">
        <f>P!V126</f>
        <v>26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5120</v>
      </c>
      <c r="V125" s="183" t="str">
        <f t="shared" si="1"/>
        <v>OK</v>
      </c>
      <c r="W125" s="25"/>
    </row>
    <row r="126" spans="1:23" ht="16.5" hidden="1">
      <c r="A126" s="413">
        <f>SUBTOTAL(103,B$4:B126)</f>
        <v>55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56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5.6</v>
      </c>
      <c r="F127" s="31">
        <f>P!F128</f>
        <v>0</v>
      </c>
      <c r="G127" s="31">
        <f>P!H128</f>
        <v>10.199999999999999</v>
      </c>
      <c r="H127" s="31">
        <f>P!J128</f>
        <v>5.6</v>
      </c>
      <c r="I127" s="31">
        <f>P!L128</f>
        <v>7.9</v>
      </c>
      <c r="J127" s="31">
        <f>P!N128</f>
        <v>0</v>
      </c>
      <c r="K127" s="31">
        <f>P!P128</f>
        <v>0</v>
      </c>
      <c r="L127" s="31">
        <f>P!R128</f>
        <v>0.95</v>
      </c>
      <c r="M127" s="31">
        <f>P!T128</f>
        <v>0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3313</v>
      </c>
      <c r="V127" s="183" t="str">
        <f t="shared" si="1"/>
        <v>OK</v>
      </c>
      <c r="W127" s="25"/>
    </row>
    <row r="128" spans="1:23" ht="16.5" hidden="1">
      <c r="A128" s="21">
        <f>SUBTOTAL(103,B$4:B128)</f>
        <v>56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57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1</v>
      </c>
      <c r="F129" s="31">
        <f>P!F130</f>
        <v>0</v>
      </c>
      <c r="G129" s="31">
        <f>P!H130</f>
        <v>0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380</v>
      </c>
      <c r="V129" s="183" t="str">
        <f t="shared" si="1"/>
        <v>OK</v>
      </c>
      <c r="W129" s="25"/>
    </row>
    <row r="130" spans="1:23" ht="16.5">
      <c r="A130" s="413">
        <f>SUBTOTAL(103,B$4:B130)</f>
        <v>58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1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300</v>
      </c>
      <c r="V130" s="183" t="str">
        <f t="shared" si="1"/>
        <v>OK</v>
      </c>
      <c r="W130" s="25"/>
    </row>
    <row r="131" spans="1:23" ht="16.5">
      <c r="A131" s="21">
        <f>SUBTOTAL(103,B$4:B131)</f>
        <v>59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5</v>
      </c>
      <c r="F131" s="31">
        <f>P!F132</f>
        <v>0</v>
      </c>
      <c r="G131" s="31">
        <f>P!H132</f>
        <v>5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1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1150</v>
      </c>
      <c r="V131" s="183" t="str">
        <f t="shared" si="1"/>
        <v>OK</v>
      </c>
      <c r="W131" s="25"/>
    </row>
    <row r="132" spans="1:23" ht="16.5" hidden="1">
      <c r="A132" s="413">
        <f>SUBTOTAL(103,B$4:B132)</f>
        <v>59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59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60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7.1</v>
      </c>
      <c r="F134" s="31">
        <f>P!F135</f>
        <v>0</v>
      </c>
      <c r="G134" s="31">
        <f>P!H135</f>
        <v>0</v>
      </c>
      <c r="H134" s="31">
        <f>P!J135</f>
        <v>6.3</v>
      </c>
      <c r="I134" s="31">
        <f>P!L135</f>
        <v>0</v>
      </c>
      <c r="J134" s="31">
        <f>P!N135</f>
        <v>1.65</v>
      </c>
      <c r="K134" s="31">
        <f>P!P135</f>
        <v>0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2811</v>
      </c>
      <c r="V134" s="183" t="str">
        <f t="shared" si="2"/>
        <v>OK</v>
      </c>
      <c r="W134" s="25"/>
    </row>
    <row r="135" spans="1:23" ht="16.5">
      <c r="A135" s="21">
        <f>SUBTOTAL(103,B$4:B135)</f>
        <v>61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15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900</v>
      </c>
      <c r="V135" s="183" t="str">
        <f t="shared" si="2"/>
        <v>OK</v>
      </c>
      <c r="W135" s="25"/>
    </row>
    <row r="136" spans="1:23" ht="16.5" hidden="1">
      <c r="A136" s="413">
        <f>SUBTOTAL(103,B$4:B136)</f>
        <v>61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 hidden="1">
      <c r="A137" s="21">
        <f>SUBTOTAL(103,B$4:B137)</f>
        <v>61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 hidden="1">
      <c r="A138" s="413">
        <f>SUBTOTAL(103,B$4:B138)</f>
        <v>61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61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61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61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62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50</v>
      </c>
      <c r="J142" s="31">
        <f>P!N143</f>
        <v>0</v>
      </c>
      <c r="K142" s="31">
        <f>P!P143</f>
        <v>0</v>
      </c>
      <c r="L142" s="31">
        <f>P!R143</f>
        <v>26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2225</v>
      </c>
      <c r="V142" s="183" t="str">
        <f t="shared" si="2"/>
        <v>OK</v>
      </c>
      <c r="W142" s="25"/>
    </row>
    <row r="143" spans="1:23" ht="16.5">
      <c r="A143" s="413">
        <f>SUBTOTAL(103,B$4:B143)</f>
        <v>63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4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280</v>
      </c>
      <c r="V143" s="183" t="str">
        <f t="shared" si="2"/>
        <v>OK</v>
      </c>
      <c r="W143" s="25"/>
    </row>
    <row r="144" spans="1:23" ht="16.5">
      <c r="A144" s="21">
        <f>SUBTOTAL(103,B$4:B144)</f>
        <v>64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0</v>
      </c>
      <c r="G144" s="31">
        <f>P!H145</f>
        <v>0</v>
      </c>
      <c r="H144" s="31">
        <f>P!J145</f>
        <v>0</v>
      </c>
      <c r="I144" s="31">
        <f>P!L145</f>
        <v>15</v>
      </c>
      <c r="J144" s="31">
        <f>P!N145</f>
        <v>0</v>
      </c>
      <c r="K144" s="31">
        <f>P!P145</f>
        <v>0</v>
      </c>
      <c r="L144" s="31">
        <f>P!R145</f>
        <v>12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29700</v>
      </c>
      <c r="V144" s="183" t="str">
        <f t="shared" si="2"/>
        <v>OK</v>
      </c>
      <c r="W144" s="25"/>
    </row>
    <row r="145" spans="1:23" ht="16.5" hidden="1">
      <c r="A145" s="413">
        <f>SUBTOTAL(103,B$4:B145)</f>
        <v>64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>
      <c r="A146" s="21">
        <f>SUBTOTAL(103,B$4:B146)</f>
        <v>65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1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700</v>
      </c>
      <c r="V146" s="183" t="str">
        <f t="shared" si="2"/>
        <v>OK</v>
      </c>
      <c r="W146" s="25"/>
    </row>
    <row r="147" spans="1:23" ht="16.5" hidden="1">
      <c r="A147" s="413">
        <f>SUBTOTAL(103,B$4:B147)</f>
        <v>65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 hidden="1">
      <c r="A148" s="21">
        <f>SUBTOTAL(103,B$4:B148)</f>
        <v>65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65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65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66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20</v>
      </c>
      <c r="F151" s="31">
        <f>P!F152</f>
        <v>26</v>
      </c>
      <c r="G151" s="31">
        <f>P!H152</f>
        <v>22</v>
      </c>
      <c r="H151" s="31">
        <f>P!J152</f>
        <v>27</v>
      </c>
      <c r="I151" s="31">
        <f>P!L152</f>
        <v>8</v>
      </c>
      <c r="J151" s="31">
        <f>P!N152</f>
        <v>15</v>
      </c>
      <c r="K151" s="31">
        <f>P!P152</f>
        <v>8</v>
      </c>
      <c r="L151" s="31">
        <f>P!R152</f>
        <v>12</v>
      </c>
      <c r="M151" s="31">
        <f>P!T152</f>
        <v>14</v>
      </c>
      <c r="N151" s="31">
        <f>P!V152</f>
        <v>8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37076</v>
      </c>
      <c r="V151" s="183" t="str">
        <f t="shared" si="2"/>
        <v>OK</v>
      </c>
      <c r="W151" s="25"/>
    </row>
    <row r="152" spans="1:23" ht="16.5" hidden="1">
      <c r="A152" s="21">
        <f>SUBTOTAL(103,B$4:B152)</f>
        <v>66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67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2.1</v>
      </c>
      <c r="G153" s="31">
        <f>P!H154</f>
        <v>2.4</v>
      </c>
      <c r="H153" s="31">
        <f>P!J154</f>
        <v>0</v>
      </c>
      <c r="I153" s="31">
        <f>P!L154</f>
        <v>1.9</v>
      </c>
      <c r="J153" s="31">
        <f>P!N154</f>
        <v>0</v>
      </c>
      <c r="K153" s="31">
        <f>P!P154</f>
        <v>0</v>
      </c>
      <c r="L153" s="31">
        <f>P!R154</f>
        <v>0</v>
      </c>
      <c r="M153" s="31">
        <f>P!T154</f>
        <v>0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1088</v>
      </c>
      <c r="V153" s="183" t="str">
        <f t="shared" si="2"/>
        <v>OK</v>
      </c>
      <c r="W153" s="25"/>
    </row>
    <row r="154" spans="1:23" ht="16.5">
      <c r="A154" s="21">
        <f>SUBTOTAL(103,B$4:B154)</f>
        <v>68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13.5</v>
      </c>
      <c r="F154" s="31">
        <f>P!F155</f>
        <v>0</v>
      </c>
      <c r="G154" s="31">
        <f>P!H155</f>
        <v>0</v>
      </c>
      <c r="H154" s="31">
        <f>P!J155</f>
        <v>0</v>
      </c>
      <c r="I154" s="31">
        <f>P!L155</f>
        <v>8</v>
      </c>
      <c r="J154" s="31">
        <f>P!N155</f>
        <v>0</v>
      </c>
      <c r="K154" s="31">
        <f>P!P155</f>
        <v>0</v>
      </c>
      <c r="L154" s="31">
        <f>P!R155</f>
        <v>5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9790</v>
      </c>
      <c r="V154" s="183" t="str">
        <f t="shared" si="2"/>
        <v>OK</v>
      </c>
      <c r="W154" s="25"/>
    </row>
    <row r="155" spans="1:23" ht="16.5">
      <c r="A155" s="413">
        <f>SUBTOTAL(103,B$4:B155)</f>
        <v>69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9.3000000000000007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3255</v>
      </c>
      <c r="V155" s="183" t="str">
        <f t="shared" si="2"/>
        <v>OK</v>
      </c>
      <c r="W155" s="25"/>
    </row>
    <row r="156" spans="1:23" ht="16.5" hidden="1">
      <c r="A156" s="21">
        <f>SUBTOTAL(103,B$4:B156)</f>
        <v>69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69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69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69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69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70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1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370</v>
      </c>
      <c r="V161" s="183" t="str">
        <f t="shared" si="2"/>
        <v>OK</v>
      </c>
      <c r="W161" s="25"/>
    </row>
    <row r="162" spans="1:23" ht="16.5">
      <c r="A162" s="21">
        <f>SUBTOTAL(103,B$4:B162)</f>
        <v>71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0</v>
      </c>
      <c r="F162" s="31">
        <f>P!F163</f>
        <v>0</v>
      </c>
      <c r="G162" s="31">
        <f>P!H163</f>
        <v>0</v>
      </c>
      <c r="H162" s="31">
        <f>P!J163</f>
        <v>2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1200</v>
      </c>
      <c r="V162" s="183" t="str">
        <f t="shared" si="2"/>
        <v>OK</v>
      </c>
      <c r="W162" s="25"/>
    </row>
    <row r="163" spans="1:23" ht="16.5" hidden="1">
      <c r="A163" s="413">
        <f>SUBTOTAL(103,B$4:B163)</f>
        <v>71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71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71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71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71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71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72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0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0</v>
      </c>
      <c r="M169" s="31">
        <f>P!T170</f>
        <v>3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1980</v>
      </c>
      <c r="V169" s="183" t="str">
        <f t="shared" si="2"/>
        <v>OK</v>
      </c>
      <c r="W169" s="25"/>
    </row>
    <row r="170" spans="1:23" ht="16.5">
      <c r="A170" s="21">
        <f>SUBTOTAL(103,B$4:B170)</f>
        <v>73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8</v>
      </c>
      <c r="G170" s="31">
        <f>P!H171</f>
        <v>0</v>
      </c>
      <c r="H170" s="31">
        <f>P!J171</f>
        <v>0</v>
      </c>
      <c r="I170" s="31">
        <f>P!L171</f>
        <v>0</v>
      </c>
      <c r="J170" s="31">
        <f>P!N171</f>
        <v>2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3840</v>
      </c>
      <c r="V170" s="183" t="str">
        <f t="shared" si="2"/>
        <v>OK</v>
      </c>
      <c r="W170" s="25"/>
    </row>
    <row r="171" spans="1:23" ht="16.5">
      <c r="A171" s="413">
        <f>SUBTOTAL(103,B$4:B171)</f>
        <v>74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18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8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11100</v>
      </c>
      <c r="V171" s="183" t="str">
        <f t="shared" si="2"/>
        <v>OK</v>
      </c>
      <c r="W171" s="25"/>
    </row>
    <row r="172" spans="1:23" ht="16.5" hidden="1">
      <c r="A172" s="21">
        <f>SUBTOTAL(103,B$4:B172)</f>
        <v>74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74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 hidden="1">
      <c r="A174" s="21">
        <f>SUBTOTAL(103,B$4:B174)</f>
        <v>74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74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74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74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75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15</v>
      </c>
      <c r="F178" s="31">
        <f>P!F179</f>
        <v>10</v>
      </c>
      <c r="G178" s="31">
        <f>P!H179</f>
        <v>12</v>
      </c>
      <c r="H178" s="31">
        <f>P!J179</f>
        <v>5</v>
      </c>
      <c r="I178" s="31">
        <f>P!L179</f>
        <v>10</v>
      </c>
      <c r="J178" s="31">
        <f>P!N179</f>
        <v>15</v>
      </c>
      <c r="K178" s="31">
        <f>P!P179</f>
        <v>5</v>
      </c>
      <c r="L178" s="31">
        <f>P!R179</f>
        <v>17</v>
      </c>
      <c r="M178" s="31">
        <f>P!T179</f>
        <v>5</v>
      </c>
      <c r="N178" s="31">
        <f>P!V179</f>
        <v>5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2178</v>
      </c>
      <c r="V178" s="183" t="str">
        <f t="shared" si="2"/>
        <v>OK</v>
      </c>
      <c r="W178" s="25"/>
    </row>
    <row r="179" spans="1:23" ht="16.5">
      <c r="A179" s="21">
        <f>SUBTOTAL(103,B$4:B179)</f>
        <v>76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10</v>
      </c>
      <c r="F179" s="31">
        <f>P!F180</f>
        <v>10</v>
      </c>
      <c r="G179" s="31">
        <f>P!H180</f>
        <v>12</v>
      </c>
      <c r="H179" s="31">
        <f>P!J180</f>
        <v>10</v>
      </c>
      <c r="I179" s="31">
        <f>P!L180</f>
        <v>8</v>
      </c>
      <c r="J179" s="31">
        <f>P!N180</f>
        <v>5</v>
      </c>
      <c r="K179" s="31">
        <f>P!P180</f>
        <v>4</v>
      </c>
      <c r="L179" s="31">
        <f>P!R180</f>
        <v>5</v>
      </c>
      <c r="M179" s="31">
        <f>P!T180</f>
        <v>5</v>
      </c>
      <c r="N179" s="31">
        <f>P!V180</f>
        <v>5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7718</v>
      </c>
      <c r="V179" s="183" t="str">
        <f t="shared" si="2"/>
        <v>OK</v>
      </c>
      <c r="W179" s="25"/>
    </row>
    <row r="180" spans="1:23" ht="16.5">
      <c r="A180" s="21">
        <f>SUBTOTAL(103,B$4:B180)</f>
        <v>77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1</v>
      </c>
      <c r="F180" s="31">
        <f>P!F181</f>
        <v>2</v>
      </c>
      <c r="G180" s="31">
        <f>P!H181</f>
        <v>1</v>
      </c>
      <c r="H180" s="31">
        <f>P!J181</f>
        <v>1</v>
      </c>
      <c r="I180" s="31">
        <f>P!L181</f>
        <v>1</v>
      </c>
      <c r="J180" s="31">
        <f>P!N181</f>
        <v>1</v>
      </c>
      <c r="K180" s="31">
        <f>P!P181</f>
        <v>0.5</v>
      </c>
      <c r="L180" s="31">
        <f>P!R181</f>
        <v>0.5</v>
      </c>
      <c r="M180" s="31">
        <f>P!T181</f>
        <v>1</v>
      </c>
      <c r="N180" s="31">
        <f>P!V181</f>
        <v>0.5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1760</v>
      </c>
      <c r="V180" s="183" t="str">
        <f t="shared" si="2"/>
        <v>OK</v>
      </c>
      <c r="W180" s="25"/>
    </row>
    <row r="181" spans="1:23" ht="16.5">
      <c r="A181" s="21">
        <f>SUBTOTAL(103,B$4:B181)</f>
        <v>78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0.5</v>
      </c>
      <c r="F181" s="31">
        <f>P!F182</f>
        <v>1</v>
      </c>
      <c r="G181" s="31">
        <f>P!H182</f>
        <v>0.5</v>
      </c>
      <c r="H181" s="31">
        <f>P!J182</f>
        <v>0</v>
      </c>
      <c r="I181" s="31">
        <f>P!L182</f>
        <v>1</v>
      </c>
      <c r="J181" s="31">
        <f>P!N182</f>
        <v>4</v>
      </c>
      <c r="K181" s="31">
        <f>P!P182</f>
        <v>0</v>
      </c>
      <c r="L181" s="31">
        <f>P!R182</f>
        <v>0.5</v>
      </c>
      <c r="M181" s="31">
        <f>P!T182</f>
        <v>1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1280</v>
      </c>
      <c r="V181" s="183" t="str">
        <f t="shared" si="2"/>
        <v>OK</v>
      </c>
      <c r="W181" s="25"/>
    </row>
    <row r="182" spans="1:23" ht="16.5">
      <c r="A182" s="21">
        <f>SUBTOTAL(103,B$4:B182)</f>
        <v>79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1.5</v>
      </c>
      <c r="F182" s="31">
        <f>P!F183</f>
        <v>2</v>
      </c>
      <c r="G182" s="31">
        <f>P!H183</f>
        <v>3</v>
      </c>
      <c r="H182" s="31">
        <f>P!J183</f>
        <v>2</v>
      </c>
      <c r="I182" s="31">
        <f>P!L183</f>
        <v>2</v>
      </c>
      <c r="J182" s="31">
        <f>P!N183</f>
        <v>2</v>
      </c>
      <c r="K182" s="31">
        <f>P!P183</f>
        <v>0.5</v>
      </c>
      <c r="L182" s="31">
        <f>P!R183</f>
        <v>1</v>
      </c>
      <c r="M182" s="31">
        <f>P!T183</f>
        <v>1</v>
      </c>
      <c r="N182" s="31">
        <f>P!V183</f>
        <v>0.5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1845</v>
      </c>
      <c r="V182" s="183" t="str">
        <f t="shared" si="2"/>
        <v>OK</v>
      </c>
      <c r="W182" s="25"/>
    </row>
    <row r="183" spans="1:23" ht="16.5">
      <c r="A183" s="21">
        <f>SUBTOTAL(103,B$4:B183)</f>
        <v>80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25</v>
      </c>
      <c r="F183" s="31">
        <f>P!F184</f>
        <v>25</v>
      </c>
      <c r="G183" s="31">
        <f>P!H184</f>
        <v>32</v>
      </c>
      <c r="H183" s="31">
        <f>P!J184</f>
        <v>30</v>
      </c>
      <c r="I183" s="31">
        <f>P!L184</f>
        <v>24</v>
      </c>
      <c r="J183" s="31">
        <f>P!N184</f>
        <v>15</v>
      </c>
      <c r="K183" s="31">
        <f>P!P184</f>
        <v>10</v>
      </c>
      <c r="L183" s="31">
        <f>P!R184</f>
        <v>12</v>
      </c>
      <c r="M183" s="31">
        <f>P!T184</f>
        <v>15</v>
      </c>
      <c r="N183" s="31">
        <f>P!V184</f>
        <v>15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1716</v>
      </c>
      <c r="V183" s="183" t="str">
        <f t="shared" si="2"/>
        <v>OK</v>
      </c>
      <c r="W183" s="25"/>
    </row>
    <row r="184" spans="1:23" ht="16.5">
      <c r="A184" s="21">
        <f>SUBTOTAL(103,B$4:B184)</f>
        <v>81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5</v>
      </c>
      <c r="F184" s="31">
        <f>P!F185</f>
        <v>7</v>
      </c>
      <c r="G184" s="31">
        <f>P!H185</f>
        <v>5</v>
      </c>
      <c r="H184" s="31">
        <f>P!J185</f>
        <v>5</v>
      </c>
      <c r="I184" s="31">
        <f>P!L185</f>
        <v>5</v>
      </c>
      <c r="J184" s="31">
        <f>P!N185</f>
        <v>4</v>
      </c>
      <c r="K184" s="31">
        <f>P!P185</f>
        <v>2</v>
      </c>
      <c r="L184" s="31">
        <f>P!R185</f>
        <v>3</v>
      </c>
      <c r="M184" s="31">
        <f>P!T185</f>
        <v>3</v>
      </c>
      <c r="N184" s="31">
        <f>P!V185</f>
        <v>3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2270</v>
      </c>
      <c r="V184" s="183" t="str">
        <f t="shared" si="2"/>
        <v>OK</v>
      </c>
      <c r="W184" s="25"/>
    </row>
    <row r="185" spans="1:23" ht="16.5">
      <c r="A185" s="21">
        <f>SUBTOTAL(103,B$4:B185)</f>
        <v>82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1</v>
      </c>
      <c r="F185" s="31">
        <f>P!F186</f>
        <v>2.5</v>
      </c>
      <c r="G185" s="31">
        <f>P!H186</f>
        <v>3</v>
      </c>
      <c r="H185" s="31">
        <f>P!J186</f>
        <v>2</v>
      </c>
      <c r="I185" s="31">
        <f>P!L186</f>
        <v>2</v>
      </c>
      <c r="J185" s="31">
        <f>P!N186</f>
        <v>5</v>
      </c>
      <c r="K185" s="31">
        <f>P!P186</f>
        <v>1</v>
      </c>
      <c r="L185" s="31">
        <f>P!R186</f>
        <v>3.5</v>
      </c>
      <c r="M185" s="31">
        <f>P!T186</f>
        <v>1</v>
      </c>
      <c r="N185" s="31">
        <f>P!V186</f>
        <v>1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2175</v>
      </c>
      <c r="V185" s="183" t="str">
        <f t="shared" si="2"/>
        <v>OK</v>
      </c>
      <c r="W185" s="25"/>
    </row>
    <row r="186" spans="1:23" ht="16.5">
      <c r="A186" s="21">
        <f>SUBTOTAL(103,B$4:B186)</f>
        <v>83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5</v>
      </c>
      <c r="G186" s="31">
        <f>P!H187</f>
        <v>1</v>
      </c>
      <c r="H186" s="31">
        <f>P!J187</f>
        <v>0</v>
      </c>
      <c r="I186" s="31">
        <f>P!L187</f>
        <v>4</v>
      </c>
      <c r="J186" s="31">
        <f>P!N187</f>
        <v>5</v>
      </c>
      <c r="K186" s="31">
        <f>P!P187</f>
        <v>0</v>
      </c>
      <c r="L186" s="31">
        <f>P!R187</f>
        <v>0.5</v>
      </c>
      <c r="M186" s="31">
        <f>P!T187</f>
        <v>10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1615</v>
      </c>
      <c r="V186" s="183" t="str">
        <f t="shared" si="2"/>
        <v>OK</v>
      </c>
      <c r="W186" s="25"/>
    </row>
    <row r="187" spans="1:23" ht="16.5">
      <c r="A187" s="413">
        <f>SUBTOTAL(103,B$4:B187)</f>
        <v>84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6</v>
      </c>
      <c r="K187" s="32">
        <f>P!P188</f>
        <v>0</v>
      </c>
      <c r="L187" s="32">
        <f>P!R188</f>
        <v>0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420</v>
      </c>
      <c r="V187" s="183" t="str">
        <f t="shared" si="2"/>
        <v>OK</v>
      </c>
      <c r="W187" s="25"/>
    </row>
    <row r="188" spans="1:23" ht="16.5">
      <c r="A188" s="21">
        <f>SUBTOTAL(103,B$4:B188)</f>
        <v>85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22</v>
      </c>
      <c r="H188" s="31">
        <f>P!J189</f>
        <v>0</v>
      </c>
      <c r="I188" s="31">
        <f>P!L189</f>
        <v>0</v>
      </c>
      <c r="J188" s="31">
        <f>P!N189</f>
        <v>6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1290</v>
      </c>
      <c r="V188" s="183" t="str">
        <f t="shared" si="2"/>
        <v>OK</v>
      </c>
      <c r="W188" s="25"/>
    </row>
    <row r="189" spans="1:23" ht="16.5">
      <c r="A189" s="21">
        <f>SUBTOTAL(103,B$4:B189)</f>
        <v>86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70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0</v>
      </c>
      <c r="L189" s="31">
        <f>P!R190</f>
        <v>45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655</v>
      </c>
      <c r="V189" s="183" t="str">
        <f t="shared" si="2"/>
        <v>OK</v>
      </c>
      <c r="W189" s="25"/>
    </row>
    <row r="190" spans="1:23" ht="16.5" hidden="1">
      <c r="A190" s="413">
        <f>SUBTOTAL(103,B$4:B190)</f>
        <v>86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 hidden="1">
      <c r="A191" s="21">
        <f>SUBTOTAL(103,B$4:B191)</f>
        <v>86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0</v>
      </c>
      <c r="V191" s="183" t="str">
        <f t="shared" si="2"/>
        <v>×</v>
      </c>
      <c r="W191" s="25"/>
    </row>
    <row r="192" spans="1:23" ht="16.5">
      <c r="A192" s="21">
        <f>SUBTOTAL(103,B$4:B192)</f>
        <v>87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7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210</v>
      </c>
      <c r="V192" s="183" t="str">
        <f t="shared" si="2"/>
        <v>OK</v>
      </c>
      <c r="W192" s="25"/>
    </row>
    <row r="193" spans="1:23" ht="16.5" hidden="1">
      <c r="A193" s="413">
        <f>SUBTOTAL(103,B$4:B193)</f>
        <v>87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88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20</v>
      </c>
      <c r="G194" s="31">
        <f>P!H195</f>
        <v>0</v>
      </c>
      <c r="H194" s="31">
        <f>P!J195</f>
        <v>0</v>
      </c>
      <c r="I194" s="31">
        <f>P!L195</f>
        <v>8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8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1660</v>
      </c>
      <c r="V194" s="183" t="str">
        <f t="shared" si="2"/>
        <v>OK</v>
      </c>
      <c r="W194" s="25"/>
    </row>
    <row r="195" spans="1:23" ht="16.5">
      <c r="A195" s="21">
        <f>SUBTOTAL(103,B$4:B195)</f>
        <v>89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0</v>
      </c>
      <c r="G195" s="31">
        <f>P!H196</f>
        <v>3</v>
      </c>
      <c r="H195" s="31">
        <f>P!J196</f>
        <v>30</v>
      </c>
      <c r="I195" s="31">
        <f>P!L196</f>
        <v>0</v>
      </c>
      <c r="J195" s="31">
        <f>P!N196</f>
        <v>0</v>
      </c>
      <c r="K195" s="31">
        <f>P!P196</f>
        <v>0</v>
      </c>
      <c r="L195" s="31">
        <f>P!R196</f>
        <v>2</v>
      </c>
      <c r="M195" s="31">
        <f>P!T196</f>
        <v>0</v>
      </c>
      <c r="N195" s="31">
        <f>P!V196</f>
        <v>12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1619</v>
      </c>
      <c r="V195" s="183" t="str">
        <f t="shared" si="2"/>
        <v>OK</v>
      </c>
      <c r="W195" s="25"/>
    </row>
    <row r="196" spans="1:23" ht="16.5">
      <c r="A196" s="21">
        <f>SUBTOTAL(103,B$4:B196)</f>
        <v>90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7</v>
      </c>
      <c r="F196" s="31">
        <f>P!F197</f>
        <v>0</v>
      </c>
      <c r="G196" s="31">
        <f>P!H197</f>
        <v>5</v>
      </c>
      <c r="H196" s="31">
        <f>P!J197</f>
        <v>0</v>
      </c>
      <c r="I196" s="31">
        <f>P!L197</f>
        <v>8</v>
      </c>
      <c r="J196" s="31">
        <f>P!N197</f>
        <v>0</v>
      </c>
      <c r="K196" s="31">
        <f>P!P197</f>
        <v>0</v>
      </c>
      <c r="L196" s="31">
        <f>P!R197</f>
        <v>5</v>
      </c>
      <c r="M196" s="31">
        <f>P!T197</f>
        <v>0</v>
      </c>
      <c r="N196" s="31">
        <f>P!V197</f>
        <v>8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640</v>
      </c>
      <c r="V196" s="183" t="str">
        <f t="shared" si="2"/>
        <v>OK</v>
      </c>
      <c r="W196" s="25"/>
    </row>
    <row r="197" spans="1:23" ht="16.5" hidden="1">
      <c r="A197" s="21">
        <f>SUBTOTAL(103,B$4:B197)</f>
        <v>90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91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1</v>
      </c>
      <c r="F198" s="31">
        <f>P!F199</f>
        <v>2</v>
      </c>
      <c r="G198" s="31">
        <f>P!H199</f>
        <v>3</v>
      </c>
      <c r="H198" s="31">
        <f>P!J199</f>
        <v>2</v>
      </c>
      <c r="I198" s="31">
        <f>P!L199</f>
        <v>2</v>
      </c>
      <c r="J198" s="31">
        <f>P!N199</f>
        <v>2</v>
      </c>
      <c r="K198" s="31">
        <f>P!P199</f>
        <v>1</v>
      </c>
      <c r="L198" s="31">
        <f>P!R199</f>
        <v>2</v>
      </c>
      <c r="M198" s="31">
        <f>P!T199</f>
        <v>1</v>
      </c>
      <c r="N198" s="31">
        <f>P!V199</f>
        <v>1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1950</v>
      </c>
      <c r="V198" s="183" t="str">
        <f t="shared" si="3"/>
        <v>OK</v>
      </c>
      <c r="W198" s="25"/>
    </row>
    <row r="199" spans="1:23" ht="16.5">
      <c r="A199" s="21">
        <f>SUBTOTAL(103,B$4:B199)</f>
        <v>92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0.5</v>
      </c>
      <c r="F199" s="31">
        <f>P!F200</f>
        <v>1</v>
      </c>
      <c r="G199" s="31">
        <f>P!H200</f>
        <v>1</v>
      </c>
      <c r="H199" s="31">
        <f>P!J200</f>
        <v>1</v>
      </c>
      <c r="I199" s="31">
        <f>P!L200</f>
        <v>2</v>
      </c>
      <c r="J199" s="31">
        <f>P!N200</f>
        <v>2</v>
      </c>
      <c r="K199" s="31">
        <f>P!P200</f>
        <v>0.5</v>
      </c>
      <c r="L199" s="31">
        <f>P!R200</f>
        <v>0.5</v>
      </c>
      <c r="M199" s="31">
        <f>P!T200</f>
        <v>0.5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1210</v>
      </c>
      <c r="V199" s="183" t="str">
        <f t="shared" si="3"/>
        <v>OK</v>
      </c>
      <c r="W199" s="25"/>
    </row>
    <row r="200" spans="1:23" ht="16.5">
      <c r="A200" s="21">
        <f>SUBTOTAL(103,B$4:B200)</f>
        <v>93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0.5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130</v>
      </c>
      <c r="V200" s="183" t="str">
        <f t="shared" si="3"/>
        <v>OK</v>
      </c>
      <c r="W200" s="25"/>
    </row>
    <row r="201" spans="1:23" ht="16.5" hidden="1">
      <c r="A201" s="413">
        <f>SUBTOTAL(103,B$4:B201)</f>
        <v>93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93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>
      <c r="A203" s="21">
        <f>SUBTOTAL(103,B$4:B203)</f>
        <v>94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10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10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1200</v>
      </c>
      <c r="V203" s="183" t="str">
        <f t="shared" si="3"/>
        <v>OK</v>
      </c>
      <c r="W203" s="25"/>
    </row>
    <row r="204" spans="1:23" ht="16.5">
      <c r="A204" s="21">
        <f>SUBTOTAL(103,B$4:B204)</f>
        <v>95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10</v>
      </c>
      <c r="F204" s="31">
        <f>P!F205</f>
        <v>0</v>
      </c>
      <c r="G204" s="31">
        <f>P!H205</f>
        <v>0</v>
      </c>
      <c r="H204" s="31">
        <f>P!J205</f>
        <v>10</v>
      </c>
      <c r="I204" s="31">
        <f>P!L205</f>
        <v>10</v>
      </c>
      <c r="J204" s="31">
        <f>P!N205</f>
        <v>0</v>
      </c>
      <c r="K204" s="31">
        <f>P!P205</f>
        <v>0</v>
      </c>
      <c r="L204" s="31">
        <f>P!R205</f>
        <v>5</v>
      </c>
      <c r="M204" s="31">
        <f>P!T205</f>
        <v>3</v>
      </c>
      <c r="N204" s="31">
        <f>P!V205</f>
        <v>5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1870</v>
      </c>
      <c r="V204" s="183" t="str">
        <f t="shared" si="3"/>
        <v>OK</v>
      </c>
      <c r="W204" s="25"/>
    </row>
    <row r="205" spans="1:23" ht="16.5">
      <c r="A205" s="21">
        <f>SUBTOTAL(103,B$4:B205)</f>
        <v>96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7</v>
      </c>
      <c r="F205" s="31">
        <f>P!F206</f>
        <v>0</v>
      </c>
      <c r="G205" s="31">
        <f>P!H206</f>
        <v>3</v>
      </c>
      <c r="H205" s="31">
        <f>P!J206</f>
        <v>0</v>
      </c>
      <c r="I205" s="31">
        <f>P!L206</f>
        <v>5</v>
      </c>
      <c r="J205" s="31">
        <f>P!N206</f>
        <v>10</v>
      </c>
      <c r="K205" s="31">
        <f>P!P206</f>
        <v>0</v>
      </c>
      <c r="L205" s="31">
        <f>P!R206</f>
        <v>3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1485</v>
      </c>
      <c r="V205" s="183" t="str">
        <f t="shared" si="3"/>
        <v>OK</v>
      </c>
      <c r="W205" s="25"/>
    </row>
    <row r="206" spans="1:23" ht="16.5">
      <c r="A206" s="21">
        <f>SUBTOTAL(103,B$4:B206)</f>
        <v>97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4</v>
      </c>
      <c r="F206" s="31">
        <f>P!F207</f>
        <v>0</v>
      </c>
      <c r="G206" s="31">
        <f>P!H207</f>
        <v>2</v>
      </c>
      <c r="H206" s="31">
        <f>P!J207</f>
        <v>0</v>
      </c>
      <c r="I206" s="31">
        <f>P!L207</f>
        <v>5</v>
      </c>
      <c r="J206" s="31">
        <f>P!N207</f>
        <v>10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900</v>
      </c>
      <c r="V206" s="183" t="str">
        <f t="shared" si="3"/>
        <v>OK</v>
      </c>
      <c r="W206" s="25"/>
    </row>
    <row r="207" spans="1:23" ht="16.5">
      <c r="A207" s="21">
        <f>SUBTOTAL(103,B$4:B207)</f>
        <v>98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2</v>
      </c>
      <c r="F207" s="31">
        <f>P!F208</f>
        <v>0</v>
      </c>
      <c r="G207" s="31">
        <f>P!H208</f>
        <v>2</v>
      </c>
      <c r="H207" s="31">
        <f>P!J208</f>
        <v>10</v>
      </c>
      <c r="I207" s="31">
        <f>P!L208</f>
        <v>3</v>
      </c>
      <c r="J207" s="31">
        <f>P!N208</f>
        <v>10</v>
      </c>
      <c r="K207" s="31">
        <f>P!P208</f>
        <v>0</v>
      </c>
      <c r="L207" s="31">
        <f>P!R208</f>
        <v>3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1100</v>
      </c>
      <c r="V207" s="183" t="str">
        <f t="shared" si="3"/>
        <v>OK</v>
      </c>
      <c r="W207" s="25"/>
    </row>
    <row r="208" spans="1:23" ht="16.5">
      <c r="A208" s="21">
        <f>SUBTOTAL(103,B$4:B208)</f>
        <v>99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10</v>
      </c>
      <c r="F208" s="31">
        <f>P!F209</f>
        <v>0</v>
      </c>
      <c r="G208" s="31">
        <f>P!H209</f>
        <v>10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5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1450</v>
      </c>
      <c r="V208" s="183" t="str">
        <f t="shared" si="3"/>
        <v>OK</v>
      </c>
      <c r="W208" s="25"/>
    </row>
    <row r="209" spans="1:23" ht="16.5" hidden="1">
      <c r="A209" s="413">
        <f>SUBTOTAL(103,B$4:B209)</f>
        <v>99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100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0</v>
      </c>
      <c r="G210" s="31">
        <f>P!H211</f>
        <v>0</v>
      </c>
      <c r="H210" s="31">
        <f>P!J211</f>
        <v>0</v>
      </c>
      <c r="I210" s="31">
        <f>P!L211</f>
        <v>0</v>
      </c>
      <c r="J210" s="31">
        <f>P!N211</f>
        <v>3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120</v>
      </c>
      <c r="V210" s="183" t="str">
        <f t="shared" si="3"/>
        <v>OK</v>
      </c>
      <c r="W210" s="25"/>
    </row>
    <row r="211" spans="1:23" ht="16.5" hidden="1">
      <c r="A211" s="413">
        <f>SUBTOTAL(103,B$4:B211)</f>
        <v>100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100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100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100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101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4</v>
      </c>
      <c r="F215" s="31">
        <f>P!F216</f>
        <v>3</v>
      </c>
      <c r="G215" s="31">
        <f>P!H216</f>
        <v>2</v>
      </c>
      <c r="H215" s="31">
        <f>P!J216</f>
        <v>2</v>
      </c>
      <c r="I215" s="31">
        <f>P!L216</f>
        <v>5</v>
      </c>
      <c r="J215" s="31">
        <f>P!N216</f>
        <v>10</v>
      </c>
      <c r="K215" s="31">
        <f>P!P216</f>
        <v>0</v>
      </c>
      <c r="L215" s="31">
        <f>P!R216</f>
        <v>0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2660</v>
      </c>
      <c r="V215" s="183" t="str">
        <f t="shared" si="3"/>
        <v>OK</v>
      </c>
      <c r="W215" s="25"/>
    </row>
    <row r="216" spans="1:23" ht="16.5" hidden="1">
      <c r="A216" s="413">
        <f>SUBTOTAL(103,B$4:B216)</f>
        <v>101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101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101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101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101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101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101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101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101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101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101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101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101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 hidden="1">
      <c r="A229" s="21">
        <f>SUBTOTAL(103,B$4:B229)</f>
        <v>101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102</v>
      </c>
      <c r="B230" s="21">
        <f>P!A231</f>
        <v>227</v>
      </c>
      <c r="C230" s="26" t="str">
        <f>P!B231</f>
        <v>কাচা ছানা সন্দেশ</v>
      </c>
      <c r="D230" s="11" t="str">
        <f>P!C231</f>
        <v>কেজি</v>
      </c>
      <c r="E230" s="31">
        <f>P!D231</f>
        <v>0</v>
      </c>
      <c r="F230" s="31">
        <f>P!F231</f>
        <v>0</v>
      </c>
      <c r="G230" s="31">
        <f>P!H231</f>
        <v>1</v>
      </c>
      <c r="H230" s="31">
        <f>P!J231</f>
        <v>0</v>
      </c>
      <c r="I230" s="31">
        <f>P!L231</f>
        <v>0</v>
      </c>
      <c r="J230" s="31">
        <f>P!N231</f>
        <v>0</v>
      </c>
      <c r="K230" s="31">
        <f>P!P231</f>
        <v>0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680</v>
      </c>
      <c r="V230" s="183" t="str">
        <f t="shared" si="3"/>
        <v>OK</v>
      </c>
      <c r="W230" s="25"/>
    </row>
    <row r="231" spans="1:23" ht="16.5">
      <c r="A231" s="21">
        <f>SUBTOTAL(103,B$4:B231)</f>
        <v>103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56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43600</v>
      </c>
      <c r="V231" s="183" t="str">
        <f t="shared" si="3"/>
        <v>OK</v>
      </c>
      <c r="W231" s="25"/>
    </row>
    <row r="232" spans="1:23" ht="16.5">
      <c r="A232" s="21">
        <f>SUBTOTAL(103,B$4:B232)</f>
        <v>104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4000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5600</v>
      </c>
      <c r="V232" s="183" t="str">
        <f t="shared" si="3"/>
        <v>OK</v>
      </c>
      <c r="W232" s="25"/>
    </row>
    <row r="233" spans="1:23" ht="16.5">
      <c r="A233" s="21">
        <f>SUBTOTAL(103,B$4:B233)</f>
        <v>105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70</v>
      </c>
      <c r="G233" s="31">
        <f>P!H234</f>
        <v>90</v>
      </c>
      <c r="H233" s="31">
        <f>P!J234</f>
        <v>90</v>
      </c>
      <c r="I233" s="31">
        <f>P!L234</f>
        <v>0</v>
      </c>
      <c r="J233" s="31">
        <f>P!N234</f>
        <v>90</v>
      </c>
      <c r="K233" s="31">
        <f>P!P234</f>
        <v>0</v>
      </c>
      <c r="L233" s="31">
        <f>P!R234</f>
        <v>0</v>
      </c>
      <c r="M233" s="31">
        <f>P!T234</f>
        <v>90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10938</v>
      </c>
      <c r="V233" s="183" t="str">
        <f t="shared" si="3"/>
        <v>OK</v>
      </c>
      <c r="W233" s="25"/>
    </row>
    <row r="234" spans="1:23" ht="16.5" hidden="1">
      <c r="A234" s="413">
        <f>SUBTOTAL(103,B$4:B234)</f>
        <v>105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105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105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105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105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105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105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105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105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105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106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215</v>
      </c>
      <c r="F244" s="31">
        <f>P!F245</f>
        <v>206</v>
      </c>
      <c r="G244" s="31">
        <f>P!H245</f>
        <v>0</v>
      </c>
      <c r="H244" s="31">
        <f>P!J245</f>
        <v>224</v>
      </c>
      <c r="I244" s="31">
        <f>P!L245</f>
        <v>224</v>
      </c>
      <c r="J244" s="31">
        <f>P!N245</f>
        <v>94</v>
      </c>
      <c r="K244" s="31">
        <f>P!P245</f>
        <v>0</v>
      </c>
      <c r="L244" s="31">
        <f>P!R245</f>
        <v>88</v>
      </c>
      <c r="M244" s="31">
        <f>P!T245</f>
        <v>112</v>
      </c>
      <c r="N244" s="31">
        <f>P!V245</f>
        <v>67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11567</v>
      </c>
      <c r="V244" s="183" t="str">
        <f t="shared" si="3"/>
        <v>OK</v>
      </c>
      <c r="W244" s="25"/>
    </row>
    <row r="245" spans="1:25" ht="16.5" hidden="1">
      <c r="A245" s="413">
        <f>SUBTOTAL(103,B$4:B245)</f>
        <v>106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107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20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7000</v>
      </c>
      <c r="V246" s="183" t="str">
        <f t="shared" si="3"/>
        <v>OK</v>
      </c>
      <c r="W246" s="25"/>
    </row>
    <row r="247" spans="1:25" ht="16.5" hidden="1">
      <c r="A247" s="21">
        <f>SUBTOTAL(103,B$4:B247)</f>
        <v>107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108</v>
      </c>
      <c r="B248" s="21">
        <f>P!A249</f>
        <v>245</v>
      </c>
      <c r="C248" s="408" t="str">
        <f>P!B249</f>
        <v>বিবিধ (পাইপ ক্রয়, চিকেন বার্গার, ওয়ানটাইম মাস্ক, ওয়ানটাইম হ্যান্ড গ্লভস...)</v>
      </c>
      <c r="D248" s="11" t="str">
        <f>P!C249</f>
        <v>টাকা</v>
      </c>
      <c r="E248" s="31">
        <f>P!D249</f>
        <v>680</v>
      </c>
      <c r="F248" s="31">
        <f>P!F249</f>
        <v>0</v>
      </c>
      <c r="G248" s="31">
        <f>P!H249</f>
        <v>0</v>
      </c>
      <c r="H248" s="31">
        <f>P!J249</f>
        <v>0</v>
      </c>
      <c r="I248" s="31">
        <f>P!L249</f>
        <v>650</v>
      </c>
      <c r="J248" s="31">
        <f>P!N249</f>
        <v>1240</v>
      </c>
      <c r="K248" s="31">
        <f>P!P249</f>
        <v>780</v>
      </c>
      <c r="L248" s="31">
        <f>P!R249</f>
        <v>470</v>
      </c>
      <c r="M248" s="31">
        <f>P!T249</f>
        <v>0</v>
      </c>
      <c r="N248" s="31">
        <f>P!V249</f>
        <v>510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4330</v>
      </c>
      <c r="V248" s="183" t="str">
        <f t="shared" si="3"/>
        <v>OK</v>
      </c>
      <c r="W248" s="25"/>
    </row>
    <row r="249" spans="1:25" ht="16.5" hidden="1">
      <c r="A249" s="21">
        <f>SUBTOTAL(103,B$4:B249)</f>
        <v>108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0</v>
      </c>
      <c r="L249" s="31">
        <f>P!R250</f>
        <v>0</v>
      </c>
      <c r="M249" s="31">
        <f>P!T250</f>
        <v>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0</v>
      </c>
      <c r="V249" s="183" t="str">
        <f t="shared" si="3"/>
        <v>×</v>
      </c>
      <c r="W249" s="25"/>
    </row>
    <row r="250" spans="1:25" ht="16.5" hidden="1">
      <c r="A250" s="21">
        <f>SUBTOTAL(103,B$4:B250)</f>
        <v>108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109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130</v>
      </c>
      <c r="F251" s="31">
        <f>P!F252</f>
        <v>160</v>
      </c>
      <c r="G251" s="31">
        <f>P!H252</f>
        <v>180</v>
      </c>
      <c r="H251" s="31">
        <f>P!J252</f>
        <v>100</v>
      </c>
      <c r="I251" s="31">
        <f>P!L252</f>
        <v>80</v>
      </c>
      <c r="J251" s="31">
        <f>P!N252</f>
        <v>40</v>
      </c>
      <c r="K251" s="31">
        <f>P!P252</f>
        <v>0</v>
      </c>
      <c r="L251" s="31">
        <f>P!R252</f>
        <v>50</v>
      </c>
      <c r="M251" s="31">
        <f>P!T252</f>
        <v>60</v>
      </c>
      <c r="N251" s="31">
        <f>P!V252</f>
        <v>80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880</v>
      </c>
      <c r="V251" s="183" t="str">
        <f t="shared" si="3"/>
        <v>OK</v>
      </c>
      <c r="W251" s="25"/>
    </row>
    <row r="252" spans="1:25" ht="16.5">
      <c r="A252" s="21">
        <f>SUBTOTAL(103,B$4:B252)</f>
        <v>110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400</v>
      </c>
      <c r="F252" s="31">
        <f>P!F253</f>
        <v>470</v>
      </c>
      <c r="G252" s="31">
        <f>P!H253</f>
        <v>500</v>
      </c>
      <c r="H252" s="31">
        <f>P!J253</f>
        <v>500</v>
      </c>
      <c r="I252" s="31">
        <f>P!L253</f>
        <v>630</v>
      </c>
      <c r="J252" s="31">
        <f>P!N253</f>
        <v>550</v>
      </c>
      <c r="K252" s="31">
        <f>P!P253</f>
        <v>100</v>
      </c>
      <c r="L252" s="31">
        <f>P!R253</f>
        <v>370</v>
      </c>
      <c r="M252" s="31">
        <f>P!T253</f>
        <v>160</v>
      </c>
      <c r="N252" s="31">
        <f>P!V253</f>
        <v>260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3940</v>
      </c>
      <c r="V252" s="183" t="str">
        <f t="shared" si="3"/>
        <v>OK</v>
      </c>
      <c r="W252" s="25"/>
    </row>
    <row r="253" spans="1:25" ht="19.5">
      <c r="A253" s="21">
        <f>SUBTOTAL(103,B$4:B253)</f>
        <v>111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1200</v>
      </c>
      <c r="F253" s="31">
        <f>P!F254</f>
        <v>3800</v>
      </c>
      <c r="G253" s="31">
        <f>P!H254</f>
        <v>4200</v>
      </c>
      <c r="H253" s="31">
        <f>P!J254</f>
        <v>5400</v>
      </c>
      <c r="I253" s="31">
        <f>P!L254</f>
        <v>4200</v>
      </c>
      <c r="J253" s="31">
        <f>P!N254</f>
        <v>3800</v>
      </c>
      <c r="K253" s="31">
        <f>P!P254</f>
        <v>1400</v>
      </c>
      <c r="L253" s="31">
        <f>P!R254</f>
        <v>2000</v>
      </c>
      <c r="M253" s="31">
        <f>P!T254</f>
        <v>2200</v>
      </c>
      <c r="N253" s="31">
        <f>P!V254</f>
        <v>3200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31400</v>
      </c>
      <c r="V253" s="183" t="str">
        <f t="shared" si="3"/>
        <v>OK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2">
        <f>SUM(U4:U253)</f>
        <v>403349</v>
      </c>
      <c r="U254" s="453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8"/>
      <c r="U255" s="445"/>
      <c r="V255"/>
      <c r="W255" s="25"/>
      <c r="X255" s="353" t="b">
        <f>T254=TS!D20</f>
        <v>1</v>
      </c>
      <c r="Y255" s="353" t="s">
        <v>362</v>
      </c>
    </row>
    <row r="256" spans="1:25" ht="16.5">
      <c r="I256" s="446"/>
      <c r="J256" s="446"/>
      <c r="K256" s="446"/>
      <c r="L256" s="446"/>
      <c r="M256" s="446"/>
      <c r="N256" s="446"/>
      <c r="O256" s="446"/>
      <c r="P256" s="446"/>
      <c r="Q256" s="446"/>
      <c r="R256" s="446"/>
      <c r="S256" s="446"/>
      <c r="T256" s="446"/>
      <c r="U256" s="446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97" priority="7" operator="equal">
      <formula>"NZ"</formula>
    </cfRule>
    <cfRule type="cellIs" dxfId="496" priority="8" operator="equal">
      <formula>"OK"</formula>
    </cfRule>
  </conditionalFormatting>
  <conditionalFormatting sqref="W255 V4:W253">
    <cfRule type="cellIs" dxfId="495" priority="3" operator="equal">
      <formula>"NZ"</formula>
    </cfRule>
    <cfRule type="cellIs" dxfId="494" priority="4" operator="equal">
      <formula>"OK"</formula>
    </cfRule>
  </conditionalFormatting>
  <conditionalFormatting sqref="W7">
    <cfRule type="cellIs" dxfId="493" priority="2" operator="equal">
      <formula>"×"</formula>
    </cfRule>
  </conditionalFormatting>
  <conditionalFormatting sqref="V1:V2 V4:V253 V257:V1048576">
    <cfRule type="cellIs" dxfId="492" priority="1" operator="equal">
      <formula>"×"</formula>
    </cfRule>
  </conditionalFormatting>
  <pageMargins left="0.5" right="0.5" top="0.3" bottom="1" header="0" footer="0"/>
  <pageSetup paperSize="9" scale="84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Normal="100" workbookViewId="0">
      <pane xSplit="3" ySplit="2" topLeftCell="N248" activePane="bottomRight" state="frozen"/>
      <selection pane="topRight" activeCell="D1" sqref="D1"/>
      <selection pane="bottomLeft" activeCell="A3" sqref="A3"/>
      <selection pane="bottomRight" activeCell="AP259" sqref="AP259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hidden="1" customWidth="1"/>
    <col min="5" max="5" width="9.5703125" style="246" hidden="1" customWidth="1"/>
    <col min="6" max="6" width="11" style="247" hidden="1" customWidth="1"/>
    <col min="7" max="7" width="11.140625" style="248" hidden="1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" style="77" customWidth="1"/>
    <col min="28" max="28" width="7.140625" style="75" hidden="1" customWidth="1"/>
    <col min="29" max="29" width="7.140625" style="77" hidden="1" customWidth="1"/>
    <col min="30" max="30" width="7.140625" style="75" hidden="1" customWidth="1"/>
    <col min="31" max="31" width="7.140625" style="77" hidden="1" customWidth="1"/>
    <col min="32" max="32" width="7.140625" style="75" hidden="1" customWidth="1"/>
    <col min="33" max="33" width="7.140625" style="77" hidden="1" customWidth="1"/>
    <col min="34" max="34" width="7.140625" style="75" hidden="1" customWidth="1"/>
    <col min="35" max="35" width="4.5703125" style="77" hidden="1" customWidth="1"/>
    <col min="36" max="36" width="4.5703125" style="75" hidden="1" customWidth="1"/>
    <col min="37" max="39" width="4.5703125" style="77" hidden="1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62" t="s">
        <v>0</v>
      </c>
      <c r="B1" s="462" t="s">
        <v>1</v>
      </c>
      <c r="C1" s="462" t="s">
        <v>2</v>
      </c>
      <c r="D1" s="463" t="s">
        <v>204</v>
      </c>
      <c r="E1" s="464" t="s">
        <v>252</v>
      </c>
      <c r="F1" s="454" t="s">
        <v>11</v>
      </c>
      <c r="G1" s="454" t="s">
        <v>253</v>
      </c>
      <c r="H1" s="241">
        <f>I1</f>
        <v>45962</v>
      </c>
      <c r="I1" s="231">
        <f>H!C7</f>
        <v>45962</v>
      </c>
      <c r="J1" s="241">
        <f>K1</f>
        <v>45963</v>
      </c>
      <c r="K1" s="231">
        <f>I1+1</f>
        <v>45963</v>
      </c>
      <c r="L1" s="241">
        <f>M1</f>
        <v>45964</v>
      </c>
      <c r="M1" s="231">
        <f t="shared" ref="M1:W1" si="0">K1+1</f>
        <v>45964</v>
      </c>
      <c r="N1" s="241">
        <f>O1</f>
        <v>45965</v>
      </c>
      <c r="O1" s="231">
        <f t="shared" si="0"/>
        <v>45965</v>
      </c>
      <c r="P1" s="241">
        <f>Q1</f>
        <v>45966</v>
      </c>
      <c r="Q1" s="231">
        <f>O1+1</f>
        <v>45966</v>
      </c>
      <c r="R1" s="241">
        <f>S1</f>
        <v>45967</v>
      </c>
      <c r="S1" s="231">
        <f t="shared" si="0"/>
        <v>45967</v>
      </c>
      <c r="T1" s="241">
        <f>U1</f>
        <v>45968</v>
      </c>
      <c r="U1" s="231">
        <f t="shared" si="0"/>
        <v>45968</v>
      </c>
      <c r="V1" s="241">
        <f>W1</f>
        <v>45969</v>
      </c>
      <c r="W1" s="229">
        <f t="shared" si="0"/>
        <v>45969</v>
      </c>
      <c r="X1" s="241">
        <f>Y1</f>
        <v>45970</v>
      </c>
      <c r="Y1" s="229">
        <f t="shared" ref="Y1" si="1">W1+1</f>
        <v>45970</v>
      </c>
      <c r="Z1" s="241">
        <f>AA1</f>
        <v>45971</v>
      </c>
      <c r="AA1" s="229">
        <f t="shared" ref="AA1" si="2">Y1+1</f>
        <v>45971</v>
      </c>
      <c r="AB1" s="241">
        <f>AC1</f>
        <v>45972</v>
      </c>
      <c r="AC1" s="229">
        <f>AA1+1</f>
        <v>45972</v>
      </c>
      <c r="AD1" s="241">
        <f>AE1</f>
        <v>45973</v>
      </c>
      <c r="AE1" s="229">
        <f>AC1+1</f>
        <v>45973</v>
      </c>
      <c r="AF1" s="241">
        <f>AG1</f>
        <v>45974</v>
      </c>
      <c r="AG1" s="229">
        <f>AE1+1</f>
        <v>45974</v>
      </c>
      <c r="AH1" s="241">
        <f>AI1</f>
        <v>45975</v>
      </c>
      <c r="AI1" s="229">
        <f>AG1+1</f>
        <v>45975</v>
      </c>
      <c r="AJ1" s="241">
        <f>AH1+1</f>
        <v>45976</v>
      </c>
      <c r="AK1" s="229">
        <f>AI1+1</f>
        <v>45976</v>
      </c>
      <c r="AL1" s="241">
        <f>AJ1+1</f>
        <v>45977</v>
      </c>
      <c r="AM1" s="229">
        <f>AK1+1</f>
        <v>45977</v>
      </c>
      <c r="AN1" s="459" t="s">
        <v>227</v>
      </c>
      <c r="AO1" s="455" t="s">
        <v>13</v>
      </c>
      <c r="AP1" s="457" t="s">
        <v>15</v>
      </c>
      <c r="AQ1" s="461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62"/>
      <c r="B2" s="462"/>
      <c r="C2" s="462"/>
      <c r="D2" s="463"/>
      <c r="E2" s="464"/>
      <c r="F2" s="454"/>
      <c r="G2" s="454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460"/>
      <c r="AO2" s="456"/>
      <c r="AP2" s="458"/>
      <c r="AQ2" s="461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96.980135565332247</v>
      </c>
      <c r="E5" s="243">
        <v>13.110000000000042</v>
      </c>
      <c r="F5" s="244">
        <f>P!AJ7</f>
        <v>175</v>
      </c>
      <c r="G5" s="244">
        <f t="shared" si="3"/>
        <v>188.11000000000004</v>
      </c>
      <c r="H5" s="276">
        <v>25</v>
      </c>
      <c r="I5" s="277">
        <v>19</v>
      </c>
      <c r="J5" s="276">
        <v>32</v>
      </c>
      <c r="K5" s="277">
        <v>25</v>
      </c>
      <c r="L5" s="304">
        <v>2</v>
      </c>
      <c r="M5" s="305">
        <v>26</v>
      </c>
      <c r="N5" s="304">
        <v>27</v>
      </c>
      <c r="O5" s="305">
        <v>25</v>
      </c>
      <c r="P5" s="304">
        <v>15</v>
      </c>
      <c r="Q5" s="305">
        <v>15</v>
      </c>
      <c r="R5" s="304">
        <v>16</v>
      </c>
      <c r="S5" s="305">
        <v>15.5</v>
      </c>
      <c r="T5" s="304">
        <v>10</v>
      </c>
      <c r="U5" s="305">
        <v>10</v>
      </c>
      <c r="V5" s="304">
        <v>12</v>
      </c>
      <c r="W5" s="305">
        <v>12</v>
      </c>
      <c r="X5" s="304">
        <v>15</v>
      </c>
      <c r="Y5" s="305">
        <v>13</v>
      </c>
      <c r="Z5" s="304">
        <v>15</v>
      </c>
      <c r="AA5" s="305">
        <v>14.6</v>
      </c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175.1</v>
      </c>
      <c r="AO5" s="252">
        <f>P!AK7</f>
        <v>85</v>
      </c>
      <c r="AP5" s="253">
        <f t="shared" si="5"/>
        <v>13.010000000000048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121.98901105530854</v>
      </c>
      <c r="E6" s="243">
        <v>33.750000000000043</v>
      </c>
      <c r="F6" s="244">
        <f>P!AJ8</f>
        <v>50</v>
      </c>
      <c r="G6" s="244">
        <f t="shared" si="3"/>
        <v>83.750000000000043</v>
      </c>
      <c r="H6" s="276"/>
      <c r="I6" s="277">
        <v>2</v>
      </c>
      <c r="J6" s="276"/>
      <c r="K6" s="277"/>
      <c r="L6" s="304">
        <v>7</v>
      </c>
      <c r="M6" s="305">
        <v>8.5</v>
      </c>
      <c r="N6" s="304"/>
      <c r="O6" s="305"/>
      <c r="P6" s="304">
        <v>9</v>
      </c>
      <c r="Q6" s="305">
        <v>9.5</v>
      </c>
      <c r="R6" s="304"/>
      <c r="S6" s="305"/>
      <c r="T6" s="304">
        <v>3</v>
      </c>
      <c r="U6" s="305">
        <v>4.3</v>
      </c>
      <c r="V6" s="304"/>
      <c r="W6" s="305">
        <v>7.5</v>
      </c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31.8</v>
      </c>
      <c r="AO6" s="252">
        <f>P!AK8</f>
        <v>122</v>
      </c>
      <c r="AP6" s="253">
        <f t="shared" si="5"/>
        <v>51.950000000000045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152.27285277170236</v>
      </c>
      <c r="E8" s="243">
        <v>18.740000000000009</v>
      </c>
      <c r="F8" s="244">
        <f>P!AJ10</f>
        <v>25</v>
      </c>
      <c r="G8" s="244">
        <f t="shared" si="3"/>
        <v>43.740000000000009</v>
      </c>
      <c r="H8" s="276">
        <v>4.2</v>
      </c>
      <c r="I8" s="277"/>
      <c r="J8" s="276">
        <v>5</v>
      </c>
      <c r="K8" s="277">
        <v>4.5</v>
      </c>
      <c r="L8" s="304">
        <v>5</v>
      </c>
      <c r="M8" s="305">
        <v>6.6</v>
      </c>
      <c r="N8" s="304">
        <v>8</v>
      </c>
      <c r="O8" s="305">
        <v>7.5</v>
      </c>
      <c r="P8" s="304">
        <v>3</v>
      </c>
      <c r="Q8" s="305">
        <v>3.2</v>
      </c>
      <c r="R8" s="304">
        <v>3</v>
      </c>
      <c r="S8" s="305">
        <v>3</v>
      </c>
      <c r="T8" s="304">
        <v>3</v>
      </c>
      <c r="U8" s="305">
        <v>4</v>
      </c>
      <c r="V8" s="304">
        <v>3</v>
      </c>
      <c r="W8" s="305">
        <v>1.9</v>
      </c>
      <c r="X8" s="304">
        <v>3</v>
      </c>
      <c r="Y8" s="305">
        <v>3</v>
      </c>
      <c r="Z8" s="304">
        <v>4</v>
      </c>
      <c r="AA8" s="305">
        <v>3</v>
      </c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36.700000000000003</v>
      </c>
      <c r="AO8" s="252">
        <f>P!AK10</f>
        <v>155</v>
      </c>
      <c r="AP8" s="253">
        <f t="shared" si="5"/>
        <v>7.0400000000000063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160.43026677140108</v>
      </c>
      <c r="E9" s="243">
        <v>51.72</v>
      </c>
      <c r="F9" s="244">
        <f>P!AJ11</f>
        <v>0</v>
      </c>
      <c r="G9" s="244">
        <f t="shared" si="3"/>
        <v>51.72</v>
      </c>
      <c r="H9" s="276"/>
      <c r="I9" s="277"/>
      <c r="J9" s="276"/>
      <c r="K9" s="277"/>
      <c r="L9" s="304">
        <v>3</v>
      </c>
      <c r="M9" s="305">
        <v>3.7</v>
      </c>
      <c r="N9" s="304"/>
      <c r="O9" s="305"/>
      <c r="P9" s="304">
        <v>5</v>
      </c>
      <c r="Q9" s="305">
        <v>5</v>
      </c>
      <c r="R9" s="304"/>
      <c r="S9" s="305"/>
      <c r="T9" s="304">
        <v>1.5</v>
      </c>
      <c r="U9" s="305">
        <v>2</v>
      </c>
      <c r="V9" s="304"/>
      <c r="W9" s="305"/>
      <c r="X9" s="304"/>
      <c r="Y9" s="305"/>
      <c r="Z9" s="304">
        <v>2</v>
      </c>
      <c r="AA9" s="305">
        <v>2</v>
      </c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12.7</v>
      </c>
      <c r="AO9" s="252">
        <f>P!AK11</f>
        <v>160.43026677140108</v>
      </c>
      <c r="AP9" s="253">
        <f t="shared" si="5"/>
        <v>39.019999999999996</v>
      </c>
      <c r="AQ9" s="70" t="str">
        <f t="shared" si="6"/>
        <v xml:space="preserve"> </v>
      </c>
    </row>
    <row r="10" spans="1:55">
      <c r="A10" s="68">
        <v>8</v>
      </c>
      <c r="B10" s="92" t="s">
        <v>360</v>
      </c>
      <c r="C10" s="68" t="s">
        <v>9</v>
      </c>
      <c r="D10" s="243">
        <v>130.05801514698564</v>
      </c>
      <c r="E10" s="243">
        <v>10.250000000000004</v>
      </c>
      <c r="F10" s="244">
        <f>P!AJ12</f>
        <v>25</v>
      </c>
      <c r="G10" s="244">
        <f t="shared" si="3"/>
        <v>35.25</v>
      </c>
      <c r="H10" s="276">
        <v>5</v>
      </c>
      <c r="I10" s="277">
        <v>5</v>
      </c>
      <c r="J10" s="276">
        <v>5</v>
      </c>
      <c r="K10" s="277">
        <v>4.5</v>
      </c>
      <c r="L10" s="304"/>
      <c r="M10" s="305"/>
      <c r="N10" s="304">
        <v>5</v>
      </c>
      <c r="O10" s="305">
        <v>4</v>
      </c>
      <c r="P10" s="304"/>
      <c r="Q10" s="305"/>
      <c r="R10" s="304">
        <v>2</v>
      </c>
      <c r="S10" s="305">
        <v>2</v>
      </c>
      <c r="T10" s="304"/>
      <c r="U10" s="305"/>
      <c r="V10" s="304">
        <v>2</v>
      </c>
      <c r="W10" s="305">
        <v>2</v>
      </c>
      <c r="X10" s="304">
        <v>2.5</v>
      </c>
      <c r="Y10" s="305">
        <v>2.8</v>
      </c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20.3</v>
      </c>
      <c r="AO10" s="252">
        <f>P!AK12</f>
        <v>130</v>
      </c>
      <c r="AP10" s="253">
        <f t="shared" si="5"/>
        <v>14.95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>
        <v>58.666666666666664</v>
      </c>
      <c r="E12" s="243">
        <v>0</v>
      </c>
      <c r="F12" s="244">
        <f>P!AJ14</f>
        <v>2</v>
      </c>
      <c r="G12" s="244">
        <f t="shared" si="3"/>
        <v>2</v>
      </c>
      <c r="H12" s="276"/>
      <c r="I12" s="277"/>
      <c r="J12" s="276"/>
      <c r="K12" s="277"/>
      <c r="L12" s="304"/>
      <c r="M12" s="305"/>
      <c r="N12" s="304"/>
      <c r="O12" s="305"/>
      <c r="P12" s="304">
        <v>2</v>
      </c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60</v>
      </c>
      <c r="AP12" s="253">
        <f t="shared" si="5"/>
        <v>2</v>
      </c>
      <c r="AQ12" s="70" t="str">
        <f t="shared" si="6"/>
        <v xml:space="preserve"> </v>
      </c>
    </row>
    <row r="13" spans="1:55">
      <c r="A13" s="68">
        <v>11</v>
      </c>
      <c r="B13" s="92" t="s">
        <v>25</v>
      </c>
      <c r="C13" s="68" t="s">
        <v>26</v>
      </c>
      <c r="D13" s="243">
        <v>179.47237911558003</v>
      </c>
      <c r="E13" s="243">
        <v>2.5</v>
      </c>
      <c r="F13" s="244">
        <f>P!AJ15</f>
        <v>105</v>
      </c>
      <c r="G13" s="244">
        <f>E13+F13</f>
        <v>107.5</v>
      </c>
      <c r="H13" s="276">
        <v>14</v>
      </c>
      <c r="I13" s="277">
        <v>15</v>
      </c>
      <c r="J13" s="276">
        <v>15</v>
      </c>
      <c r="K13" s="277">
        <v>11</v>
      </c>
      <c r="L13" s="304">
        <v>15</v>
      </c>
      <c r="M13" s="305">
        <v>15</v>
      </c>
      <c r="N13" s="304">
        <v>14</v>
      </c>
      <c r="O13" s="305">
        <v>11</v>
      </c>
      <c r="P13" s="304">
        <v>5</v>
      </c>
      <c r="Q13" s="305">
        <v>20</v>
      </c>
      <c r="R13" s="304">
        <v>25</v>
      </c>
      <c r="S13" s="305">
        <v>20</v>
      </c>
      <c r="T13" s="304">
        <v>4</v>
      </c>
      <c r="U13" s="305">
        <v>3</v>
      </c>
      <c r="V13" s="304">
        <v>5</v>
      </c>
      <c r="W13" s="305">
        <v>7</v>
      </c>
      <c r="X13" s="304">
        <v>5</v>
      </c>
      <c r="Y13" s="305"/>
      <c r="Z13" s="304">
        <v>5</v>
      </c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102</v>
      </c>
      <c r="AO13" s="252">
        <f>P!AK15</f>
        <v>182</v>
      </c>
      <c r="AP13" s="253">
        <f t="shared" si="5"/>
        <v>5.5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322.83657504975832</v>
      </c>
      <c r="E14" s="243">
        <v>6.9999999999999396E-2</v>
      </c>
      <c r="F14" s="244">
        <f>P!AJ16</f>
        <v>5</v>
      </c>
      <c r="G14" s="244">
        <f t="shared" si="3"/>
        <v>5.0699999999999994</v>
      </c>
      <c r="H14" s="276">
        <v>0.5</v>
      </c>
      <c r="I14" s="277">
        <v>0.4</v>
      </c>
      <c r="J14" s="276">
        <v>0.5</v>
      </c>
      <c r="K14" s="277">
        <v>0.5</v>
      </c>
      <c r="L14" s="304">
        <v>0.5</v>
      </c>
      <c r="M14" s="305">
        <v>0.5</v>
      </c>
      <c r="N14" s="304">
        <v>0.5</v>
      </c>
      <c r="O14" s="305">
        <v>0.5</v>
      </c>
      <c r="P14" s="304">
        <v>0.4</v>
      </c>
      <c r="Q14" s="305">
        <v>0.4</v>
      </c>
      <c r="R14" s="304">
        <v>0.4</v>
      </c>
      <c r="S14" s="305">
        <v>0.4</v>
      </c>
      <c r="T14" s="304">
        <v>0.3</v>
      </c>
      <c r="U14" s="305">
        <v>0.25</v>
      </c>
      <c r="V14" s="304">
        <v>0.3</v>
      </c>
      <c r="W14" s="305">
        <v>0.2</v>
      </c>
      <c r="X14" s="304">
        <v>0.4</v>
      </c>
      <c r="Y14" s="305">
        <v>1</v>
      </c>
      <c r="Z14" s="304">
        <v>0.4</v>
      </c>
      <c r="AA14" s="305">
        <v>0.4</v>
      </c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4.5500000000000007</v>
      </c>
      <c r="AO14" s="252">
        <f>P!AK16</f>
        <v>320</v>
      </c>
      <c r="AP14" s="253">
        <f t="shared" si="5"/>
        <v>0.51999999999999869</v>
      </c>
      <c r="AQ14" s="70" t="str">
        <f t="shared" si="6"/>
        <v>NZ</v>
      </c>
    </row>
    <row r="15" spans="1:55">
      <c r="A15" s="68">
        <v>13</v>
      </c>
      <c r="B15" s="92" t="s">
        <v>5</v>
      </c>
      <c r="C15" s="68" t="s">
        <v>9</v>
      </c>
      <c r="D15" s="243">
        <v>39.999999828149122</v>
      </c>
      <c r="E15" s="243">
        <v>16.299999999999997</v>
      </c>
      <c r="F15" s="244">
        <f>P!AJ17</f>
        <v>25</v>
      </c>
      <c r="G15" s="244">
        <f t="shared" si="3"/>
        <v>41.3</v>
      </c>
      <c r="H15" s="276">
        <v>2</v>
      </c>
      <c r="I15" s="277">
        <v>2</v>
      </c>
      <c r="J15" s="276">
        <v>3</v>
      </c>
      <c r="K15" s="277">
        <v>3</v>
      </c>
      <c r="L15" s="304">
        <v>4</v>
      </c>
      <c r="M15" s="305"/>
      <c r="N15" s="304">
        <v>3</v>
      </c>
      <c r="O15" s="305"/>
      <c r="P15" s="304">
        <v>2</v>
      </c>
      <c r="Q15" s="305">
        <v>1</v>
      </c>
      <c r="R15" s="304">
        <v>3</v>
      </c>
      <c r="S15" s="305">
        <v>3</v>
      </c>
      <c r="T15" s="304">
        <v>1</v>
      </c>
      <c r="U15" s="305"/>
      <c r="V15" s="304">
        <v>1</v>
      </c>
      <c r="W15" s="305">
        <v>2</v>
      </c>
      <c r="X15" s="304">
        <v>2</v>
      </c>
      <c r="Y15" s="305">
        <v>2.2999999999999998</v>
      </c>
      <c r="Z15" s="304">
        <v>2</v>
      </c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13.3</v>
      </c>
      <c r="AO15" s="252">
        <f>P!AK17</f>
        <v>40</v>
      </c>
      <c r="AP15" s="253">
        <f t="shared" si="5"/>
        <v>27.999999999999996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485.78143360752051</v>
      </c>
      <c r="E17" s="243">
        <v>0</v>
      </c>
      <c r="F17" s="244">
        <f>P!AJ19</f>
        <v>0.30000000000000004</v>
      </c>
      <c r="G17" s="244">
        <f t="shared" si="3"/>
        <v>0.30000000000000004</v>
      </c>
      <c r="H17" s="276"/>
      <c r="I17" s="277"/>
      <c r="J17" s="276"/>
      <c r="K17" s="277"/>
      <c r="L17" s="304"/>
      <c r="M17" s="305"/>
      <c r="N17" s="304"/>
      <c r="O17" s="305"/>
      <c r="P17" s="304">
        <v>0.1</v>
      </c>
      <c r="Q17" s="305">
        <v>0.1</v>
      </c>
      <c r="R17" s="304"/>
      <c r="S17" s="305"/>
      <c r="T17" s="304"/>
      <c r="U17" s="305"/>
      <c r="V17" s="304"/>
      <c r="W17" s="305">
        <v>0.2</v>
      </c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0.30000000000000004</v>
      </c>
      <c r="AO17" s="252">
        <f>P!AK19</f>
        <v>333.33333333333326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183.33333333333331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183.33333333333331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59.999999999998352</v>
      </c>
      <c r="E19" s="243">
        <v>0</v>
      </c>
      <c r="F19" s="244">
        <f>P!AJ21</f>
        <v>189</v>
      </c>
      <c r="G19" s="244">
        <f t="shared" si="3"/>
        <v>189</v>
      </c>
      <c r="H19" s="276">
        <v>10</v>
      </c>
      <c r="I19" s="277">
        <v>10</v>
      </c>
      <c r="J19" s="276">
        <v>14</v>
      </c>
      <c r="K19" s="277">
        <v>12</v>
      </c>
      <c r="L19" s="304">
        <v>13</v>
      </c>
      <c r="M19" s="305">
        <v>15</v>
      </c>
      <c r="N19" s="304">
        <v>12</v>
      </c>
      <c r="O19" s="305">
        <v>15</v>
      </c>
      <c r="P19" s="304">
        <v>12</v>
      </c>
      <c r="Q19" s="305">
        <v>14</v>
      </c>
      <c r="R19" s="304">
        <v>6</v>
      </c>
      <c r="S19" s="305">
        <v>8</v>
      </c>
      <c r="T19" s="304">
        <v>3</v>
      </c>
      <c r="U19" s="305">
        <v>4</v>
      </c>
      <c r="V19" s="304">
        <v>5</v>
      </c>
      <c r="W19" s="305">
        <v>5</v>
      </c>
      <c r="X19" s="304">
        <v>5</v>
      </c>
      <c r="Y19" s="305">
        <v>4</v>
      </c>
      <c r="Z19" s="304">
        <v>4</v>
      </c>
      <c r="AA19" s="305">
        <v>7</v>
      </c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94</v>
      </c>
      <c r="AO19" s="252">
        <f>P!AK21</f>
        <v>60</v>
      </c>
      <c r="AP19" s="253">
        <f t="shared" si="5"/>
        <v>95</v>
      </c>
      <c r="AQ19" s="70" t="str">
        <f t="shared" si="6"/>
        <v xml:space="preserve"> </v>
      </c>
    </row>
    <row r="20" spans="1:44">
      <c r="A20" s="68">
        <v>18</v>
      </c>
      <c r="B20" s="92" t="s">
        <v>32</v>
      </c>
      <c r="C20" s="68" t="s">
        <v>9</v>
      </c>
      <c r="D20" s="243">
        <v>920.24684649498317</v>
      </c>
      <c r="E20" s="243">
        <v>6.3800000000000017</v>
      </c>
      <c r="F20" s="244">
        <f>P!AJ22</f>
        <v>7.2</v>
      </c>
      <c r="G20" s="244">
        <f t="shared" si="3"/>
        <v>13.580000000000002</v>
      </c>
      <c r="H20" s="276">
        <v>0.5</v>
      </c>
      <c r="I20" s="277">
        <v>1.5</v>
      </c>
      <c r="J20" s="276">
        <v>1</v>
      </c>
      <c r="K20" s="277">
        <v>0.4</v>
      </c>
      <c r="L20" s="304">
        <v>1</v>
      </c>
      <c r="M20" s="305">
        <v>0.5</v>
      </c>
      <c r="N20" s="304">
        <v>1.5</v>
      </c>
      <c r="O20" s="305">
        <v>0.65</v>
      </c>
      <c r="P20" s="304">
        <v>1</v>
      </c>
      <c r="Q20" s="305">
        <v>0.5</v>
      </c>
      <c r="R20" s="304">
        <v>1</v>
      </c>
      <c r="S20" s="305">
        <v>0.5</v>
      </c>
      <c r="T20" s="304">
        <v>0.2</v>
      </c>
      <c r="U20" s="305">
        <v>0.2</v>
      </c>
      <c r="V20" s="304">
        <v>0.2</v>
      </c>
      <c r="W20" s="305">
        <v>1.2</v>
      </c>
      <c r="X20" s="304">
        <v>0.2</v>
      </c>
      <c r="Y20" s="305">
        <v>0.2</v>
      </c>
      <c r="Z20" s="304">
        <v>0.2</v>
      </c>
      <c r="AA20" s="305">
        <v>0.2</v>
      </c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5.8500000000000005</v>
      </c>
      <c r="AO20" s="252">
        <f>P!AK22</f>
        <v>933.33333333333326</v>
      </c>
      <c r="AP20" s="253">
        <f t="shared" si="5"/>
        <v>7.7300000000000013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216.66666666666666</v>
      </c>
      <c r="E21" s="243">
        <v>2</v>
      </c>
      <c r="F21" s="244">
        <f>P!AJ23</f>
        <v>0</v>
      </c>
      <c r="G21" s="244">
        <f t="shared" si="3"/>
        <v>2</v>
      </c>
      <c r="H21" s="276"/>
      <c r="I21" s="277"/>
      <c r="J21" s="276"/>
      <c r="K21" s="277"/>
      <c r="L21" s="304"/>
      <c r="M21" s="305"/>
      <c r="N21" s="304"/>
      <c r="O21" s="305"/>
      <c r="P21" s="304">
        <v>1</v>
      </c>
      <c r="Q21" s="305">
        <v>1</v>
      </c>
      <c r="R21" s="304"/>
      <c r="S21" s="305"/>
      <c r="T21" s="304"/>
      <c r="U21" s="305"/>
      <c r="V21" s="304"/>
      <c r="W21" s="305"/>
      <c r="X21" s="304"/>
      <c r="Y21" s="305"/>
      <c r="Z21" s="304"/>
      <c r="AA21" s="305">
        <v>0.5</v>
      </c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1.5</v>
      </c>
      <c r="AO21" s="252">
        <f>P!AK23</f>
        <v>216.66666666666666</v>
      </c>
      <c r="AP21" s="253">
        <f t="shared" si="5"/>
        <v>0.5</v>
      </c>
      <c r="AQ21" s="70" t="str">
        <f t="shared" si="6"/>
        <v>NZ</v>
      </c>
    </row>
    <row r="22" spans="1:44">
      <c r="A22" s="68">
        <v>20</v>
      </c>
      <c r="B22" s="92" t="s">
        <v>34</v>
      </c>
      <c r="C22" s="68" t="s">
        <v>31</v>
      </c>
      <c r="D22" s="243">
        <v>2.7665272323045231</v>
      </c>
      <c r="E22" s="243">
        <v>713</v>
      </c>
      <c r="F22" s="244">
        <f>P!AJ24</f>
        <v>720</v>
      </c>
      <c r="G22" s="244">
        <f t="shared" si="3"/>
        <v>1433</v>
      </c>
      <c r="H22" s="276">
        <v>100</v>
      </c>
      <c r="I22" s="277">
        <v>100</v>
      </c>
      <c r="J22" s="276">
        <v>100</v>
      </c>
      <c r="K22" s="277">
        <v>50</v>
      </c>
      <c r="L22" s="304">
        <v>115</v>
      </c>
      <c r="M22" s="305">
        <v>115</v>
      </c>
      <c r="N22" s="304">
        <v>50</v>
      </c>
      <c r="O22" s="305">
        <v>50</v>
      </c>
      <c r="P22" s="304">
        <v>50</v>
      </c>
      <c r="Q22" s="305">
        <v>65</v>
      </c>
      <c r="R22" s="304">
        <v>710</v>
      </c>
      <c r="S22" s="305">
        <v>1053</v>
      </c>
      <c r="T22" s="304"/>
      <c r="U22" s="305"/>
      <c r="V22" s="304"/>
      <c r="W22" s="305"/>
      <c r="X22" s="304"/>
      <c r="Y22" s="305"/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1433</v>
      </c>
      <c r="AO22" s="252">
        <f>P!AK24</f>
        <v>2.8</v>
      </c>
      <c r="AP22" s="253">
        <f t="shared" si="5"/>
        <v>0</v>
      </c>
      <c r="AQ22" s="70" t="str">
        <f t="shared" si="6"/>
        <v>০</v>
      </c>
    </row>
    <row r="23" spans="1:44">
      <c r="A23" s="68">
        <v>21</v>
      </c>
      <c r="B23" s="92" t="s">
        <v>35</v>
      </c>
      <c r="C23" s="68" t="s">
        <v>31</v>
      </c>
      <c r="D23" s="243">
        <v>180</v>
      </c>
      <c r="E23" s="243">
        <v>0</v>
      </c>
      <c r="F23" s="244">
        <f>P!AJ25</f>
        <v>1</v>
      </c>
      <c r="G23" s="244">
        <f t="shared" si="3"/>
        <v>1</v>
      </c>
      <c r="H23" s="276"/>
      <c r="I23" s="277"/>
      <c r="J23" s="276"/>
      <c r="K23" s="277"/>
      <c r="L23" s="304"/>
      <c r="M23" s="305"/>
      <c r="N23" s="304"/>
      <c r="O23" s="305"/>
      <c r="P23" s="304">
        <v>1</v>
      </c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300</v>
      </c>
      <c r="AP23" s="253">
        <f t="shared" si="5"/>
        <v>1</v>
      </c>
      <c r="AQ23" s="70" t="str">
        <f t="shared" si="6"/>
        <v xml:space="preserve"> </v>
      </c>
    </row>
    <row r="24" spans="1:44">
      <c r="A24" s="68">
        <v>22</v>
      </c>
      <c r="B24" s="92" t="s">
        <v>36</v>
      </c>
      <c r="C24" s="68" t="s">
        <v>31</v>
      </c>
      <c r="D24" s="243">
        <v>380</v>
      </c>
      <c r="E24" s="243">
        <v>0</v>
      </c>
      <c r="F24" s="244">
        <f>P!AJ26</f>
        <v>1</v>
      </c>
      <c r="G24" s="244">
        <f t="shared" si="3"/>
        <v>1</v>
      </c>
      <c r="H24" s="276"/>
      <c r="I24" s="277"/>
      <c r="J24" s="276"/>
      <c r="K24" s="277"/>
      <c r="L24" s="304"/>
      <c r="M24" s="305"/>
      <c r="N24" s="304"/>
      <c r="O24" s="305"/>
      <c r="P24" s="304">
        <v>1</v>
      </c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440</v>
      </c>
      <c r="AP24" s="253">
        <f t="shared" si="5"/>
        <v>1</v>
      </c>
      <c r="AQ24" s="70" t="str">
        <f t="shared" si="6"/>
        <v xml:space="preserve"> 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0.39999999999999991</v>
      </c>
      <c r="F27" s="244">
        <f>P!AJ29</f>
        <v>0</v>
      </c>
      <c r="G27" s="244">
        <f t="shared" si="3"/>
        <v>0.39999999999999991</v>
      </c>
      <c r="H27" s="276"/>
      <c r="I27" s="277"/>
      <c r="J27" s="276"/>
      <c r="K27" s="277"/>
      <c r="L27" s="304"/>
      <c r="M27" s="305"/>
      <c r="N27" s="304"/>
      <c r="O27" s="305"/>
      <c r="P27" s="304">
        <v>1</v>
      </c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>
        <v>1</v>
      </c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100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1E-3</v>
      </c>
      <c r="G29" s="244">
        <f t="shared" si="3"/>
        <v>1E-3</v>
      </c>
      <c r="H29" s="276"/>
      <c r="I29" s="277"/>
      <c r="J29" s="276"/>
      <c r="K29" s="277"/>
      <c r="L29" s="304"/>
      <c r="M29" s="305"/>
      <c r="N29" s="304"/>
      <c r="O29" s="305"/>
      <c r="P29" s="304">
        <v>1E-3</v>
      </c>
      <c r="Q29" s="305">
        <v>1E-3</v>
      </c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1E-3</v>
      </c>
      <c r="AO29" s="252">
        <f>P!AK31</f>
        <v>300000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>
        <v>2.5000000000000001E-2</v>
      </c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>
        <v>0.5</v>
      </c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135.52336352956578</v>
      </c>
      <c r="E34" s="243">
        <v>15</v>
      </c>
      <c r="F34" s="244">
        <f>P!AJ36</f>
        <v>32</v>
      </c>
      <c r="G34" s="244">
        <f t="shared" si="3"/>
        <v>47</v>
      </c>
      <c r="H34" s="276">
        <v>3</v>
      </c>
      <c r="I34" s="277">
        <v>4</v>
      </c>
      <c r="J34" s="276">
        <v>2</v>
      </c>
      <c r="K34" s="277">
        <v>3</v>
      </c>
      <c r="L34" s="304">
        <v>4</v>
      </c>
      <c r="M34" s="305">
        <v>3</v>
      </c>
      <c r="N34" s="304">
        <v>3</v>
      </c>
      <c r="O34" s="305">
        <v>1</v>
      </c>
      <c r="P34" s="304">
        <v>2</v>
      </c>
      <c r="Q34" s="305">
        <v>2</v>
      </c>
      <c r="R34" s="304">
        <v>2</v>
      </c>
      <c r="S34" s="305">
        <v>1</v>
      </c>
      <c r="T34" s="304">
        <v>1</v>
      </c>
      <c r="U34" s="305"/>
      <c r="V34" s="304">
        <v>1</v>
      </c>
      <c r="W34" s="305"/>
      <c r="X34" s="304">
        <v>2</v>
      </c>
      <c r="Y34" s="305"/>
      <c r="Z34" s="304">
        <v>2</v>
      </c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14</v>
      </c>
      <c r="AO34" s="252">
        <f>P!AK36</f>
        <v>135</v>
      </c>
      <c r="AP34" s="253">
        <f t="shared" si="5"/>
        <v>33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1</v>
      </c>
      <c r="F35" s="244">
        <f>P!AJ37</f>
        <v>0</v>
      </c>
      <c r="G35" s="244">
        <f t="shared" si="3"/>
        <v>1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475</v>
      </c>
      <c r="E36" s="243">
        <v>9.9999999999999978E-2</v>
      </c>
      <c r="F36" s="244">
        <f>P!AJ38</f>
        <v>0</v>
      </c>
      <c r="G36" s="244">
        <f t="shared" si="3"/>
        <v>9.9999999999999978E-2</v>
      </c>
      <c r="H36" s="276"/>
      <c r="I36" s="277"/>
      <c r="J36" s="276"/>
      <c r="K36" s="277"/>
      <c r="L36" s="304"/>
      <c r="M36" s="305"/>
      <c r="N36" s="304"/>
      <c r="O36" s="305"/>
      <c r="P36" s="304">
        <v>0.2</v>
      </c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475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257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240</v>
      </c>
      <c r="E38" s="243">
        <v>0</v>
      </c>
      <c r="F38" s="244">
        <f>P!AJ40</f>
        <v>1</v>
      </c>
      <c r="G38" s="244">
        <f t="shared" si="3"/>
        <v>1</v>
      </c>
      <c r="H38" s="276"/>
      <c r="I38" s="316">
        <f>P!D40</f>
        <v>0</v>
      </c>
      <c r="J38" s="276"/>
      <c r="K38" s="316">
        <f>P!F40</f>
        <v>0</v>
      </c>
      <c r="L38" s="304"/>
      <c r="M38" s="316">
        <f>P!H40</f>
        <v>0</v>
      </c>
      <c r="N38" s="304"/>
      <c r="O38" s="316">
        <f>P!J40</f>
        <v>0</v>
      </c>
      <c r="P38" s="304"/>
      <c r="Q38" s="316">
        <f>P!L40</f>
        <v>0</v>
      </c>
      <c r="R38" s="304"/>
      <c r="S38" s="316">
        <f>P!N40</f>
        <v>0</v>
      </c>
      <c r="T38" s="304"/>
      <c r="U38" s="316">
        <f>P!P40</f>
        <v>0</v>
      </c>
      <c r="V38" s="304"/>
      <c r="W38" s="316">
        <f>P!R40</f>
        <v>1</v>
      </c>
      <c r="X38" s="304"/>
      <c r="Y38" s="316">
        <f>P!T40</f>
        <v>0</v>
      </c>
      <c r="Z38" s="304"/>
      <c r="AA38" s="316">
        <f>P!V40</f>
        <v>0</v>
      </c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1</v>
      </c>
      <c r="AO38" s="312">
        <f>P!AK40</f>
        <v>120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>
        <v>74.166666666666671</v>
      </c>
      <c r="E39" s="243">
        <v>0</v>
      </c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/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>
        <v>1</v>
      </c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132.5</v>
      </c>
      <c r="E40" s="243">
        <v>0</v>
      </c>
      <c r="F40" s="244">
        <f>P!AJ42</f>
        <v>1</v>
      </c>
      <c r="G40" s="244">
        <f t="shared" si="3"/>
        <v>1</v>
      </c>
      <c r="H40" s="311"/>
      <c r="I40" s="316">
        <f>P!D42</f>
        <v>0</v>
      </c>
      <c r="J40" s="311"/>
      <c r="K40" s="316">
        <f>P!F42</f>
        <v>1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1</v>
      </c>
      <c r="AO40" s="324">
        <f>P!AK42</f>
        <v>85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>
        <v>8</v>
      </c>
      <c r="E41" s="243">
        <v>953</v>
      </c>
      <c r="F41" s="244">
        <f>P!AJ43</f>
        <v>0</v>
      </c>
      <c r="G41" s="244">
        <f t="shared" si="3"/>
        <v>953</v>
      </c>
      <c r="H41" s="276"/>
      <c r="I41" s="277"/>
      <c r="J41" s="276"/>
      <c r="K41" s="277"/>
      <c r="L41" s="304"/>
      <c r="M41" s="305"/>
      <c r="N41" s="304"/>
      <c r="O41" s="305"/>
      <c r="P41" s="304">
        <v>50</v>
      </c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>
        <v>10.077212571111302</v>
      </c>
      <c r="E45" s="243">
        <v>879</v>
      </c>
      <c r="F45" s="244">
        <f>P!AJ47</f>
        <v>0</v>
      </c>
      <c r="G45" s="244">
        <f t="shared" si="3"/>
        <v>879</v>
      </c>
      <c r="H45" s="276"/>
      <c r="I45" s="277">
        <v>25</v>
      </c>
      <c r="J45" s="276"/>
      <c r="K45" s="277">
        <v>20</v>
      </c>
      <c r="L45" s="304"/>
      <c r="M45" s="305">
        <v>20</v>
      </c>
      <c r="N45" s="304"/>
      <c r="O45" s="305">
        <v>15</v>
      </c>
      <c r="P45" s="304"/>
      <c r="Q45" s="305">
        <v>62</v>
      </c>
      <c r="R45" s="304"/>
      <c r="S45" s="305">
        <v>15</v>
      </c>
      <c r="T45" s="304"/>
      <c r="U45" s="305">
        <v>20</v>
      </c>
      <c r="V45" s="304"/>
      <c r="W45" s="305">
        <v>25</v>
      </c>
      <c r="X45" s="304"/>
      <c r="Y45" s="305">
        <v>20</v>
      </c>
      <c r="Z45" s="304"/>
      <c r="AA45" s="305">
        <v>15</v>
      </c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237</v>
      </c>
      <c r="AO45" s="252">
        <f>P!AK47</f>
        <v>10.077212571111302</v>
      </c>
      <c r="AP45" s="253">
        <f t="shared" si="5"/>
        <v>642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4.1449856530953326</v>
      </c>
      <c r="E46" s="243">
        <v>17</v>
      </c>
      <c r="F46" s="244">
        <f>P!AJ48</f>
        <v>0.25</v>
      </c>
      <c r="G46" s="244">
        <f t="shared" si="3"/>
        <v>17.25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800</v>
      </c>
      <c r="AP46" s="253">
        <f t="shared" si="5"/>
        <v>17.25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2</v>
      </c>
      <c r="F50" s="244">
        <f>P!AJ52</f>
        <v>2</v>
      </c>
      <c r="G50" s="244">
        <f t="shared" si="3"/>
        <v>4</v>
      </c>
      <c r="H50" s="276"/>
      <c r="I50" s="277"/>
      <c r="J50" s="276"/>
      <c r="K50" s="277"/>
      <c r="L50" s="304"/>
      <c r="M50" s="305"/>
      <c r="N50" s="304"/>
      <c r="O50" s="305"/>
      <c r="P50" s="304">
        <v>2</v>
      </c>
      <c r="Q50" s="305">
        <v>2</v>
      </c>
      <c r="R50" s="304"/>
      <c r="S50" s="305">
        <v>1</v>
      </c>
      <c r="T50" s="304"/>
      <c r="U50" s="305">
        <v>1</v>
      </c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4</v>
      </c>
      <c r="AO50" s="252">
        <f>P!AK52</f>
        <v>60</v>
      </c>
      <c r="AP50" s="253">
        <f t="shared" si="5"/>
        <v>0</v>
      </c>
      <c r="AQ50" s="70" t="str">
        <f t="shared" si="6"/>
        <v>০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0.99701633739915718</v>
      </c>
      <c r="E54" s="243">
        <v>50</v>
      </c>
      <c r="F54" s="244">
        <f>P!AJ56</f>
        <v>200</v>
      </c>
      <c r="G54" s="244">
        <f t="shared" si="3"/>
        <v>250</v>
      </c>
      <c r="H54" s="276"/>
      <c r="I54" s="277"/>
      <c r="J54" s="276"/>
      <c r="K54" s="277"/>
      <c r="L54" s="304">
        <v>8</v>
      </c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0.8</v>
      </c>
      <c r="AP54" s="253">
        <f t="shared" si="5"/>
        <v>250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0.25007592754151003</v>
      </c>
      <c r="E55" s="243">
        <v>94</v>
      </c>
      <c r="F55" s="244">
        <f>P!AJ57</f>
        <v>100</v>
      </c>
      <c r="G55" s="244">
        <f t="shared" si="3"/>
        <v>194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/>
      <c r="S55" s="305"/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0</v>
      </c>
      <c r="AO55" s="252">
        <f>P!AK57</f>
        <v>0.25</v>
      </c>
      <c r="AP55" s="253">
        <f t="shared" si="5"/>
        <v>194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6</v>
      </c>
      <c r="F56" s="244">
        <f>P!AJ58</f>
        <v>49</v>
      </c>
      <c r="G56" s="244">
        <f t="shared" si="3"/>
        <v>55</v>
      </c>
      <c r="H56" s="276">
        <v>6</v>
      </c>
      <c r="I56" s="277">
        <v>5</v>
      </c>
      <c r="J56" s="276">
        <v>6</v>
      </c>
      <c r="K56" s="277">
        <v>6</v>
      </c>
      <c r="L56" s="304"/>
      <c r="M56" s="305">
        <v>8</v>
      </c>
      <c r="N56" s="304">
        <v>8</v>
      </c>
      <c r="O56" s="305">
        <v>8</v>
      </c>
      <c r="P56" s="304">
        <v>8</v>
      </c>
      <c r="Q56" s="305">
        <v>10</v>
      </c>
      <c r="R56" s="304">
        <v>5</v>
      </c>
      <c r="S56" s="305">
        <v>5</v>
      </c>
      <c r="T56" s="304">
        <v>2</v>
      </c>
      <c r="U56" s="305">
        <v>2</v>
      </c>
      <c r="V56" s="304">
        <v>4</v>
      </c>
      <c r="W56" s="305">
        <v>4</v>
      </c>
      <c r="X56" s="304">
        <v>5</v>
      </c>
      <c r="Y56" s="305">
        <v>3</v>
      </c>
      <c r="Z56" s="304">
        <v>4</v>
      </c>
      <c r="AA56" s="305">
        <v>4</v>
      </c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55</v>
      </c>
      <c r="AO56" s="252">
        <f>P!AK58</f>
        <v>20</v>
      </c>
      <c r="AP56" s="253">
        <f t="shared" si="5"/>
        <v>0</v>
      </c>
      <c r="AQ56" s="70" t="str">
        <f t="shared" si="6"/>
        <v>০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0.5</v>
      </c>
      <c r="F57" s="244">
        <f>P!AJ59</f>
        <v>0</v>
      </c>
      <c r="G57" s="244">
        <f t="shared" si="3"/>
        <v>0.5</v>
      </c>
      <c r="H57" s="276"/>
      <c r="I57" s="277"/>
      <c r="J57" s="276"/>
      <c r="K57" s="277"/>
      <c r="L57" s="304"/>
      <c r="M57" s="305"/>
      <c r="N57" s="304"/>
      <c r="O57" s="305"/>
      <c r="P57" s="304">
        <v>0.5</v>
      </c>
      <c r="Q57" s="305">
        <v>0.5</v>
      </c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0.5</v>
      </c>
      <c r="AO57" s="252">
        <f>P!AK59</f>
        <v>1080</v>
      </c>
      <c r="AP57" s="253">
        <f t="shared" si="5"/>
        <v>0</v>
      </c>
      <c r="AQ57" s="70" t="str">
        <f t="shared" si="6"/>
        <v>০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0</v>
      </c>
      <c r="G58" s="244">
        <f t="shared" si="3"/>
        <v>0</v>
      </c>
      <c r="H58" s="276">
        <v>2</v>
      </c>
      <c r="I58" s="277"/>
      <c r="J58" s="276">
        <v>2</v>
      </c>
      <c r="K58" s="277"/>
      <c r="L58" s="304">
        <v>3</v>
      </c>
      <c r="M58" s="305"/>
      <c r="N58" s="304">
        <v>2</v>
      </c>
      <c r="O58" s="305"/>
      <c r="P58" s="304">
        <v>2</v>
      </c>
      <c r="Q58" s="305"/>
      <c r="R58" s="304">
        <v>2</v>
      </c>
      <c r="S58" s="305"/>
      <c r="T58" s="304">
        <v>1</v>
      </c>
      <c r="U58" s="305"/>
      <c r="V58" s="304">
        <v>1</v>
      </c>
      <c r="W58" s="305"/>
      <c r="X58" s="304">
        <v>2</v>
      </c>
      <c r="Y58" s="305"/>
      <c r="Z58" s="304">
        <v>2</v>
      </c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267.55555555555554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111.61943319838058</v>
      </c>
      <c r="E60" s="243">
        <v>2</v>
      </c>
      <c r="F60" s="244">
        <f>P!AJ62</f>
        <v>10</v>
      </c>
      <c r="G60" s="244">
        <f t="shared" si="3"/>
        <v>12</v>
      </c>
      <c r="H60" s="276">
        <v>2</v>
      </c>
      <c r="I60" s="277">
        <v>2</v>
      </c>
      <c r="J60" s="276">
        <v>2</v>
      </c>
      <c r="K60" s="277">
        <v>2</v>
      </c>
      <c r="L60" s="304">
        <v>5</v>
      </c>
      <c r="M60" s="305">
        <v>3</v>
      </c>
      <c r="N60" s="304">
        <v>3</v>
      </c>
      <c r="O60" s="305"/>
      <c r="P60" s="304">
        <v>3</v>
      </c>
      <c r="Q60" s="305"/>
      <c r="R60" s="304">
        <v>5</v>
      </c>
      <c r="S60" s="305"/>
      <c r="T60" s="304">
        <v>1</v>
      </c>
      <c r="U60" s="305"/>
      <c r="V60" s="304">
        <v>1</v>
      </c>
      <c r="W60" s="305"/>
      <c r="X60" s="304">
        <v>2</v>
      </c>
      <c r="Y60" s="305"/>
      <c r="Z60" s="304">
        <v>2</v>
      </c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7</v>
      </c>
      <c r="AO60" s="252">
        <f>P!AK62</f>
        <v>110</v>
      </c>
      <c r="AP60" s="253">
        <f t="shared" si="5"/>
        <v>5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638.97164060429361</v>
      </c>
      <c r="E61" s="243">
        <v>0.20000000000000018</v>
      </c>
      <c r="F61" s="244">
        <f>P!AJ63</f>
        <v>1.5</v>
      </c>
      <c r="G61" s="244">
        <f t="shared" si="3"/>
        <v>1.7000000000000002</v>
      </c>
      <c r="H61" s="276">
        <v>0.4</v>
      </c>
      <c r="I61" s="277">
        <v>0.4</v>
      </c>
      <c r="J61" s="276">
        <v>0.3</v>
      </c>
      <c r="K61" s="277">
        <v>0.3</v>
      </c>
      <c r="L61" s="304">
        <v>0.3</v>
      </c>
      <c r="M61" s="305"/>
      <c r="N61" s="304">
        <v>0.5</v>
      </c>
      <c r="O61" s="305"/>
      <c r="P61" s="304">
        <v>0.2</v>
      </c>
      <c r="Q61" s="305"/>
      <c r="R61" s="304">
        <v>0.2</v>
      </c>
      <c r="S61" s="305"/>
      <c r="T61" s="304">
        <v>0.2</v>
      </c>
      <c r="U61" s="305"/>
      <c r="V61" s="304">
        <v>0.2</v>
      </c>
      <c r="W61" s="305"/>
      <c r="X61" s="304">
        <v>0.5</v>
      </c>
      <c r="Y61" s="305"/>
      <c r="Z61" s="304">
        <v>0.2</v>
      </c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0.7</v>
      </c>
      <c r="AO61" s="252">
        <f>P!AK63</f>
        <v>640</v>
      </c>
      <c r="AP61" s="253">
        <f t="shared" si="5"/>
        <v>1.0000000000000002</v>
      </c>
      <c r="AQ61" s="70" t="str">
        <f t="shared" si="6"/>
        <v xml:space="preserve"> </v>
      </c>
    </row>
    <row r="62" spans="1:43">
      <c r="A62" s="68">
        <v>60</v>
      </c>
      <c r="B62" s="92" t="s">
        <v>71</v>
      </c>
      <c r="C62" s="68" t="s">
        <v>9</v>
      </c>
      <c r="D62" s="243">
        <v>655.41380476259485</v>
      </c>
      <c r="E62" s="243">
        <v>0.85000000000000098</v>
      </c>
      <c r="F62" s="244">
        <f>P!AJ64</f>
        <v>1.5</v>
      </c>
      <c r="G62" s="244">
        <f t="shared" si="3"/>
        <v>2.350000000000001</v>
      </c>
      <c r="H62" s="276">
        <v>0.5</v>
      </c>
      <c r="I62" s="277">
        <v>0.5</v>
      </c>
      <c r="J62" s="276">
        <v>0.5</v>
      </c>
      <c r="K62" s="277">
        <v>0.5</v>
      </c>
      <c r="L62" s="304">
        <v>0.5</v>
      </c>
      <c r="M62" s="305"/>
      <c r="N62" s="304">
        <v>0.5</v>
      </c>
      <c r="O62" s="305">
        <v>0.5</v>
      </c>
      <c r="P62" s="304">
        <v>0.5</v>
      </c>
      <c r="Q62" s="305">
        <v>0.1</v>
      </c>
      <c r="R62" s="304">
        <v>0.5</v>
      </c>
      <c r="S62" s="305"/>
      <c r="T62" s="304">
        <v>0.3</v>
      </c>
      <c r="U62" s="305"/>
      <c r="V62" s="304">
        <v>300</v>
      </c>
      <c r="W62" s="305"/>
      <c r="X62" s="304">
        <v>0.5</v>
      </c>
      <c r="Y62" s="305"/>
      <c r="Z62" s="304">
        <v>0.3</v>
      </c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1.6</v>
      </c>
      <c r="AO62" s="252">
        <f>P!AK64</f>
        <v>660</v>
      </c>
      <c r="AP62" s="253">
        <f t="shared" si="5"/>
        <v>0.75000000000000089</v>
      </c>
      <c r="AQ62" s="70" t="str">
        <f t="shared" si="6"/>
        <v>NZ</v>
      </c>
    </row>
    <row r="63" spans="1:43">
      <c r="A63" s="68">
        <v>61</v>
      </c>
      <c r="B63" s="92" t="s">
        <v>72</v>
      </c>
      <c r="C63" s="68" t="s">
        <v>9</v>
      </c>
      <c r="D63" s="243">
        <v>360.88435374149657</v>
      </c>
      <c r="E63" s="243">
        <v>0</v>
      </c>
      <c r="F63" s="244">
        <f>P!AJ65</f>
        <v>0.2</v>
      </c>
      <c r="G63" s="244">
        <f t="shared" si="3"/>
        <v>0.2</v>
      </c>
      <c r="H63" s="276"/>
      <c r="I63" s="277"/>
      <c r="J63" s="276"/>
      <c r="K63" s="277"/>
      <c r="L63" s="304">
        <v>0.1</v>
      </c>
      <c r="M63" s="305"/>
      <c r="N63" s="304">
        <v>0.1</v>
      </c>
      <c r="O63" s="305">
        <v>0.1</v>
      </c>
      <c r="P63" s="304">
        <v>0.1</v>
      </c>
      <c r="Q63" s="305"/>
      <c r="R63" s="304"/>
      <c r="S63" s="305"/>
      <c r="T63" s="304"/>
      <c r="U63" s="305"/>
      <c r="V63" s="304"/>
      <c r="W63" s="305"/>
      <c r="X63" s="304"/>
      <c r="Y63" s="305"/>
      <c r="Z63" s="304">
        <v>0.1</v>
      </c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0.1</v>
      </c>
      <c r="AO63" s="252">
        <f>P!AK65</f>
        <v>400</v>
      </c>
      <c r="AP63" s="253">
        <f t="shared" si="5"/>
        <v>0.1</v>
      </c>
      <c r="AQ63" s="70" t="str">
        <f t="shared" si="6"/>
        <v>NZ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872.22222222222217</v>
      </c>
      <c r="E65" s="243">
        <v>9.9999999999999978E-2</v>
      </c>
      <c r="F65" s="244">
        <f>P!AJ67</f>
        <v>0.89999999999999991</v>
      </c>
      <c r="G65" s="244">
        <f t="shared" si="3"/>
        <v>0.99999999999999989</v>
      </c>
      <c r="H65" s="276">
        <v>0.1</v>
      </c>
      <c r="I65" s="277">
        <v>0.1</v>
      </c>
      <c r="J65" s="276">
        <v>0.1</v>
      </c>
      <c r="K65" s="277">
        <v>0.1</v>
      </c>
      <c r="L65" s="304">
        <v>0.2</v>
      </c>
      <c r="M65" s="305">
        <v>0.1</v>
      </c>
      <c r="N65" s="304">
        <v>0.2</v>
      </c>
      <c r="O65" s="305">
        <v>0.1</v>
      </c>
      <c r="P65" s="304">
        <v>0.2</v>
      </c>
      <c r="Q65" s="305">
        <v>0.05</v>
      </c>
      <c r="R65" s="304">
        <v>0.1</v>
      </c>
      <c r="S65" s="305">
        <v>0.1</v>
      </c>
      <c r="T65" s="304">
        <v>0.5</v>
      </c>
      <c r="U65" s="305">
        <v>0.05</v>
      </c>
      <c r="V65" s="304">
        <v>0.1</v>
      </c>
      <c r="W65" s="305">
        <v>0.15</v>
      </c>
      <c r="X65" s="304">
        <v>0.1</v>
      </c>
      <c r="Y65" s="305"/>
      <c r="Z65" s="304">
        <v>0.1</v>
      </c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0.75000000000000011</v>
      </c>
      <c r="AO65" s="252">
        <f>P!AK67</f>
        <v>1311.1111111111113</v>
      </c>
      <c r="AP65" s="253">
        <f>G65-AN65</f>
        <v>0.24999999999999978</v>
      </c>
      <c r="AQ65" s="70" t="str">
        <f>IF(AND(AP65&gt;=0, AP65&lt;1),IF(AP65=0,"০","NZ")," ")</f>
        <v>NZ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0</v>
      </c>
      <c r="F66" s="244">
        <f>P!AJ68</f>
        <v>2</v>
      </c>
      <c r="G66" s="244">
        <f t="shared" si="3"/>
        <v>2</v>
      </c>
      <c r="H66" s="276"/>
      <c r="I66" s="277"/>
      <c r="J66" s="276"/>
      <c r="K66" s="277"/>
      <c r="L66" s="304"/>
      <c r="M66" s="305"/>
      <c r="N66" s="304"/>
      <c r="O66" s="305"/>
      <c r="P66" s="304">
        <v>1</v>
      </c>
      <c r="Q66" s="305">
        <v>1</v>
      </c>
      <c r="R66" s="304"/>
      <c r="S66" s="305">
        <v>1</v>
      </c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2</v>
      </c>
      <c r="AO66" s="252">
        <f>P!AK68</f>
        <v>18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0</v>
      </c>
      <c r="F67" s="244">
        <f>P!AJ69</f>
        <v>2</v>
      </c>
      <c r="G67" s="244">
        <f t="shared" si="3"/>
        <v>2</v>
      </c>
      <c r="H67" s="276"/>
      <c r="I67" s="277"/>
      <c r="J67" s="276"/>
      <c r="K67" s="277"/>
      <c r="L67" s="304"/>
      <c r="M67" s="305"/>
      <c r="N67" s="304"/>
      <c r="O67" s="305"/>
      <c r="P67" s="304">
        <v>1</v>
      </c>
      <c r="Q67" s="305">
        <v>1</v>
      </c>
      <c r="R67" s="304"/>
      <c r="S67" s="305">
        <v>1</v>
      </c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2</v>
      </c>
      <c r="AO67" s="252">
        <f>P!AK69</f>
        <v>18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>
        <v>5755.6474715603299</v>
      </c>
      <c r="E68" s="243">
        <v>1.8714285709999667E-2</v>
      </c>
      <c r="F68" s="244">
        <f>P!AJ70</f>
        <v>0.3</v>
      </c>
      <c r="G68" s="244">
        <f t="shared" ref="G68:G133" si="8">E68+F68</f>
        <v>0.31871428570999966</v>
      </c>
      <c r="H68" s="276">
        <v>0.05</v>
      </c>
      <c r="I68" s="277">
        <v>0.05</v>
      </c>
      <c r="J68" s="276">
        <v>0.05</v>
      </c>
      <c r="K68" s="277">
        <v>0.05</v>
      </c>
      <c r="L68" s="304">
        <v>0.05</v>
      </c>
      <c r="M68" s="305">
        <v>6.2E-2</v>
      </c>
      <c r="N68" s="304">
        <v>0.05</v>
      </c>
      <c r="O68" s="305">
        <v>2.5000000000000001E-2</v>
      </c>
      <c r="P68" s="304">
        <v>0.05</v>
      </c>
      <c r="Q68" s="305">
        <v>6.5000000000000002E-2</v>
      </c>
      <c r="R68" s="304">
        <v>0.05</v>
      </c>
      <c r="S68" s="305">
        <v>3.5000000000000003E-2</v>
      </c>
      <c r="T68" s="304">
        <v>0.02</v>
      </c>
      <c r="U68" s="305"/>
      <c r="V68" s="304">
        <v>2.5000000000000001E-2</v>
      </c>
      <c r="W68" s="305"/>
      <c r="X68" s="304">
        <v>0.05</v>
      </c>
      <c r="Y68" s="305"/>
      <c r="Z68" s="304">
        <v>0.02</v>
      </c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0.28700000000000003</v>
      </c>
      <c r="AO68" s="252">
        <f>P!AK70</f>
        <v>5733.3333333333339</v>
      </c>
      <c r="AP68" s="253">
        <f t="shared" si="7"/>
        <v>3.1714285709999623E-2</v>
      </c>
      <c r="AQ68" s="70" t="str">
        <f t="shared" ref="AQ68:AQ131" si="10">IF(AND(AP68&gt;=0, AP68&lt;1),IF(AP68=0,"০","NZ")," ")</f>
        <v>NZ</v>
      </c>
    </row>
    <row r="69" spans="1:44">
      <c r="A69" s="68">
        <v>67</v>
      </c>
      <c r="B69" s="92" t="s">
        <v>78</v>
      </c>
      <c r="C69" s="68" t="s">
        <v>9</v>
      </c>
      <c r="D69" s="243">
        <v>597.53031278598769</v>
      </c>
      <c r="E69" s="243">
        <v>0.22999999999999898</v>
      </c>
      <c r="F69" s="244">
        <f>P!AJ71</f>
        <v>0.7</v>
      </c>
      <c r="G69" s="244">
        <f t="shared" si="8"/>
        <v>0.92999999999999894</v>
      </c>
      <c r="H69" s="276">
        <v>0.1</v>
      </c>
      <c r="I69" s="277">
        <v>0.1</v>
      </c>
      <c r="J69" s="276">
        <v>0.1</v>
      </c>
      <c r="K69" s="277">
        <v>0.1</v>
      </c>
      <c r="L69" s="304">
        <v>0.1</v>
      </c>
      <c r="M69" s="305">
        <v>0.1</v>
      </c>
      <c r="N69" s="304">
        <v>0.1</v>
      </c>
      <c r="O69" s="305">
        <v>2.5000000000000001E-2</v>
      </c>
      <c r="P69" s="304">
        <v>0.1</v>
      </c>
      <c r="Q69" s="305">
        <v>0.08</v>
      </c>
      <c r="R69" s="304">
        <v>0.1</v>
      </c>
      <c r="S69" s="305">
        <v>7.0000000000000007E-2</v>
      </c>
      <c r="T69" s="304">
        <v>0.05</v>
      </c>
      <c r="U69" s="305">
        <v>0.05</v>
      </c>
      <c r="V69" s="304">
        <v>0.05</v>
      </c>
      <c r="W69" s="305">
        <v>0.1</v>
      </c>
      <c r="X69" s="304">
        <v>0.05</v>
      </c>
      <c r="Y69" s="305"/>
      <c r="Z69" s="304">
        <v>0.05</v>
      </c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0.62500000000000011</v>
      </c>
      <c r="AO69" s="252">
        <f>P!AK71</f>
        <v>600</v>
      </c>
      <c r="AP69" s="253">
        <f t="shared" si="7"/>
        <v>0.30499999999999883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1824.8015873015872</v>
      </c>
      <c r="E70" s="243">
        <v>0</v>
      </c>
      <c r="F70" s="244">
        <f>P!AJ72</f>
        <v>0.17499999999999999</v>
      </c>
      <c r="G70" s="244">
        <f t="shared" si="8"/>
        <v>0.17499999999999999</v>
      </c>
      <c r="H70" s="276">
        <v>0.02</v>
      </c>
      <c r="I70" s="277">
        <v>0.02</v>
      </c>
      <c r="J70" s="276">
        <v>0.02</v>
      </c>
      <c r="K70" s="277">
        <v>0.02</v>
      </c>
      <c r="L70" s="304">
        <v>0.02</v>
      </c>
      <c r="M70" s="305">
        <v>0.03</v>
      </c>
      <c r="N70" s="304">
        <v>0.02</v>
      </c>
      <c r="O70" s="305">
        <v>0.01</v>
      </c>
      <c r="P70" s="304">
        <v>2.5000000000000001E-2</v>
      </c>
      <c r="Q70" s="305">
        <v>2.5000000000000001E-2</v>
      </c>
      <c r="R70" s="304">
        <v>0.02</v>
      </c>
      <c r="S70" s="305">
        <v>0.01</v>
      </c>
      <c r="T70" s="304">
        <v>0.01</v>
      </c>
      <c r="U70" s="305">
        <v>0.01</v>
      </c>
      <c r="V70" s="304">
        <v>0.01</v>
      </c>
      <c r="W70" s="305"/>
      <c r="X70" s="304">
        <v>0.05</v>
      </c>
      <c r="Y70" s="305"/>
      <c r="Z70" s="304">
        <v>0.01</v>
      </c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0.125</v>
      </c>
      <c r="AO70" s="252">
        <f>P!AK72</f>
        <v>2685.7142857142858</v>
      </c>
      <c r="AP70" s="253">
        <f t="shared" si="7"/>
        <v>4.9999999999999989E-2</v>
      </c>
      <c r="AQ70" s="70" t="str">
        <f t="shared" si="10"/>
        <v>NZ</v>
      </c>
    </row>
    <row r="71" spans="1:44">
      <c r="A71" s="68">
        <v>69</v>
      </c>
      <c r="B71" s="92" t="s">
        <v>80</v>
      </c>
      <c r="C71" s="68" t="s">
        <v>31</v>
      </c>
      <c r="D71" s="243">
        <v>8</v>
      </c>
      <c r="E71" s="243">
        <v>1</v>
      </c>
      <c r="F71" s="244">
        <f>P!AJ73</f>
        <v>0</v>
      </c>
      <c r="G71" s="244">
        <f t="shared" si="8"/>
        <v>1</v>
      </c>
      <c r="H71" s="276"/>
      <c r="I71" s="277"/>
      <c r="J71" s="276"/>
      <c r="K71" s="277"/>
      <c r="L71" s="304"/>
      <c r="M71" s="305"/>
      <c r="N71" s="304"/>
      <c r="O71" s="305"/>
      <c r="P71" s="304">
        <v>2</v>
      </c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0</v>
      </c>
      <c r="AO71" s="252">
        <f>P!AK73</f>
        <v>8</v>
      </c>
      <c r="AP71" s="253">
        <f t="shared" si="7"/>
        <v>1</v>
      </c>
      <c r="AQ71" s="70" t="str">
        <f t="shared" si="10"/>
        <v xml:space="preserve"> 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844.01234689342095</v>
      </c>
      <c r="E72" s="243">
        <v>0.10000000000000142</v>
      </c>
      <c r="F72" s="244">
        <f>P!AJ74</f>
        <v>0.35</v>
      </c>
      <c r="G72" s="244">
        <f t="shared" si="8"/>
        <v>0.4500000000000014</v>
      </c>
      <c r="H72" s="276"/>
      <c r="I72" s="277"/>
      <c r="J72" s="276"/>
      <c r="K72" s="277"/>
      <c r="L72" s="304"/>
      <c r="M72" s="305"/>
      <c r="N72" s="304"/>
      <c r="O72" s="305"/>
      <c r="P72" s="304">
        <v>0.25</v>
      </c>
      <c r="Q72" s="305">
        <v>0.25</v>
      </c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0.25</v>
      </c>
      <c r="AO72" s="252">
        <f>P!AK74</f>
        <v>871.42857142857144</v>
      </c>
      <c r="AP72" s="253">
        <f t="shared" si="7"/>
        <v>0.2000000000000014</v>
      </c>
      <c r="AQ72" s="70" t="str">
        <f t="shared" si="10"/>
        <v>NZ</v>
      </c>
    </row>
    <row r="73" spans="1:44">
      <c r="A73" s="68">
        <v>71</v>
      </c>
      <c r="B73" s="92" t="s">
        <v>82</v>
      </c>
      <c r="C73" s="68" t="s">
        <v>9</v>
      </c>
      <c r="D73" s="243">
        <v>679.97504646958475</v>
      </c>
      <c r="E73" s="243">
        <v>0.10000000000000053</v>
      </c>
      <c r="F73" s="244">
        <f>P!AJ75</f>
        <v>0.2</v>
      </c>
      <c r="G73" s="244">
        <f t="shared" si="8"/>
        <v>0.30000000000000054</v>
      </c>
      <c r="H73" s="276"/>
      <c r="I73" s="277"/>
      <c r="J73" s="276"/>
      <c r="K73" s="277"/>
      <c r="L73" s="304"/>
      <c r="M73" s="305"/>
      <c r="N73" s="304"/>
      <c r="O73" s="305"/>
      <c r="P73" s="304">
        <v>0.25</v>
      </c>
      <c r="Q73" s="305">
        <v>0.2</v>
      </c>
      <c r="R73" s="304"/>
      <c r="S73" s="305"/>
      <c r="T73" s="304"/>
      <c r="U73" s="305"/>
      <c r="V73" s="304"/>
      <c r="W73" s="305">
        <v>0.1</v>
      </c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0.30000000000000004</v>
      </c>
      <c r="AO73" s="252">
        <f>P!AK75</f>
        <v>700</v>
      </c>
      <c r="AP73" s="253">
        <f t="shared" si="7"/>
        <v>4.9960036108132044E-16</v>
      </c>
      <c r="AQ73" s="70" t="str">
        <f t="shared" si="10"/>
        <v>NZ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>
        <v>1610.011112813731</v>
      </c>
      <c r="E75" s="243">
        <v>1.1000000000000005</v>
      </c>
      <c r="F75" s="244">
        <f>P!AJ77</f>
        <v>0.65</v>
      </c>
      <c r="G75" s="244">
        <f t="shared" si="8"/>
        <v>1.7500000000000004</v>
      </c>
      <c r="H75" s="276"/>
      <c r="I75" s="277"/>
      <c r="J75" s="276"/>
      <c r="K75" s="277"/>
      <c r="L75" s="304">
        <v>0.5</v>
      </c>
      <c r="M75" s="305">
        <v>0.5</v>
      </c>
      <c r="N75" s="304"/>
      <c r="O75" s="305">
        <v>0.3</v>
      </c>
      <c r="P75" s="304">
        <v>0.5</v>
      </c>
      <c r="Q75" s="305">
        <v>0.5</v>
      </c>
      <c r="R75" s="304"/>
      <c r="S75" s="305"/>
      <c r="T75" s="304">
        <v>0.3</v>
      </c>
      <c r="U75" s="305">
        <v>0.4500000000000004</v>
      </c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1.7500000000000004</v>
      </c>
      <c r="AO75" s="252">
        <f>P!AK77</f>
        <v>1815.3846153846152</v>
      </c>
      <c r="AP75" s="253">
        <f t="shared" si="7"/>
        <v>0</v>
      </c>
      <c r="AQ75" s="70" t="str">
        <f t="shared" si="10"/>
        <v>০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3599.9999999999995</v>
      </c>
      <c r="E77" s="243">
        <v>5.0000000000000044E-3</v>
      </c>
      <c r="F77" s="244">
        <f>P!AJ79</f>
        <v>0</v>
      </c>
      <c r="G77" s="244">
        <f t="shared" si="8"/>
        <v>5.0000000000000044E-3</v>
      </c>
      <c r="H77" s="276"/>
      <c r="I77" s="277"/>
      <c r="J77" s="276"/>
      <c r="K77" s="277"/>
      <c r="L77" s="304"/>
      <c r="M77" s="305"/>
      <c r="N77" s="304"/>
      <c r="O77" s="305"/>
      <c r="P77" s="304">
        <v>0.01</v>
      </c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0</v>
      </c>
      <c r="AO77" s="252">
        <f>P!AK79</f>
        <v>3599.9999999999995</v>
      </c>
      <c r="AP77" s="254">
        <f t="shared" si="7"/>
        <v>5.0000000000000044E-3</v>
      </c>
      <c r="AQ77" s="70" t="str">
        <f t="shared" si="10"/>
        <v>NZ</v>
      </c>
    </row>
    <row r="78" spans="1:44">
      <c r="A78" s="68">
        <v>76</v>
      </c>
      <c r="B78" s="92" t="s">
        <v>86</v>
      </c>
      <c r="C78" s="68" t="s">
        <v>9</v>
      </c>
      <c r="D78" s="243">
        <v>592.22441917943638</v>
      </c>
      <c r="E78" s="243">
        <v>7.0000000000000007E-2</v>
      </c>
      <c r="F78" s="244">
        <f>P!AJ80</f>
        <v>0.30000000000000004</v>
      </c>
      <c r="G78" s="244">
        <f t="shared" si="8"/>
        <v>0.37000000000000005</v>
      </c>
      <c r="H78" s="276"/>
      <c r="I78" s="277"/>
      <c r="J78" s="276">
        <v>0.1</v>
      </c>
      <c r="K78" s="277">
        <v>0.15</v>
      </c>
      <c r="L78" s="304">
        <v>0.1</v>
      </c>
      <c r="M78" s="305"/>
      <c r="N78" s="304">
        <v>0.1</v>
      </c>
      <c r="O78" s="305"/>
      <c r="P78" s="304">
        <v>0.1</v>
      </c>
      <c r="Q78" s="305"/>
      <c r="R78" s="304">
        <v>0.1</v>
      </c>
      <c r="S78" s="305"/>
      <c r="T78" s="304">
        <v>0.05</v>
      </c>
      <c r="U78" s="305"/>
      <c r="V78" s="304">
        <v>0.05</v>
      </c>
      <c r="W78" s="305">
        <v>0.05</v>
      </c>
      <c r="X78" s="304">
        <v>0.1</v>
      </c>
      <c r="Y78" s="305">
        <v>0.1</v>
      </c>
      <c r="Z78" s="304">
        <v>0.1</v>
      </c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0.30000000000000004</v>
      </c>
      <c r="AO78" s="252">
        <f>P!AK80</f>
        <v>599.99999999999989</v>
      </c>
      <c r="AP78" s="253">
        <f t="shared" si="7"/>
        <v>7.0000000000000007E-2</v>
      </c>
      <c r="AQ78" s="70" t="str">
        <f>IF(AND(AP78&gt;=0, AP78&lt;1),IF(AP78=0,"০","NZ")," ")</f>
        <v>NZ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400</v>
      </c>
      <c r="AP79" s="253">
        <f t="shared" si="7"/>
        <v>5.0000000000000044E-3</v>
      </c>
      <c r="AQ79" s="70" t="str">
        <f t="shared" si="10"/>
        <v>NZ</v>
      </c>
    </row>
    <row r="80" spans="1:44">
      <c r="A80" s="68">
        <v>78</v>
      </c>
      <c r="B80" s="92" t="s">
        <v>88</v>
      </c>
      <c r="C80" s="68" t="s">
        <v>9</v>
      </c>
      <c r="D80" s="243">
        <v>177.16312019540905</v>
      </c>
      <c r="E80" s="243">
        <v>0</v>
      </c>
      <c r="F80" s="244">
        <f>P!AJ82</f>
        <v>4</v>
      </c>
      <c r="G80" s="244">
        <f t="shared" si="8"/>
        <v>4</v>
      </c>
      <c r="H80" s="276">
        <v>1</v>
      </c>
      <c r="I80" s="277">
        <v>0.5</v>
      </c>
      <c r="J80" s="276">
        <v>1</v>
      </c>
      <c r="K80" s="277">
        <v>1</v>
      </c>
      <c r="L80" s="304">
        <v>1</v>
      </c>
      <c r="M80" s="305"/>
      <c r="N80" s="304">
        <v>1</v>
      </c>
      <c r="O80" s="305"/>
      <c r="P80" s="304">
        <v>1</v>
      </c>
      <c r="Q80" s="305"/>
      <c r="R80" s="304">
        <v>1</v>
      </c>
      <c r="S80" s="305"/>
      <c r="T80" s="304">
        <v>0.5</v>
      </c>
      <c r="U80" s="305"/>
      <c r="V80" s="304">
        <v>0.5</v>
      </c>
      <c r="W80" s="305"/>
      <c r="X80" s="304">
        <v>1</v>
      </c>
      <c r="Y80" s="305"/>
      <c r="Z80" s="304">
        <v>0.5</v>
      </c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1.5</v>
      </c>
      <c r="AO80" s="252">
        <f>P!AK82</f>
        <v>180</v>
      </c>
      <c r="AP80" s="253">
        <f t="shared" si="7"/>
        <v>2.5</v>
      </c>
      <c r="AQ80" s="70" t="str">
        <f t="shared" si="10"/>
        <v xml:space="preserve"> 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2811.8032786885246</v>
      </c>
      <c r="E84" s="243">
        <v>1.9999999999999934E-2</v>
      </c>
      <c r="F84" s="244">
        <f>P!AJ86</f>
        <v>2.5000000000000001E-2</v>
      </c>
      <c r="G84" s="244">
        <f t="shared" si="8"/>
        <v>4.4999999999999936E-2</v>
      </c>
      <c r="H84" s="276"/>
      <c r="I84" s="277"/>
      <c r="J84" s="276"/>
      <c r="K84" s="277"/>
      <c r="L84" s="304"/>
      <c r="M84" s="305"/>
      <c r="N84" s="304"/>
      <c r="O84" s="305"/>
      <c r="P84" s="304">
        <v>0.01</v>
      </c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3600</v>
      </c>
      <c r="AP84" s="253">
        <f t="shared" si="7"/>
        <v>4.4999999999999936E-2</v>
      </c>
      <c r="AQ84" s="70" t="str">
        <f t="shared" si="10"/>
        <v>NZ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0</v>
      </c>
      <c r="G85" s="244">
        <f t="shared" si="8"/>
        <v>4.9999999999999989E-2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202</v>
      </c>
      <c r="AP85" s="253">
        <f t="shared" si="7"/>
        <v>4.9999999999999989E-2</v>
      </c>
      <c r="AQ85" s="70" t="str">
        <f t="shared" si="10"/>
        <v>NZ</v>
      </c>
    </row>
    <row r="86" spans="1:43">
      <c r="A86" s="68">
        <v>84</v>
      </c>
      <c r="B86" s="92" t="s">
        <v>264</v>
      </c>
      <c r="C86" s="68" t="s">
        <v>9</v>
      </c>
      <c r="D86" s="243">
        <v>1493.2367149758454</v>
      </c>
      <c r="E86" s="243">
        <v>0.1999999999999999</v>
      </c>
      <c r="F86" s="244">
        <f>P!AJ88</f>
        <v>0.1</v>
      </c>
      <c r="G86" s="244">
        <f t="shared" si="8"/>
        <v>0.29999999999999993</v>
      </c>
      <c r="H86" s="276"/>
      <c r="I86" s="277"/>
      <c r="J86" s="276"/>
      <c r="K86" s="277"/>
      <c r="L86" s="304">
        <v>0.05</v>
      </c>
      <c r="M86" s="305">
        <v>0.1</v>
      </c>
      <c r="N86" s="304"/>
      <c r="O86" s="305"/>
      <c r="P86" s="304">
        <v>0.05</v>
      </c>
      <c r="Q86" s="305">
        <v>0.05</v>
      </c>
      <c r="R86" s="304"/>
      <c r="S86" s="305"/>
      <c r="T86" s="304"/>
      <c r="U86" s="305"/>
      <c r="V86" s="304"/>
      <c r="W86" s="305">
        <v>0.05</v>
      </c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0.2</v>
      </c>
      <c r="AO86" s="252">
        <f>P!AK88</f>
        <v>1800</v>
      </c>
      <c r="AP86" s="254">
        <f t="shared" si="7"/>
        <v>9.9999999999999922E-2</v>
      </c>
      <c r="AQ86" s="70" t="str">
        <f t="shared" si="10"/>
        <v>NZ</v>
      </c>
    </row>
    <row r="87" spans="1:43">
      <c r="A87" s="68">
        <v>85</v>
      </c>
      <c r="B87" s="92" t="s">
        <v>92</v>
      </c>
      <c r="C87" s="68" t="s">
        <v>9</v>
      </c>
      <c r="D87" s="243">
        <v>67.0235294117645</v>
      </c>
      <c r="E87" s="243">
        <v>10</v>
      </c>
      <c r="F87" s="244">
        <f>P!AJ89</f>
        <v>96</v>
      </c>
      <c r="G87" s="244">
        <f t="shared" si="8"/>
        <v>106</v>
      </c>
      <c r="H87" s="276">
        <v>4</v>
      </c>
      <c r="I87" s="277">
        <v>4</v>
      </c>
      <c r="J87" s="276">
        <v>3</v>
      </c>
      <c r="K87" s="277">
        <v>10</v>
      </c>
      <c r="L87" s="304">
        <v>5</v>
      </c>
      <c r="M87" s="305">
        <v>2</v>
      </c>
      <c r="N87" s="304">
        <v>5</v>
      </c>
      <c r="O87" s="305">
        <v>22</v>
      </c>
      <c r="P87" s="304">
        <v>12</v>
      </c>
      <c r="Q87" s="305">
        <v>19</v>
      </c>
      <c r="R87" s="304">
        <v>30</v>
      </c>
      <c r="S87" s="305">
        <v>24</v>
      </c>
      <c r="T87" s="304"/>
      <c r="U87" s="305"/>
      <c r="V87" s="304"/>
      <c r="W87" s="305">
        <v>2</v>
      </c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83</v>
      </c>
      <c r="AO87" s="252">
        <f>P!AK89</f>
        <v>67</v>
      </c>
      <c r="AP87" s="253">
        <f t="shared" si="7"/>
        <v>23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103.22781920582705</v>
      </c>
      <c r="E88" s="243">
        <v>3.6499999999999986</v>
      </c>
      <c r="F88" s="244">
        <f>P!AJ90</f>
        <v>40</v>
      </c>
      <c r="G88" s="244">
        <f t="shared" si="8"/>
        <v>43.65</v>
      </c>
      <c r="H88" s="276">
        <v>2</v>
      </c>
      <c r="I88" s="277">
        <v>3</v>
      </c>
      <c r="J88" s="276">
        <v>2</v>
      </c>
      <c r="K88" s="277">
        <v>2.5</v>
      </c>
      <c r="L88" s="304">
        <v>2</v>
      </c>
      <c r="M88" s="305">
        <v>1.7</v>
      </c>
      <c r="N88" s="304">
        <v>1</v>
      </c>
      <c r="O88" s="305">
        <v>7</v>
      </c>
      <c r="P88" s="304">
        <v>6</v>
      </c>
      <c r="Q88" s="305">
        <v>6</v>
      </c>
      <c r="R88" s="304">
        <v>13</v>
      </c>
      <c r="S88" s="305">
        <v>11.2</v>
      </c>
      <c r="T88" s="304">
        <v>0.5</v>
      </c>
      <c r="U88" s="305">
        <v>0.3</v>
      </c>
      <c r="V88" s="304">
        <v>0.5</v>
      </c>
      <c r="W88" s="305"/>
      <c r="X88" s="304">
        <v>0.5</v>
      </c>
      <c r="Y88" s="305"/>
      <c r="Z88" s="304">
        <v>0.5</v>
      </c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31.7</v>
      </c>
      <c r="AO88" s="252">
        <f>P!AK90</f>
        <v>100</v>
      </c>
      <c r="AP88" s="253">
        <f t="shared" si="7"/>
        <v>11.95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11.471308358095881</v>
      </c>
      <c r="E89" s="243">
        <v>0</v>
      </c>
      <c r="F89" s="244">
        <f>P!AJ91</f>
        <v>1300</v>
      </c>
      <c r="G89" s="244">
        <f t="shared" si="8"/>
        <v>1300</v>
      </c>
      <c r="H89" s="276">
        <v>140</v>
      </c>
      <c r="I89" s="277">
        <v>140</v>
      </c>
      <c r="J89" s="276">
        <v>240</v>
      </c>
      <c r="K89" s="277">
        <v>174</v>
      </c>
      <c r="L89" s="304">
        <v>120</v>
      </c>
      <c r="M89" s="277">
        <v>124</v>
      </c>
      <c r="N89" s="304">
        <v>100</v>
      </c>
      <c r="O89" s="277">
        <v>200</v>
      </c>
      <c r="P89" s="304">
        <v>210</v>
      </c>
      <c r="Q89" s="277">
        <v>262</v>
      </c>
      <c r="R89" s="304">
        <v>330</v>
      </c>
      <c r="S89" s="277">
        <v>152</v>
      </c>
      <c r="T89" s="304">
        <v>40</v>
      </c>
      <c r="U89" s="277">
        <v>39</v>
      </c>
      <c r="V89" s="304">
        <v>40</v>
      </c>
      <c r="W89" s="277">
        <v>40</v>
      </c>
      <c r="X89" s="304">
        <v>100</v>
      </c>
      <c r="Y89" s="277">
        <v>100</v>
      </c>
      <c r="Z89" s="304">
        <v>40</v>
      </c>
      <c r="AA89" s="305">
        <v>34</v>
      </c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1265</v>
      </c>
      <c r="AO89" s="252">
        <f>P!AK91</f>
        <v>11.311538461538461</v>
      </c>
      <c r="AP89" s="253">
        <f t="shared" si="7"/>
        <v>35</v>
      </c>
      <c r="AQ89" s="70" t="str">
        <f t="shared" si="10"/>
        <v xml:space="preserve"> </v>
      </c>
    </row>
    <row r="90" spans="1:43">
      <c r="A90" s="68">
        <v>88</v>
      </c>
      <c r="B90" s="92" t="s">
        <v>313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215.76719576719577</v>
      </c>
      <c r="E92" s="243">
        <v>0</v>
      </c>
      <c r="F92" s="244">
        <f>P!AJ94</f>
        <v>0</v>
      </c>
      <c r="G92" s="244">
        <f t="shared" si="8"/>
        <v>0</v>
      </c>
      <c r="H92" s="276"/>
      <c r="I92" s="277"/>
      <c r="J92" s="276">
        <v>0.5</v>
      </c>
      <c r="K92" s="277"/>
      <c r="L92" s="304"/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215.76719576719577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85.005591521532878</v>
      </c>
      <c r="E95" s="243">
        <v>1</v>
      </c>
      <c r="F95" s="244">
        <f>P!AJ97</f>
        <v>13</v>
      </c>
      <c r="G95" s="244">
        <f t="shared" si="8"/>
        <v>14</v>
      </c>
      <c r="H95" s="276">
        <v>2</v>
      </c>
      <c r="I95" s="277">
        <v>1</v>
      </c>
      <c r="J95" s="276">
        <v>2</v>
      </c>
      <c r="K95" s="277"/>
      <c r="L95" s="304">
        <v>4</v>
      </c>
      <c r="M95" s="305">
        <v>3</v>
      </c>
      <c r="N95" s="304">
        <v>4</v>
      </c>
      <c r="O95" s="305">
        <v>1.5</v>
      </c>
      <c r="P95" s="304">
        <v>2</v>
      </c>
      <c r="Q95" s="305">
        <v>3</v>
      </c>
      <c r="R95" s="304">
        <v>1</v>
      </c>
      <c r="S95" s="305">
        <v>1</v>
      </c>
      <c r="T95" s="304">
        <v>1</v>
      </c>
      <c r="U95" s="305">
        <v>0.5</v>
      </c>
      <c r="V95" s="304">
        <v>1</v>
      </c>
      <c r="W95" s="305">
        <v>0.5</v>
      </c>
      <c r="X95" s="304">
        <v>1</v>
      </c>
      <c r="Y95" s="305">
        <v>1.5</v>
      </c>
      <c r="Z95" s="304">
        <v>4</v>
      </c>
      <c r="AA95" s="305">
        <v>2</v>
      </c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14</v>
      </c>
      <c r="AO95" s="252">
        <f>P!AK97</f>
        <v>90</v>
      </c>
      <c r="AP95" s="253">
        <f t="shared" si="7"/>
        <v>0</v>
      </c>
      <c r="AQ95" s="70" t="str">
        <f t="shared" si="10"/>
        <v>০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520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322</v>
      </c>
      <c r="C98" s="68" t="s">
        <v>9</v>
      </c>
      <c r="D98" s="243">
        <v>177.5</v>
      </c>
      <c r="E98" s="243">
        <v>2</v>
      </c>
      <c r="F98" s="244">
        <f>P!AJ100</f>
        <v>1</v>
      </c>
      <c r="G98" s="244">
        <f t="shared" si="8"/>
        <v>3</v>
      </c>
      <c r="H98" s="276"/>
      <c r="I98" s="277"/>
      <c r="J98" s="276"/>
      <c r="K98" s="277">
        <v>1</v>
      </c>
      <c r="L98" s="304"/>
      <c r="M98" s="305">
        <v>1</v>
      </c>
      <c r="N98" s="304"/>
      <c r="O98" s="305">
        <v>1</v>
      </c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3</v>
      </c>
      <c r="AO98" s="252">
        <f>P!AK100</f>
        <v>175</v>
      </c>
      <c r="AP98" s="253">
        <f t="shared" si="7"/>
        <v>0</v>
      </c>
      <c r="AQ98" s="70" t="str">
        <f t="shared" si="10"/>
        <v>০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591.76871235090846</v>
      </c>
      <c r="E99" s="243">
        <v>0.29999999999999982</v>
      </c>
      <c r="F99" s="244">
        <f>P!AJ101</f>
        <v>0.45</v>
      </c>
      <c r="G99" s="244">
        <f t="shared" si="8"/>
        <v>0.74999999999999978</v>
      </c>
      <c r="H99" s="276">
        <v>1</v>
      </c>
      <c r="I99" s="277"/>
      <c r="J99" s="276"/>
      <c r="K99" s="277"/>
      <c r="L99" s="304"/>
      <c r="M99" s="305"/>
      <c r="N99" s="304">
        <v>0.1</v>
      </c>
      <c r="O99" s="305">
        <v>0.2</v>
      </c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0.2</v>
      </c>
      <c r="AO99" s="252">
        <f>P!AK101</f>
        <v>600</v>
      </c>
      <c r="AP99" s="254">
        <f t="shared" si="7"/>
        <v>0.54999999999999982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170</v>
      </c>
      <c r="E100" s="243">
        <v>0</v>
      </c>
      <c r="F100" s="244">
        <f>P!AJ102</f>
        <v>3</v>
      </c>
      <c r="G100" s="244">
        <f t="shared" si="8"/>
        <v>3</v>
      </c>
      <c r="H100" s="276"/>
      <c r="I100" s="277"/>
      <c r="J100" s="276"/>
      <c r="K100" s="277"/>
      <c r="L100" s="304"/>
      <c r="M100" s="305"/>
      <c r="N100" s="304">
        <v>3</v>
      </c>
      <c r="O100" s="305">
        <v>3</v>
      </c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3</v>
      </c>
      <c r="AO100" s="252">
        <f>P!AK102</f>
        <v>175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289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>
        <v>0</v>
      </c>
      <c r="E102" s="243">
        <v>0</v>
      </c>
      <c r="F102" s="244">
        <f>P!AJ104</f>
        <v>5</v>
      </c>
      <c r="G102" s="244">
        <f t="shared" si="8"/>
        <v>5</v>
      </c>
      <c r="H102" s="276"/>
      <c r="I102" s="277"/>
      <c r="J102" s="276">
        <v>2</v>
      </c>
      <c r="K102" s="277">
        <v>2</v>
      </c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>
        <v>2</v>
      </c>
      <c r="Y102" s="305">
        <v>3</v>
      </c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5</v>
      </c>
      <c r="AO102" s="252">
        <f>P!AK104</f>
        <v>100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291</v>
      </c>
      <c r="C103" s="68" t="s">
        <v>31</v>
      </c>
      <c r="D103" s="243">
        <v>180</v>
      </c>
      <c r="E103" s="243">
        <v>0</v>
      </c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1</v>
      </c>
      <c r="F104" s="244">
        <f>P!AJ106</f>
        <v>12</v>
      </c>
      <c r="G104" s="244">
        <f t="shared" si="8"/>
        <v>13</v>
      </c>
      <c r="H104" s="276"/>
      <c r="I104" s="277"/>
      <c r="J104" s="276"/>
      <c r="K104" s="277"/>
      <c r="L104" s="304">
        <v>8</v>
      </c>
      <c r="M104" s="305">
        <v>10</v>
      </c>
      <c r="N104" s="304"/>
      <c r="O104" s="305"/>
      <c r="P104" s="304"/>
      <c r="Q104" s="305"/>
      <c r="R104" s="304"/>
      <c r="S104" s="305"/>
      <c r="T104" s="304">
        <v>3</v>
      </c>
      <c r="U104" s="305">
        <v>3</v>
      </c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13</v>
      </c>
      <c r="AO104" s="252">
        <f>P!AK106</f>
        <v>160</v>
      </c>
      <c r="AP104" s="253">
        <f t="shared" si="7"/>
        <v>0</v>
      </c>
      <c r="AQ104" s="70" t="str">
        <f t="shared" si="10"/>
        <v>০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0</v>
      </c>
      <c r="G105" s="244">
        <f t="shared" si="8"/>
        <v>0</v>
      </c>
      <c r="H105" s="276"/>
      <c r="I105" s="277"/>
      <c r="J105" s="276"/>
      <c r="K105" s="277"/>
      <c r="L105" s="304"/>
      <c r="M105" s="305"/>
      <c r="N105" s="304"/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168.33333333333334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>
        <v>161.11111111111111</v>
      </c>
      <c r="E106" s="243">
        <v>1</v>
      </c>
      <c r="F106" s="244">
        <f>P!AJ108</f>
        <v>0</v>
      </c>
      <c r="G106" s="244">
        <f t="shared" si="8"/>
        <v>1</v>
      </c>
      <c r="H106" s="276"/>
      <c r="I106" s="277"/>
      <c r="J106" s="276"/>
      <c r="K106" s="277"/>
      <c r="L106" s="304">
        <v>1</v>
      </c>
      <c r="M106" s="305"/>
      <c r="N106" s="304"/>
      <c r="O106" s="305"/>
      <c r="P106" s="304"/>
      <c r="Q106" s="305"/>
      <c r="R106" s="304"/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0</v>
      </c>
      <c r="AO106" s="252">
        <f>P!AK108</f>
        <v>161.11111111111111</v>
      </c>
      <c r="AP106" s="253">
        <f t="shared" si="7"/>
        <v>1</v>
      </c>
      <c r="AQ106" s="70" t="str">
        <f t="shared" si="10"/>
        <v xml:space="preserve"> </v>
      </c>
    </row>
    <row r="107" spans="1:45">
      <c r="A107" s="68">
        <v>105</v>
      </c>
      <c r="B107" s="92" t="s">
        <v>108</v>
      </c>
      <c r="C107" s="68" t="s">
        <v>9</v>
      </c>
      <c r="D107" s="243">
        <v>850</v>
      </c>
      <c r="E107" s="243">
        <v>0.60000000000000009</v>
      </c>
      <c r="F107" s="244">
        <f>P!AJ109</f>
        <v>1</v>
      </c>
      <c r="G107" s="244">
        <f t="shared" si="8"/>
        <v>1.6</v>
      </c>
      <c r="H107" s="276"/>
      <c r="I107" s="277"/>
      <c r="J107" s="276"/>
      <c r="K107" s="277"/>
      <c r="L107" s="304"/>
      <c r="M107" s="305"/>
      <c r="N107" s="304"/>
      <c r="O107" s="305">
        <v>1</v>
      </c>
      <c r="P107" s="304">
        <v>1</v>
      </c>
      <c r="Q107" s="305">
        <v>0.43</v>
      </c>
      <c r="R107" s="304">
        <v>1</v>
      </c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1.43</v>
      </c>
      <c r="AO107" s="252">
        <f>P!AK109</f>
        <v>340</v>
      </c>
      <c r="AP107" s="253">
        <f t="shared" si="7"/>
        <v>0.17000000000000015</v>
      </c>
      <c r="AQ107" s="70" t="str">
        <f t="shared" si="10"/>
        <v>NZ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270.71428571428572</v>
      </c>
      <c r="E109" s="243">
        <v>2</v>
      </c>
      <c r="F109" s="244">
        <f>P!AJ111</f>
        <v>0</v>
      </c>
      <c r="G109" s="244">
        <f t="shared" si="8"/>
        <v>2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270.71428571428572</v>
      </c>
      <c r="AP109" s="253">
        <f t="shared" si="7"/>
        <v>2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>
        <v>2086.8055555555557</v>
      </c>
      <c r="E112" s="243">
        <v>0</v>
      </c>
      <c r="F112" s="244">
        <f>P!AJ114</f>
        <v>0.99</v>
      </c>
      <c r="G112" s="244">
        <f t="shared" si="8"/>
        <v>0.99</v>
      </c>
      <c r="H112" s="276"/>
      <c r="I112" s="277"/>
      <c r="J112" s="276"/>
      <c r="K112" s="277"/>
      <c r="L112" s="304"/>
      <c r="M112" s="277"/>
      <c r="N112" s="304">
        <v>0.99</v>
      </c>
      <c r="O112" s="277">
        <v>0.99</v>
      </c>
      <c r="P112" s="304"/>
      <c r="Q112" s="277"/>
      <c r="R112" s="304"/>
      <c r="S112" s="277"/>
      <c r="T112" s="304"/>
      <c r="U112" s="277"/>
      <c r="V112" s="304"/>
      <c r="W112" s="277"/>
      <c r="X112" s="304"/>
      <c r="Y112" s="277"/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0.99</v>
      </c>
      <c r="AO112" s="252">
        <f>P!AK114</f>
        <v>2095.9595959595958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>
        <v>3880</v>
      </c>
      <c r="E113" s="243">
        <v>0</v>
      </c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>
        <v>8.8567505492067475</v>
      </c>
      <c r="E116" s="243">
        <v>136</v>
      </c>
      <c r="F116" s="244">
        <f>P!AJ118</f>
        <v>294</v>
      </c>
      <c r="G116" s="244">
        <f t="shared" si="8"/>
        <v>430</v>
      </c>
      <c r="H116" s="276"/>
      <c r="I116" s="277"/>
      <c r="J116" s="276"/>
      <c r="K116" s="277">
        <v>72</v>
      </c>
      <c r="L116" s="304"/>
      <c r="M116" s="305">
        <v>25</v>
      </c>
      <c r="N116" s="304"/>
      <c r="O116" s="305">
        <v>23</v>
      </c>
      <c r="P116" s="304"/>
      <c r="Q116" s="305">
        <v>68</v>
      </c>
      <c r="R116" s="304"/>
      <c r="S116" s="305">
        <v>25</v>
      </c>
      <c r="T116" s="304"/>
      <c r="U116" s="305"/>
      <c r="V116" s="304"/>
      <c r="W116" s="305">
        <v>20</v>
      </c>
      <c r="X116" s="304"/>
      <c r="Y116" s="305">
        <v>79</v>
      </c>
      <c r="Z116" s="304"/>
      <c r="AA116" s="305">
        <v>41</v>
      </c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353</v>
      </c>
      <c r="AO116" s="252">
        <f>P!AK118</f>
        <v>9.0476190476190474</v>
      </c>
      <c r="AP116" s="253">
        <f t="shared" si="7"/>
        <v>77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180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140</v>
      </c>
      <c r="E120" s="243">
        <v>0</v>
      </c>
      <c r="F120" s="244">
        <f>P!AJ122</f>
        <v>2</v>
      </c>
      <c r="G120" s="244">
        <f t="shared" si="8"/>
        <v>2</v>
      </c>
      <c r="H120" s="276"/>
      <c r="I120" s="277"/>
      <c r="J120" s="276"/>
      <c r="K120" s="277"/>
      <c r="L120" s="304"/>
      <c r="M120" s="305"/>
      <c r="N120" s="304"/>
      <c r="O120" s="305"/>
      <c r="P120" s="304">
        <v>2</v>
      </c>
      <c r="Q120" s="305">
        <v>2</v>
      </c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2</v>
      </c>
      <c r="AO120" s="252">
        <f>P!AK122</f>
        <v>145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>
        <v>110</v>
      </c>
      <c r="E121" s="243">
        <v>0</v>
      </c>
      <c r="F121" s="244">
        <f>P!AJ123</f>
        <v>0</v>
      </c>
      <c r="G121" s="244">
        <f t="shared" si="8"/>
        <v>0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0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6.583333333333333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379</v>
      </c>
      <c r="C123" s="68" t="s">
        <v>9</v>
      </c>
      <c r="D123" s="243">
        <v>1151.252408477842</v>
      </c>
      <c r="E123" s="243">
        <v>1.038</v>
      </c>
      <c r="F123" s="244">
        <f>P!AJ125</f>
        <v>1.82</v>
      </c>
      <c r="G123" s="244">
        <f t="shared" si="8"/>
        <v>2.8580000000000001</v>
      </c>
      <c r="H123" s="276"/>
      <c r="I123" s="277">
        <f>P!D125</f>
        <v>0</v>
      </c>
      <c r="J123" s="276"/>
      <c r="K123" s="277">
        <f>P!F125</f>
        <v>0.32</v>
      </c>
      <c r="L123" s="304"/>
      <c r="M123" s="277">
        <f>P!H125</f>
        <v>0</v>
      </c>
      <c r="N123" s="304"/>
      <c r="O123" s="277">
        <f>P!J125</f>
        <v>0</v>
      </c>
      <c r="P123" s="304"/>
      <c r="Q123" s="277">
        <v>2.5380000000000003</v>
      </c>
      <c r="R123" s="304"/>
      <c r="S123" s="277">
        <f>P!N125</f>
        <v>0</v>
      </c>
      <c r="T123" s="304"/>
      <c r="U123" s="277">
        <f>P!P125</f>
        <v>0</v>
      </c>
      <c r="V123" s="304"/>
      <c r="W123" s="277">
        <f>P!R125</f>
        <v>0</v>
      </c>
      <c r="X123" s="304"/>
      <c r="Y123" s="277">
        <f>P!T125</f>
        <v>0</v>
      </c>
      <c r="Z123" s="304"/>
      <c r="AA123" s="277">
        <f>P!V125</f>
        <v>0</v>
      </c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2.8580000000000001</v>
      </c>
      <c r="AO123" s="312">
        <f>P!AK125</f>
        <v>936.8131868131868</v>
      </c>
      <c r="AP123" s="313">
        <f t="shared" si="7"/>
        <v>0</v>
      </c>
      <c r="AQ123" s="70" t="str">
        <f t="shared" si="10"/>
        <v>০</v>
      </c>
    </row>
    <row r="124" spans="1:43">
      <c r="A124" s="68">
        <v>122</v>
      </c>
      <c r="B124" s="92" t="s">
        <v>123</v>
      </c>
      <c r="C124" s="68" t="s">
        <v>31</v>
      </c>
      <c r="D124" s="243">
        <v>9.5956989247311828</v>
      </c>
      <c r="E124" s="243">
        <v>0</v>
      </c>
      <c r="F124" s="244">
        <f>P!AJ126</f>
        <v>512</v>
      </c>
      <c r="G124" s="244">
        <f t="shared" si="8"/>
        <v>512</v>
      </c>
      <c r="H124" s="317">
        <v>30</v>
      </c>
      <c r="I124" s="316">
        <f>P!D126</f>
        <v>48</v>
      </c>
      <c r="J124" s="317">
        <v>80</v>
      </c>
      <c r="K124" s="316">
        <f>P!F126</f>
        <v>86</v>
      </c>
      <c r="L124" s="317">
        <v>30</v>
      </c>
      <c r="M124" s="316">
        <f>P!H126</f>
        <v>30</v>
      </c>
      <c r="N124" s="317">
        <v>80</v>
      </c>
      <c r="O124" s="316">
        <f>P!J126</f>
        <v>85</v>
      </c>
      <c r="P124" s="317">
        <v>80</v>
      </c>
      <c r="Q124" s="316">
        <f>P!L126</f>
        <v>97</v>
      </c>
      <c r="R124" s="317">
        <v>30</v>
      </c>
      <c r="S124" s="316">
        <f>P!N126</f>
        <v>35</v>
      </c>
      <c r="T124" s="317">
        <v>30</v>
      </c>
      <c r="U124" s="316">
        <f>P!P126</f>
        <v>30</v>
      </c>
      <c r="V124" s="317">
        <v>30</v>
      </c>
      <c r="W124" s="316">
        <f>P!R126</f>
        <v>35</v>
      </c>
      <c r="X124" s="317">
        <v>40</v>
      </c>
      <c r="Y124" s="316">
        <f>P!T126</f>
        <v>40</v>
      </c>
      <c r="Z124" s="317">
        <v>30</v>
      </c>
      <c r="AA124" s="316">
        <f>P!V126</f>
        <v>26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512</v>
      </c>
      <c r="AO124" s="324">
        <f>P!AK126</f>
        <v>10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>
        <v>90.246913580246897</v>
      </c>
      <c r="E126" s="243">
        <v>0</v>
      </c>
      <c r="F126" s="244">
        <f>P!AJ128</f>
        <v>30.25</v>
      </c>
      <c r="G126" s="244">
        <f t="shared" si="8"/>
        <v>30.25</v>
      </c>
      <c r="H126" s="317"/>
      <c r="I126" s="316">
        <f>P!D128</f>
        <v>5.6</v>
      </c>
      <c r="J126" s="317"/>
      <c r="K126" s="316">
        <f>P!F128</f>
        <v>0</v>
      </c>
      <c r="L126" s="317">
        <v>10</v>
      </c>
      <c r="M126" s="316">
        <f>P!H128</f>
        <v>10.199999999999999</v>
      </c>
      <c r="N126" s="317"/>
      <c r="O126" s="316">
        <f>P!J128</f>
        <v>5.6</v>
      </c>
      <c r="P126" s="317">
        <v>7</v>
      </c>
      <c r="Q126" s="316">
        <f>P!L128</f>
        <v>7.9</v>
      </c>
      <c r="R126" s="317"/>
      <c r="S126" s="316">
        <f>P!N128</f>
        <v>0</v>
      </c>
      <c r="T126" s="317"/>
      <c r="U126" s="316">
        <f>P!P128</f>
        <v>0</v>
      </c>
      <c r="V126" s="317"/>
      <c r="W126" s="316">
        <f>P!R128</f>
        <v>0.95</v>
      </c>
      <c r="X126" s="317"/>
      <c r="Y126" s="316">
        <f>P!T128</f>
        <v>0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30.249999999999996</v>
      </c>
      <c r="AO126" s="324">
        <f>P!AK128</f>
        <v>109.52066115702479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>
        <v>363.28358208955223</v>
      </c>
      <c r="E127" s="243">
        <v>0</v>
      </c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363.28358208955223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>
        <v>410</v>
      </c>
      <c r="E128" s="243">
        <v>0</v>
      </c>
      <c r="F128" s="244">
        <f>P!AJ130</f>
        <v>1</v>
      </c>
      <c r="G128" s="244">
        <f t="shared" si="8"/>
        <v>1</v>
      </c>
      <c r="H128" s="317"/>
      <c r="I128" s="316">
        <f>P!D130</f>
        <v>1</v>
      </c>
      <c r="J128" s="317"/>
      <c r="K128" s="316">
        <f>P!F130</f>
        <v>0</v>
      </c>
      <c r="L128" s="317"/>
      <c r="M128" s="316">
        <f>P!H130</f>
        <v>0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1</v>
      </c>
      <c r="AO128" s="324">
        <f>P!AK130</f>
        <v>380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>
        <v>249.99999999999997</v>
      </c>
      <c r="E129" s="243">
        <v>0</v>
      </c>
      <c r="F129" s="244">
        <f>P!AJ131</f>
        <v>1</v>
      </c>
      <c r="G129" s="244">
        <f t="shared" si="8"/>
        <v>1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1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1</v>
      </c>
      <c r="AO129" s="324">
        <f>P!AK131</f>
        <v>300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101.36986301369863</v>
      </c>
      <c r="E130" s="243">
        <v>0</v>
      </c>
      <c r="F130" s="244">
        <f>P!AJ132</f>
        <v>11</v>
      </c>
      <c r="G130" s="244">
        <f t="shared" si="8"/>
        <v>11</v>
      </c>
      <c r="H130" s="317">
        <v>5</v>
      </c>
      <c r="I130" s="316">
        <f>P!D132</f>
        <v>5</v>
      </c>
      <c r="J130" s="317"/>
      <c r="K130" s="316">
        <f>P!F132</f>
        <v>0</v>
      </c>
      <c r="L130" s="317">
        <v>5</v>
      </c>
      <c r="M130" s="316">
        <f>P!H132</f>
        <v>5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1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11</v>
      </c>
      <c r="AO130" s="324">
        <f>P!AK132</f>
        <v>104.54545454545455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>
        <v>130</v>
      </c>
      <c r="E131" s="243">
        <v>0</v>
      </c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>
        <v>202.90076335877862</v>
      </c>
      <c r="E133" s="243">
        <v>0</v>
      </c>
      <c r="F133" s="244">
        <f>P!AJ135</f>
        <v>15.049999999999999</v>
      </c>
      <c r="G133" s="244">
        <f t="shared" si="8"/>
        <v>15.049999999999999</v>
      </c>
      <c r="H133" s="317">
        <v>7</v>
      </c>
      <c r="I133" s="316">
        <f>P!D135</f>
        <v>7.1</v>
      </c>
      <c r="J133" s="317"/>
      <c r="K133" s="316">
        <f>P!F135</f>
        <v>0</v>
      </c>
      <c r="L133" s="317"/>
      <c r="M133" s="316">
        <f>P!H135</f>
        <v>0</v>
      </c>
      <c r="N133" s="317">
        <v>6</v>
      </c>
      <c r="O133" s="316">
        <f>P!J135</f>
        <v>6.3</v>
      </c>
      <c r="P133" s="317"/>
      <c r="Q133" s="316">
        <f>P!L135</f>
        <v>0</v>
      </c>
      <c r="R133" s="317">
        <v>1.5</v>
      </c>
      <c r="S133" s="316">
        <f>P!N135</f>
        <v>1.65</v>
      </c>
      <c r="T133" s="317"/>
      <c r="U133" s="316">
        <f>P!P135</f>
        <v>0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15.049999999999999</v>
      </c>
      <c r="AO133" s="324">
        <f>P!AK135</f>
        <v>186.77740863787378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>
        <v>60</v>
      </c>
      <c r="E134" s="243">
        <v>0</v>
      </c>
      <c r="F134" s="244">
        <f>P!AJ136</f>
        <v>15</v>
      </c>
      <c r="G134" s="244">
        <f>E134+F134</f>
        <v>15</v>
      </c>
      <c r="H134" s="317"/>
      <c r="I134" s="316">
        <f>P!D136</f>
        <v>0</v>
      </c>
      <c r="J134" s="317">
        <v>15</v>
      </c>
      <c r="K134" s="316">
        <f>P!F136</f>
        <v>15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15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>
        <v>309.70384373030879</v>
      </c>
      <c r="E136" s="243">
        <v>0</v>
      </c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>
        <v>110</v>
      </c>
      <c r="E137" s="243">
        <v>0</v>
      </c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>
        <v>20</v>
      </c>
      <c r="E141" s="243">
        <v>0</v>
      </c>
      <c r="F141" s="244">
        <f>P!AJ143</f>
        <v>76</v>
      </c>
      <c r="G141" s="244">
        <f t="shared" si="14"/>
        <v>76</v>
      </c>
      <c r="H141" s="276"/>
      <c r="I141" s="277">
        <f>P!D143</f>
        <v>0</v>
      </c>
      <c r="J141" s="304"/>
      <c r="K141" s="277">
        <f>P!F143</f>
        <v>0</v>
      </c>
      <c r="L141" s="304"/>
      <c r="M141" s="277">
        <f>P!H143</f>
        <v>0</v>
      </c>
      <c r="N141" s="304"/>
      <c r="O141" s="277">
        <f>P!J143</f>
        <v>0</v>
      </c>
      <c r="P141" s="304"/>
      <c r="Q141" s="277">
        <f>P!L143</f>
        <v>50</v>
      </c>
      <c r="R141" s="304"/>
      <c r="S141" s="277">
        <f>P!N143</f>
        <v>0</v>
      </c>
      <c r="T141" s="304"/>
      <c r="U141" s="277">
        <f>P!P143</f>
        <v>0</v>
      </c>
      <c r="V141" s="304"/>
      <c r="W141" s="277">
        <f>P!R143</f>
        <v>26</v>
      </c>
      <c r="X141" s="304"/>
      <c r="Y141" s="277">
        <f>P!T143</f>
        <v>0</v>
      </c>
      <c r="Z141" s="304"/>
      <c r="AA141" s="277">
        <f>P!V143</f>
        <v>0</v>
      </c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76</v>
      </c>
      <c r="AO141" s="252">
        <f>P!AK143</f>
        <v>29.276315789473685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>
        <v>62.8</v>
      </c>
      <c r="E142" s="243">
        <v>0</v>
      </c>
      <c r="F142" s="244">
        <f>P!AJ144</f>
        <v>4</v>
      </c>
      <c r="G142" s="244">
        <f t="shared" si="14"/>
        <v>4</v>
      </c>
      <c r="H142" s="276"/>
      <c r="I142" s="277">
        <f>P!D144</f>
        <v>0</v>
      </c>
      <c r="J142" s="304"/>
      <c r="K142" s="277">
        <f>P!F144</f>
        <v>0</v>
      </c>
      <c r="L142" s="304"/>
      <c r="M142" s="277">
        <f>P!H144</f>
        <v>0</v>
      </c>
      <c r="N142" s="304"/>
      <c r="O142" s="277">
        <f>P!J144</f>
        <v>0</v>
      </c>
      <c r="P142" s="304"/>
      <c r="Q142" s="277">
        <f>P!L144</f>
        <v>0</v>
      </c>
      <c r="R142" s="304"/>
      <c r="S142" s="277">
        <f>P!N144</f>
        <v>0</v>
      </c>
      <c r="T142" s="304"/>
      <c r="U142" s="277">
        <f>P!P144</f>
        <v>0</v>
      </c>
      <c r="V142" s="304"/>
      <c r="W142" s="277">
        <f>P!R144</f>
        <v>4</v>
      </c>
      <c r="X142" s="304"/>
      <c r="Y142" s="277">
        <f>P!T144</f>
        <v>0</v>
      </c>
      <c r="Z142" s="304"/>
      <c r="AA142" s="277">
        <f>P!V144</f>
        <v>0</v>
      </c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4</v>
      </c>
      <c r="AO142" s="252">
        <f>P!AK144</f>
        <v>70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266</v>
      </c>
      <c r="C143" s="68" t="s">
        <v>9</v>
      </c>
      <c r="D143" s="243">
        <v>1100</v>
      </c>
      <c r="E143" s="243">
        <v>0</v>
      </c>
      <c r="F143" s="244">
        <f>P!AJ145</f>
        <v>27</v>
      </c>
      <c r="G143" s="244">
        <f t="shared" si="14"/>
        <v>27</v>
      </c>
      <c r="H143" s="276"/>
      <c r="I143" s="277">
        <f>P!D145</f>
        <v>0</v>
      </c>
      <c r="J143" s="304"/>
      <c r="K143" s="277">
        <f>P!F145</f>
        <v>0</v>
      </c>
      <c r="L143" s="304"/>
      <c r="M143" s="277">
        <f>P!H145</f>
        <v>0</v>
      </c>
      <c r="N143" s="304"/>
      <c r="O143" s="277">
        <f>P!J145</f>
        <v>0</v>
      </c>
      <c r="P143" s="304">
        <v>15</v>
      </c>
      <c r="Q143" s="277">
        <v>15</v>
      </c>
      <c r="R143" s="304"/>
      <c r="S143" s="277">
        <f>P!N145</f>
        <v>0</v>
      </c>
      <c r="T143" s="304"/>
      <c r="U143" s="277">
        <f>P!P145</f>
        <v>0</v>
      </c>
      <c r="V143" s="304"/>
      <c r="W143" s="277">
        <f>P!R145</f>
        <v>12</v>
      </c>
      <c r="X143" s="304"/>
      <c r="Y143" s="277">
        <f>P!T145</f>
        <v>0</v>
      </c>
      <c r="Z143" s="304"/>
      <c r="AA143" s="277">
        <f>P!V145</f>
        <v>0</v>
      </c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27</v>
      </c>
      <c r="AO143" s="252">
        <f>P!AK145</f>
        <v>1100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>
        <v>1</v>
      </c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1</v>
      </c>
      <c r="G145" s="244">
        <f t="shared" si="14"/>
        <v>1</v>
      </c>
      <c r="H145" s="276"/>
      <c r="I145" s="305"/>
      <c r="J145" s="304"/>
      <c r="K145" s="305"/>
      <c r="L145" s="304"/>
      <c r="M145" s="305"/>
      <c r="N145" s="304"/>
      <c r="O145" s="305">
        <v>1</v>
      </c>
      <c r="P145" s="304"/>
      <c r="Q145" s="305"/>
      <c r="R145" s="304"/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1</v>
      </c>
      <c r="AO145" s="252">
        <f>P!AK147</f>
        <v>700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227.35941223337238</v>
      </c>
      <c r="E150" s="243">
        <v>15.390000000000214</v>
      </c>
      <c r="F150" s="297">
        <f>P!AJ152</f>
        <v>160</v>
      </c>
      <c r="G150" s="297">
        <f t="shared" si="14"/>
        <v>175.39000000000021</v>
      </c>
      <c r="H150" s="406">
        <v>20</v>
      </c>
      <c r="I150" s="305">
        <v>13</v>
      </c>
      <c r="J150" s="304">
        <v>26</v>
      </c>
      <c r="K150" s="305">
        <v>25</v>
      </c>
      <c r="L150" s="304">
        <v>22</v>
      </c>
      <c r="M150" s="305">
        <v>19.399999999999999</v>
      </c>
      <c r="N150" s="304">
        <v>27</v>
      </c>
      <c r="O150" s="305">
        <v>24</v>
      </c>
      <c r="P150" s="304">
        <v>8</v>
      </c>
      <c r="Q150" s="305">
        <v>8</v>
      </c>
      <c r="R150" s="304">
        <v>15</v>
      </c>
      <c r="S150" s="305">
        <v>13.5</v>
      </c>
      <c r="T150" s="304">
        <v>8</v>
      </c>
      <c r="U150" s="305">
        <v>5.5</v>
      </c>
      <c r="V150" s="304">
        <v>12</v>
      </c>
      <c r="W150" s="305">
        <v>8</v>
      </c>
      <c r="X150" s="304">
        <v>14</v>
      </c>
      <c r="Y150" s="305">
        <v>14</v>
      </c>
      <c r="Z150" s="304">
        <v>8</v>
      </c>
      <c r="AA150" s="305">
        <v>6</v>
      </c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136.4</v>
      </c>
      <c r="AO150" s="251">
        <f>P!AK152</f>
        <v>231.72499999999999</v>
      </c>
      <c r="AP150" s="407">
        <f t="shared" si="11"/>
        <v>38.990000000000208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>
        <v>220.95081127468552</v>
      </c>
      <c r="E152" s="243">
        <v>0</v>
      </c>
      <c r="F152" s="244">
        <f>P!AJ154</f>
        <v>6.4</v>
      </c>
      <c r="G152" s="244">
        <f t="shared" si="14"/>
        <v>6.4</v>
      </c>
      <c r="H152" s="276"/>
      <c r="I152" s="277"/>
      <c r="J152" s="304">
        <v>2.1</v>
      </c>
      <c r="K152" s="277">
        <v>2.1</v>
      </c>
      <c r="L152" s="304">
        <v>2.5</v>
      </c>
      <c r="M152" s="277">
        <v>2.5</v>
      </c>
      <c r="N152" s="304"/>
      <c r="O152" s="277"/>
      <c r="P152" s="304">
        <v>2</v>
      </c>
      <c r="Q152" s="277"/>
      <c r="R152" s="304"/>
      <c r="S152" s="277"/>
      <c r="T152" s="304"/>
      <c r="U152" s="277"/>
      <c r="V152" s="304"/>
      <c r="W152" s="277"/>
      <c r="X152" s="304"/>
      <c r="Y152" s="305"/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4.5999999999999996</v>
      </c>
      <c r="AO152" s="252">
        <f>P!AK154</f>
        <v>170</v>
      </c>
      <c r="AP152" s="253">
        <f t="shared" si="11"/>
        <v>1.8000000000000007</v>
      </c>
      <c r="AQ152" s="70" t="str">
        <f t="shared" si="13"/>
        <v xml:space="preserve"> </v>
      </c>
    </row>
    <row r="153" spans="1:53">
      <c r="A153" s="68">
        <v>151</v>
      </c>
      <c r="B153" s="92" t="s">
        <v>138</v>
      </c>
      <c r="C153" s="68" t="s">
        <v>9</v>
      </c>
      <c r="D153" s="243">
        <v>367.50538361066555</v>
      </c>
      <c r="E153" s="243">
        <v>6.7700000000000067</v>
      </c>
      <c r="F153" s="244">
        <f>P!AJ155</f>
        <v>26.5</v>
      </c>
      <c r="G153" s="244">
        <f t="shared" si="14"/>
        <v>33.27000000000001</v>
      </c>
      <c r="H153" s="276">
        <v>12</v>
      </c>
      <c r="I153" s="277">
        <v>10</v>
      </c>
      <c r="J153" s="304"/>
      <c r="K153" s="277"/>
      <c r="L153" s="304"/>
      <c r="M153" s="277"/>
      <c r="N153" s="304">
        <v>9</v>
      </c>
      <c r="O153" s="277">
        <v>8.6999999999999993</v>
      </c>
      <c r="P153" s="304">
        <v>8</v>
      </c>
      <c r="Q153" s="277">
        <v>8.3000000000000007</v>
      </c>
      <c r="R153" s="304"/>
      <c r="S153" s="277"/>
      <c r="T153" s="304"/>
      <c r="U153" s="277"/>
      <c r="V153" s="304">
        <v>6</v>
      </c>
      <c r="W153" s="277">
        <v>6.2700000000000102</v>
      </c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33.27000000000001</v>
      </c>
      <c r="AO153" s="252">
        <f>P!AK155</f>
        <v>369.43396226415092</v>
      </c>
      <c r="AP153" s="253">
        <f t="shared" si="11"/>
        <v>0</v>
      </c>
      <c r="AQ153" s="70" t="str">
        <f t="shared" si="13"/>
        <v>০</v>
      </c>
    </row>
    <row r="154" spans="1:53">
      <c r="A154" s="68">
        <v>152</v>
      </c>
      <c r="B154" s="92" t="s">
        <v>267</v>
      </c>
      <c r="C154" s="68" t="s">
        <v>9</v>
      </c>
      <c r="D154" s="243">
        <v>350</v>
      </c>
      <c r="E154" s="243">
        <v>0</v>
      </c>
      <c r="F154" s="244">
        <f>P!AJ156</f>
        <v>9.3000000000000007</v>
      </c>
      <c r="G154" s="244">
        <f t="shared" si="14"/>
        <v>9.3000000000000007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>
        <v>5</v>
      </c>
      <c r="U154" s="305">
        <v>3.4</v>
      </c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3.4</v>
      </c>
      <c r="AO154" s="252">
        <f>P!AK156</f>
        <v>350</v>
      </c>
      <c r="AP154" s="253">
        <f t="shared" si="11"/>
        <v>5.9</v>
      </c>
      <c r="AQ154" s="70" t="str">
        <f t="shared" si="13"/>
        <v xml:space="preserve"> 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2253.7623762376234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363.33333333333331</v>
      </c>
      <c r="E160" s="243">
        <v>0</v>
      </c>
      <c r="F160" s="244">
        <f>P!AJ162</f>
        <v>1</v>
      </c>
      <c r="G160" s="244">
        <f t="shared" si="14"/>
        <v>1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>
        <v>1</v>
      </c>
      <c r="S160" s="305">
        <v>1</v>
      </c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1</v>
      </c>
      <c r="AO160" s="252">
        <f>P!AK162</f>
        <v>370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>
        <v>670</v>
      </c>
      <c r="E161" s="243">
        <v>0</v>
      </c>
      <c r="F161" s="244">
        <f>P!AJ163</f>
        <v>2</v>
      </c>
      <c r="G161" s="244">
        <f t="shared" si="14"/>
        <v>2</v>
      </c>
      <c r="H161" s="276"/>
      <c r="I161" s="305"/>
      <c r="J161" s="304"/>
      <c r="K161" s="305"/>
      <c r="L161" s="304"/>
      <c r="M161" s="305"/>
      <c r="N161" s="304">
        <v>2</v>
      </c>
      <c r="O161" s="305">
        <v>2</v>
      </c>
      <c r="P161" s="304"/>
      <c r="Q161" s="305"/>
      <c r="R161" s="304"/>
      <c r="S161" s="305"/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2</v>
      </c>
      <c r="AO161" s="252">
        <f>P!AK163</f>
        <v>600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190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700</v>
      </c>
      <c r="E168" s="243">
        <v>0</v>
      </c>
      <c r="F168" s="244">
        <f>P!AJ170</f>
        <v>3</v>
      </c>
      <c r="G168" s="244">
        <f t="shared" si="14"/>
        <v>3</v>
      </c>
      <c r="H168" s="276"/>
      <c r="I168" s="305"/>
      <c r="J168" s="304"/>
      <c r="K168" s="305"/>
      <c r="L168" s="304">
        <v>10</v>
      </c>
      <c r="M168" s="305"/>
      <c r="N168" s="304"/>
      <c r="O168" s="305"/>
      <c r="P168" s="304"/>
      <c r="Q168" s="305"/>
      <c r="R168" s="304"/>
      <c r="S168" s="305"/>
      <c r="T168" s="304"/>
      <c r="U168" s="305"/>
      <c r="V168" s="304"/>
      <c r="W168" s="305"/>
      <c r="X168" s="304">
        <v>3</v>
      </c>
      <c r="Y168" s="305">
        <v>2</v>
      </c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2</v>
      </c>
      <c r="AO168" s="252">
        <f>P!AK170</f>
        <v>660</v>
      </c>
      <c r="AP168" s="253">
        <f t="shared" si="11"/>
        <v>1</v>
      </c>
      <c r="AQ168" s="70" t="str">
        <f t="shared" si="13"/>
        <v xml:space="preserve"> </v>
      </c>
    </row>
    <row r="169" spans="1:43">
      <c r="A169" s="68">
        <v>167</v>
      </c>
      <c r="B169" s="92" t="s">
        <v>4</v>
      </c>
      <c r="C169" s="68" t="s">
        <v>9</v>
      </c>
      <c r="D169" s="243">
        <v>370</v>
      </c>
      <c r="E169" s="243">
        <v>0</v>
      </c>
      <c r="F169" s="244">
        <f>P!AJ171</f>
        <v>10</v>
      </c>
      <c r="G169" s="244">
        <f t="shared" si="14"/>
        <v>10</v>
      </c>
      <c r="H169" s="276"/>
      <c r="I169" s="277"/>
      <c r="J169" s="304"/>
      <c r="K169" s="277">
        <v>8</v>
      </c>
      <c r="L169" s="304"/>
      <c r="M169" s="277"/>
      <c r="N169" s="304"/>
      <c r="O169" s="277"/>
      <c r="P169" s="304"/>
      <c r="Q169" s="277"/>
      <c r="R169" s="304">
        <v>3</v>
      </c>
      <c r="S169" s="277">
        <v>1.7</v>
      </c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9.6999999999999993</v>
      </c>
      <c r="AO169" s="252">
        <f>P!AK171</f>
        <v>384</v>
      </c>
      <c r="AP169" s="253">
        <f t="shared" si="11"/>
        <v>0.30000000000000071</v>
      </c>
      <c r="AQ169" s="70" t="str">
        <f t="shared" si="13"/>
        <v>NZ</v>
      </c>
    </row>
    <row r="170" spans="1:43">
      <c r="A170" s="68">
        <v>168</v>
      </c>
      <c r="B170" s="92" t="s">
        <v>153</v>
      </c>
      <c r="C170" s="68" t="s">
        <v>9</v>
      </c>
      <c r="D170" s="243">
        <v>462.33402773965003</v>
      </c>
      <c r="E170" s="243">
        <v>3.1999999999999993</v>
      </c>
      <c r="F170" s="244">
        <f>P!AJ172</f>
        <v>26</v>
      </c>
      <c r="G170" s="244">
        <f t="shared" si="14"/>
        <v>29.2</v>
      </c>
      <c r="H170" s="276"/>
      <c r="I170" s="305"/>
      <c r="J170" s="304"/>
      <c r="K170" s="305"/>
      <c r="L170" s="304">
        <v>18</v>
      </c>
      <c r="M170" s="305">
        <v>17.8</v>
      </c>
      <c r="N170" s="304"/>
      <c r="O170" s="305"/>
      <c r="P170" s="304"/>
      <c r="Q170" s="305"/>
      <c r="R170" s="304"/>
      <c r="S170" s="305"/>
      <c r="T170" s="304"/>
      <c r="U170" s="305"/>
      <c r="V170" s="304"/>
      <c r="W170" s="305"/>
      <c r="X170" s="304"/>
      <c r="Y170" s="305"/>
      <c r="Z170" s="304">
        <v>8</v>
      </c>
      <c r="AA170" s="305">
        <v>7.8</v>
      </c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25.6</v>
      </c>
      <c r="AO170" s="252">
        <f>P!AK172</f>
        <v>426.92307692307691</v>
      </c>
      <c r="AP170" s="253">
        <f t="shared" si="11"/>
        <v>3.5999999999999979</v>
      </c>
      <c r="AQ170" s="70" t="str">
        <f t="shared" si="13"/>
        <v xml:space="preserve"> 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>
        <v>630</v>
      </c>
      <c r="E173" s="243">
        <v>0</v>
      </c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23.528301886792452</v>
      </c>
      <c r="E177" s="243">
        <v>0</v>
      </c>
      <c r="F177" s="244">
        <f>P!AJ179</f>
        <v>99</v>
      </c>
      <c r="G177" s="289">
        <f t="shared" si="14"/>
        <v>99</v>
      </c>
      <c r="H177" s="311">
        <v>15</v>
      </c>
      <c r="I177" s="316">
        <f>P!D179</f>
        <v>15</v>
      </c>
      <c r="J177" s="317">
        <v>10</v>
      </c>
      <c r="K177" s="316">
        <f>P!F179</f>
        <v>10</v>
      </c>
      <c r="L177" s="317">
        <v>12</v>
      </c>
      <c r="M177" s="316">
        <f>P!H179</f>
        <v>12</v>
      </c>
      <c r="N177" s="317">
        <v>5</v>
      </c>
      <c r="O177" s="316">
        <f>P!J179</f>
        <v>5</v>
      </c>
      <c r="P177" s="317">
        <v>10</v>
      </c>
      <c r="Q177" s="316">
        <f>P!L179</f>
        <v>10</v>
      </c>
      <c r="R177" s="317">
        <v>15</v>
      </c>
      <c r="S177" s="316">
        <f>P!N179</f>
        <v>15</v>
      </c>
      <c r="T177" s="317">
        <v>5</v>
      </c>
      <c r="U177" s="316">
        <f>P!P179</f>
        <v>5</v>
      </c>
      <c r="V177" s="317">
        <v>15</v>
      </c>
      <c r="W177" s="316">
        <f>P!R179</f>
        <v>17</v>
      </c>
      <c r="X177" s="317">
        <v>5</v>
      </c>
      <c r="Y177" s="316">
        <f>P!T179</f>
        <v>5</v>
      </c>
      <c r="Z177" s="317">
        <v>5</v>
      </c>
      <c r="AA177" s="316">
        <f>P!V179</f>
        <v>5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99</v>
      </c>
      <c r="AO177" s="324">
        <f>P!AK179</f>
        <v>22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>
        <v>80</v>
      </c>
      <c r="E178" s="243">
        <v>0</v>
      </c>
      <c r="F178" s="244">
        <f>P!AJ180</f>
        <v>74</v>
      </c>
      <c r="G178" s="289">
        <f t="shared" si="14"/>
        <v>74</v>
      </c>
      <c r="H178" s="311">
        <v>10</v>
      </c>
      <c r="I178" s="316">
        <f>P!D180</f>
        <v>10</v>
      </c>
      <c r="J178" s="317">
        <v>10</v>
      </c>
      <c r="K178" s="316">
        <f>P!F180</f>
        <v>10</v>
      </c>
      <c r="L178" s="317">
        <v>12</v>
      </c>
      <c r="M178" s="316">
        <f>P!H180</f>
        <v>12</v>
      </c>
      <c r="N178" s="317">
        <v>10</v>
      </c>
      <c r="O178" s="316">
        <f>P!J180</f>
        <v>10</v>
      </c>
      <c r="P178" s="317">
        <v>8</v>
      </c>
      <c r="Q178" s="316">
        <f>P!L180</f>
        <v>8</v>
      </c>
      <c r="R178" s="317">
        <v>5</v>
      </c>
      <c r="S178" s="316">
        <f>P!N180</f>
        <v>5</v>
      </c>
      <c r="T178" s="317">
        <v>4</v>
      </c>
      <c r="U178" s="316">
        <f>P!P180</f>
        <v>4</v>
      </c>
      <c r="V178" s="317">
        <v>5</v>
      </c>
      <c r="W178" s="316">
        <f>P!R180</f>
        <v>5</v>
      </c>
      <c r="X178" s="317">
        <v>5</v>
      </c>
      <c r="Y178" s="316">
        <f>P!T180</f>
        <v>5</v>
      </c>
      <c r="Z178" s="317">
        <v>5</v>
      </c>
      <c r="AA178" s="316">
        <f>P!V180</f>
        <v>5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74</v>
      </c>
      <c r="AO178" s="324">
        <f>P!AK180</f>
        <v>104.29729729729729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193.88888888888889</v>
      </c>
      <c r="E179" s="243">
        <v>0</v>
      </c>
      <c r="F179" s="244">
        <f>P!AJ181</f>
        <v>9.5</v>
      </c>
      <c r="G179" s="289">
        <f t="shared" si="14"/>
        <v>9.5</v>
      </c>
      <c r="H179" s="311">
        <v>1</v>
      </c>
      <c r="I179" s="316">
        <f>P!D181</f>
        <v>1</v>
      </c>
      <c r="J179" s="317">
        <v>2</v>
      </c>
      <c r="K179" s="316">
        <f>P!F181</f>
        <v>2</v>
      </c>
      <c r="L179" s="317">
        <v>1</v>
      </c>
      <c r="M179" s="316">
        <f>P!H181</f>
        <v>1</v>
      </c>
      <c r="N179" s="317">
        <v>1</v>
      </c>
      <c r="O179" s="316">
        <f>P!J181</f>
        <v>1</v>
      </c>
      <c r="P179" s="317">
        <v>1</v>
      </c>
      <c r="Q179" s="316">
        <f>P!L181</f>
        <v>1</v>
      </c>
      <c r="R179" s="317">
        <v>1</v>
      </c>
      <c r="S179" s="316">
        <f>P!N181</f>
        <v>1</v>
      </c>
      <c r="T179" s="317">
        <v>0.5</v>
      </c>
      <c r="U179" s="316">
        <f>P!P181</f>
        <v>0.5</v>
      </c>
      <c r="V179" s="317">
        <v>0.5</v>
      </c>
      <c r="W179" s="316">
        <f>P!R181</f>
        <v>0.5</v>
      </c>
      <c r="X179" s="317">
        <v>1</v>
      </c>
      <c r="Y179" s="316">
        <f>P!T181</f>
        <v>1</v>
      </c>
      <c r="Z179" s="317">
        <v>0.5</v>
      </c>
      <c r="AA179" s="316">
        <f>P!V181</f>
        <v>0.5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9.5</v>
      </c>
      <c r="AO179" s="324">
        <f>P!AK181</f>
        <v>185.26315789473685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>
        <v>164.61538461538461</v>
      </c>
      <c r="E180" s="243">
        <v>0</v>
      </c>
      <c r="F180" s="244">
        <f>P!AJ182</f>
        <v>8.5</v>
      </c>
      <c r="G180" s="289">
        <f t="shared" si="14"/>
        <v>8.5</v>
      </c>
      <c r="H180" s="311">
        <v>0.5</v>
      </c>
      <c r="I180" s="316">
        <f>P!D182</f>
        <v>0.5</v>
      </c>
      <c r="J180" s="317">
        <v>1</v>
      </c>
      <c r="K180" s="316">
        <f>P!F182</f>
        <v>1</v>
      </c>
      <c r="L180" s="317">
        <v>0.5</v>
      </c>
      <c r="M180" s="316">
        <f>P!H182</f>
        <v>0.5</v>
      </c>
      <c r="N180" s="317">
        <v>1</v>
      </c>
      <c r="O180" s="316">
        <f>P!J182</f>
        <v>0</v>
      </c>
      <c r="P180" s="317">
        <v>1</v>
      </c>
      <c r="Q180" s="316">
        <f>P!L182</f>
        <v>1</v>
      </c>
      <c r="R180" s="317">
        <v>1</v>
      </c>
      <c r="S180" s="316">
        <f>P!N182</f>
        <v>4</v>
      </c>
      <c r="T180" s="317">
        <v>0.5</v>
      </c>
      <c r="U180" s="316">
        <f>P!P182</f>
        <v>0</v>
      </c>
      <c r="V180" s="317">
        <v>0.5</v>
      </c>
      <c r="W180" s="316">
        <f>P!R182</f>
        <v>0.5</v>
      </c>
      <c r="X180" s="317">
        <v>1</v>
      </c>
      <c r="Y180" s="316">
        <f>P!T182</f>
        <v>1</v>
      </c>
      <c r="Z180" s="317">
        <v>0.5</v>
      </c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8.5</v>
      </c>
      <c r="AO180" s="324">
        <f>P!AK182</f>
        <v>150.58823529411765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>
        <v>147.71428571428572</v>
      </c>
      <c r="E181" s="243">
        <v>0</v>
      </c>
      <c r="F181" s="244">
        <f>P!AJ183</f>
        <v>15.5</v>
      </c>
      <c r="G181" s="289">
        <f t="shared" si="14"/>
        <v>15.5</v>
      </c>
      <c r="H181" s="311">
        <v>1.5</v>
      </c>
      <c r="I181" s="316">
        <f>P!D183</f>
        <v>1.5</v>
      </c>
      <c r="J181" s="317">
        <v>2</v>
      </c>
      <c r="K181" s="316">
        <f>P!F183</f>
        <v>2</v>
      </c>
      <c r="L181" s="317">
        <v>3</v>
      </c>
      <c r="M181" s="316">
        <f>P!H183</f>
        <v>3</v>
      </c>
      <c r="N181" s="317">
        <v>2</v>
      </c>
      <c r="O181" s="316">
        <f>P!J183</f>
        <v>2</v>
      </c>
      <c r="P181" s="317">
        <v>2</v>
      </c>
      <c r="Q181" s="316">
        <f>P!L183</f>
        <v>2</v>
      </c>
      <c r="R181" s="317">
        <v>2</v>
      </c>
      <c r="S181" s="316">
        <f>P!N183</f>
        <v>2</v>
      </c>
      <c r="T181" s="317">
        <v>0.5</v>
      </c>
      <c r="U181" s="316">
        <f>P!P183</f>
        <v>0.5</v>
      </c>
      <c r="V181" s="317">
        <v>1</v>
      </c>
      <c r="W181" s="316">
        <f>P!R183</f>
        <v>1</v>
      </c>
      <c r="X181" s="317">
        <v>1</v>
      </c>
      <c r="Y181" s="316">
        <f>P!T183</f>
        <v>1</v>
      </c>
      <c r="Z181" s="317">
        <v>0.5</v>
      </c>
      <c r="AA181" s="316">
        <f>P!V183</f>
        <v>0.5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15.5</v>
      </c>
      <c r="AO181" s="324">
        <f>P!AK183</f>
        <v>119.03225806451613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6.6969696969696972</v>
      </c>
      <c r="E182" s="243">
        <v>0</v>
      </c>
      <c r="F182" s="244">
        <f>P!AJ184</f>
        <v>203</v>
      </c>
      <c r="G182" s="289">
        <f t="shared" si="14"/>
        <v>203</v>
      </c>
      <c r="H182" s="311">
        <v>25</v>
      </c>
      <c r="I182" s="316">
        <f>P!D184</f>
        <v>25</v>
      </c>
      <c r="J182" s="317">
        <v>25</v>
      </c>
      <c r="K182" s="316">
        <f>P!F184</f>
        <v>25</v>
      </c>
      <c r="L182" s="317">
        <v>32</v>
      </c>
      <c r="M182" s="316">
        <f>P!H184</f>
        <v>32</v>
      </c>
      <c r="N182" s="317">
        <v>30</v>
      </c>
      <c r="O182" s="316">
        <f>P!J184</f>
        <v>30</v>
      </c>
      <c r="P182" s="317">
        <v>24</v>
      </c>
      <c r="Q182" s="316">
        <f>P!L184</f>
        <v>24</v>
      </c>
      <c r="R182" s="317">
        <v>15</v>
      </c>
      <c r="S182" s="316">
        <f>P!N184</f>
        <v>15</v>
      </c>
      <c r="T182" s="317">
        <v>10</v>
      </c>
      <c r="U182" s="316">
        <f>P!P184</f>
        <v>10</v>
      </c>
      <c r="V182" s="317">
        <v>12</v>
      </c>
      <c r="W182" s="316">
        <f>P!R184</f>
        <v>12</v>
      </c>
      <c r="X182" s="317">
        <v>15</v>
      </c>
      <c r="Y182" s="316">
        <f>P!T184</f>
        <v>15</v>
      </c>
      <c r="Z182" s="317">
        <v>15</v>
      </c>
      <c r="AA182" s="316">
        <f>P!V184</f>
        <v>15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203</v>
      </c>
      <c r="AO182" s="324">
        <f>P!AK184</f>
        <v>8.4532019704433505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56.4</v>
      </c>
      <c r="E183" s="243">
        <v>0</v>
      </c>
      <c r="F183" s="244">
        <f>P!AJ185</f>
        <v>42</v>
      </c>
      <c r="G183" s="289">
        <f t="shared" si="14"/>
        <v>42</v>
      </c>
      <c r="H183" s="311">
        <v>5</v>
      </c>
      <c r="I183" s="316">
        <f>P!D185</f>
        <v>5</v>
      </c>
      <c r="J183" s="317">
        <v>7</v>
      </c>
      <c r="K183" s="316">
        <f>P!F185</f>
        <v>7</v>
      </c>
      <c r="L183" s="317">
        <v>5</v>
      </c>
      <c r="M183" s="316">
        <f>P!H185</f>
        <v>5</v>
      </c>
      <c r="N183" s="317">
        <v>5</v>
      </c>
      <c r="O183" s="316">
        <f>P!J185</f>
        <v>5</v>
      </c>
      <c r="P183" s="317">
        <v>5</v>
      </c>
      <c r="Q183" s="316">
        <f>P!L185</f>
        <v>5</v>
      </c>
      <c r="R183" s="317">
        <v>4</v>
      </c>
      <c r="S183" s="316">
        <f>P!N185</f>
        <v>4</v>
      </c>
      <c r="T183" s="317">
        <v>2</v>
      </c>
      <c r="U183" s="316">
        <f>P!P185</f>
        <v>2</v>
      </c>
      <c r="V183" s="317">
        <v>3</v>
      </c>
      <c r="W183" s="316">
        <f>P!R185</f>
        <v>3</v>
      </c>
      <c r="X183" s="317">
        <v>3</v>
      </c>
      <c r="Y183" s="316">
        <f>P!T185</f>
        <v>3</v>
      </c>
      <c r="Z183" s="317">
        <v>3</v>
      </c>
      <c r="AA183" s="316">
        <f>P!V185</f>
        <v>3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42</v>
      </c>
      <c r="AO183" s="324">
        <f>P!AK185</f>
        <v>54.047619047619051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90</v>
      </c>
      <c r="E184" s="243">
        <v>0</v>
      </c>
      <c r="F184" s="244">
        <f>P!AJ186</f>
        <v>22</v>
      </c>
      <c r="G184" s="289">
        <f t="shared" si="14"/>
        <v>22</v>
      </c>
      <c r="H184" s="311">
        <v>1</v>
      </c>
      <c r="I184" s="316">
        <f>P!D186</f>
        <v>1</v>
      </c>
      <c r="J184" s="317">
        <v>2</v>
      </c>
      <c r="K184" s="316">
        <f>P!F186</f>
        <v>2.5</v>
      </c>
      <c r="L184" s="317">
        <v>3</v>
      </c>
      <c r="M184" s="316">
        <f>P!H186</f>
        <v>3</v>
      </c>
      <c r="N184" s="317">
        <v>2</v>
      </c>
      <c r="O184" s="316">
        <f>P!J186</f>
        <v>2</v>
      </c>
      <c r="P184" s="317">
        <v>2</v>
      </c>
      <c r="Q184" s="316">
        <f>P!L186</f>
        <v>2</v>
      </c>
      <c r="R184" s="317">
        <v>5</v>
      </c>
      <c r="S184" s="316">
        <f>P!N186</f>
        <v>5</v>
      </c>
      <c r="T184" s="317">
        <v>1</v>
      </c>
      <c r="U184" s="316">
        <f>P!P186</f>
        <v>1</v>
      </c>
      <c r="V184" s="317">
        <v>1</v>
      </c>
      <c r="W184" s="316">
        <f>P!R186</f>
        <v>3.5</v>
      </c>
      <c r="X184" s="317">
        <v>1</v>
      </c>
      <c r="Y184" s="316">
        <f>P!T186</f>
        <v>1</v>
      </c>
      <c r="Z184" s="317">
        <v>1</v>
      </c>
      <c r="AA184" s="316">
        <f>P!V186</f>
        <v>1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22</v>
      </c>
      <c r="AO184" s="324">
        <f>P!AK186</f>
        <v>98.86363636363636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54.375</v>
      </c>
      <c r="E185" s="243">
        <v>0</v>
      </c>
      <c r="F185" s="244">
        <f>P!AJ187</f>
        <v>25.5</v>
      </c>
      <c r="G185" s="289">
        <f t="shared" si="14"/>
        <v>25.5</v>
      </c>
      <c r="H185" s="311"/>
      <c r="I185" s="316">
        <f>P!D187</f>
        <v>0</v>
      </c>
      <c r="J185" s="317">
        <v>5</v>
      </c>
      <c r="K185" s="316">
        <f>P!F187</f>
        <v>5</v>
      </c>
      <c r="L185" s="317">
        <v>1</v>
      </c>
      <c r="M185" s="316">
        <f>P!H187</f>
        <v>1</v>
      </c>
      <c r="N185" s="317"/>
      <c r="O185" s="316">
        <f>P!J187</f>
        <v>0</v>
      </c>
      <c r="P185" s="317">
        <v>4</v>
      </c>
      <c r="Q185" s="316">
        <f>P!L187</f>
        <v>4</v>
      </c>
      <c r="R185" s="317">
        <v>5</v>
      </c>
      <c r="S185" s="316">
        <f>P!N187</f>
        <v>5</v>
      </c>
      <c r="T185" s="317"/>
      <c r="U185" s="316">
        <f>P!P187</f>
        <v>0</v>
      </c>
      <c r="V185" s="317">
        <v>0.5</v>
      </c>
      <c r="W185" s="316">
        <f>P!R187</f>
        <v>0.5</v>
      </c>
      <c r="X185" s="317">
        <v>10</v>
      </c>
      <c r="Y185" s="316">
        <f>P!T187</f>
        <v>10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25.5</v>
      </c>
      <c r="AO185" s="324">
        <f>P!AK187</f>
        <v>63.333333333333336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>
        <v>57.5</v>
      </c>
      <c r="E186" s="243">
        <v>0</v>
      </c>
      <c r="F186" s="244">
        <f>P!AJ188</f>
        <v>6</v>
      </c>
      <c r="G186" s="289">
        <f t="shared" si="14"/>
        <v>6</v>
      </c>
      <c r="H186" s="311"/>
      <c r="I186" s="316">
        <f>P!D188</f>
        <v>0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>
        <v>6</v>
      </c>
      <c r="S186" s="316">
        <f>P!N188</f>
        <v>6</v>
      </c>
      <c r="T186" s="317"/>
      <c r="U186" s="316">
        <f>P!P188</f>
        <v>0</v>
      </c>
      <c r="V186" s="317"/>
      <c r="W186" s="316">
        <f>P!R188</f>
        <v>0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6</v>
      </c>
      <c r="AO186" s="324">
        <f>P!AK188</f>
        <v>70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37.5</v>
      </c>
      <c r="E187" s="243">
        <v>0</v>
      </c>
      <c r="F187" s="244">
        <f>P!AJ189</f>
        <v>28</v>
      </c>
      <c r="G187" s="289">
        <f t="shared" si="14"/>
        <v>28</v>
      </c>
      <c r="H187" s="311"/>
      <c r="I187" s="316">
        <f>P!D189</f>
        <v>0</v>
      </c>
      <c r="J187" s="317"/>
      <c r="K187" s="316">
        <f>P!F189</f>
        <v>0</v>
      </c>
      <c r="L187" s="317">
        <v>22</v>
      </c>
      <c r="M187" s="316">
        <f>P!H189</f>
        <v>22</v>
      </c>
      <c r="N187" s="317"/>
      <c r="O187" s="316">
        <f>P!J189</f>
        <v>0</v>
      </c>
      <c r="P187" s="317"/>
      <c r="Q187" s="316">
        <f>P!L189</f>
        <v>0</v>
      </c>
      <c r="R187" s="317">
        <v>6</v>
      </c>
      <c r="S187" s="316">
        <f>P!N189</f>
        <v>6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>
        <v>12</v>
      </c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28</v>
      </c>
      <c r="AO187" s="324">
        <f>P!AK189</f>
        <v>46.071428571428569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>
        <v>6.1310344827586203</v>
      </c>
      <c r="E188" s="243">
        <v>0</v>
      </c>
      <c r="F188" s="244">
        <f>P!AJ190</f>
        <v>115</v>
      </c>
      <c r="G188" s="289">
        <f t="shared" si="14"/>
        <v>115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70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/>
      <c r="U188" s="316">
        <f>P!P190</f>
        <v>0</v>
      </c>
      <c r="V188" s="317">
        <v>45</v>
      </c>
      <c r="W188" s="316">
        <f>P!R190</f>
        <v>45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115</v>
      </c>
      <c r="AO188" s="324">
        <f>P!AK190</f>
        <v>5.6956521739130439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25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12</v>
      </c>
      <c r="E190" s="243">
        <v>0</v>
      </c>
      <c r="F190" s="244">
        <f>P!AJ192</f>
        <v>0</v>
      </c>
      <c r="G190" s="289">
        <f t="shared" si="14"/>
        <v>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0</v>
      </c>
      <c r="AO190" s="324">
        <f>P!AK192</f>
        <v>12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23.548387096774192</v>
      </c>
      <c r="E191" s="243">
        <v>0</v>
      </c>
      <c r="F191" s="244">
        <f>P!AJ193</f>
        <v>7</v>
      </c>
      <c r="G191" s="289">
        <f t="shared" si="14"/>
        <v>7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/>
      <c r="AA191" s="316">
        <f>P!V193</f>
        <v>7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7</v>
      </c>
      <c r="AO191" s="324">
        <f>P!AK193</f>
        <v>30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40</v>
      </c>
      <c r="E193" s="243">
        <v>0</v>
      </c>
      <c r="F193" s="244">
        <f>P!AJ195</f>
        <v>36</v>
      </c>
      <c r="G193" s="289">
        <f t="shared" si="14"/>
        <v>36</v>
      </c>
      <c r="H193" s="311"/>
      <c r="I193" s="316">
        <f>P!D195</f>
        <v>0</v>
      </c>
      <c r="J193" s="317">
        <v>20</v>
      </c>
      <c r="K193" s="316">
        <f>P!F195</f>
        <v>20</v>
      </c>
      <c r="L193" s="317"/>
      <c r="M193" s="316">
        <f>P!H195</f>
        <v>0</v>
      </c>
      <c r="N193" s="317"/>
      <c r="O193" s="316">
        <f>P!J195</f>
        <v>0</v>
      </c>
      <c r="P193" s="317">
        <v>8</v>
      </c>
      <c r="Q193" s="316">
        <f>P!L195</f>
        <v>8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>
        <v>8</v>
      </c>
      <c r="Y193" s="316">
        <f>P!T195</f>
        <v>8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36</v>
      </c>
      <c r="AO193" s="324">
        <f>P!AK195</f>
        <v>46.111111111111114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34.984472049689437</v>
      </c>
      <c r="E194" s="243">
        <v>0</v>
      </c>
      <c r="F194" s="244">
        <f>P!AJ196</f>
        <v>47</v>
      </c>
      <c r="G194" s="289">
        <f t="shared" si="14"/>
        <v>47</v>
      </c>
      <c r="H194" s="311"/>
      <c r="I194" s="316">
        <f>P!D196</f>
        <v>0</v>
      </c>
      <c r="J194" s="317"/>
      <c r="K194" s="316">
        <f>P!F196</f>
        <v>0</v>
      </c>
      <c r="L194" s="317">
        <v>2</v>
      </c>
      <c r="M194" s="316">
        <f>P!H196</f>
        <v>3</v>
      </c>
      <c r="N194" s="317">
        <v>25</v>
      </c>
      <c r="O194" s="316">
        <f>P!J196</f>
        <v>30</v>
      </c>
      <c r="P194" s="317"/>
      <c r="Q194" s="316">
        <f>P!L196</f>
        <v>0</v>
      </c>
      <c r="R194" s="317"/>
      <c r="S194" s="316">
        <f>P!N196</f>
        <v>0</v>
      </c>
      <c r="T194" s="317"/>
      <c r="U194" s="316">
        <f>P!P196</f>
        <v>0</v>
      </c>
      <c r="V194" s="317">
        <v>0.02</v>
      </c>
      <c r="W194" s="316">
        <f>P!R196</f>
        <v>2</v>
      </c>
      <c r="X194" s="317"/>
      <c r="Y194" s="316">
        <f>P!T196</f>
        <v>0</v>
      </c>
      <c r="Z194" s="317">
        <v>3</v>
      </c>
      <c r="AA194" s="316">
        <f>P!V196</f>
        <v>12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47</v>
      </c>
      <c r="AO194" s="324">
        <f>P!AK196</f>
        <v>34.446808510638299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>
        <v>20.603448275862068</v>
      </c>
      <c r="E195" s="243">
        <v>0</v>
      </c>
      <c r="F195" s="244">
        <f>P!AJ197</f>
        <v>33</v>
      </c>
      <c r="G195" s="289">
        <f t="shared" si="14"/>
        <v>33</v>
      </c>
      <c r="H195" s="311">
        <v>7</v>
      </c>
      <c r="I195" s="316">
        <f>P!D197</f>
        <v>7</v>
      </c>
      <c r="J195" s="317"/>
      <c r="K195" s="316">
        <f>P!F197</f>
        <v>0</v>
      </c>
      <c r="L195" s="317">
        <v>4</v>
      </c>
      <c r="M195" s="316">
        <f>P!H197</f>
        <v>5</v>
      </c>
      <c r="N195" s="317"/>
      <c r="O195" s="316">
        <f>P!J197</f>
        <v>0</v>
      </c>
      <c r="P195" s="317">
        <v>8</v>
      </c>
      <c r="Q195" s="316">
        <f>P!L197</f>
        <v>8</v>
      </c>
      <c r="R195" s="317"/>
      <c r="S195" s="316">
        <f>P!N197</f>
        <v>0</v>
      </c>
      <c r="T195" s="317"/>
      <c r="U195" s="316">
        <f>P!P197</f>
        <v>0</v>
      </c>
      <c r="V195" s="317">
        <v>5</v>
      </c>
      <c r="W195" s="316">
        <f>P!R197</f>
        <v>5</v>
      </c>
      <c r="X195" s="317"/>
      <c r="Y195" s="316">
        <f>P!T197</f>
        <v>0</v>
      </c>
      <c r="Z195" s="317">
        <v>8</v>
      </c>
      <c r="AA195" s="316">
        <f>P!V197</f>
        <v>8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33</v>
      </c>
      <c r="AO195" s="324">
        <f>P!AK197</f>
        <v>19.393939393939394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>
        <v>110</v>
      </c>
      <c r="E196" s="243">
        <v>0</v>
      </c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110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>
        <v>106.92307692307692</v>
      </c>
      <c r="E197" s="243">
        <v>0</v>
      </c>
      <c r="F197" s="244">
        <f>P!AJ199</f>
        <v>17</v>
      </c>
      <c r="G197" s="289">
        <f t="shared" ref="G197:G252" si="18">E197+F197</f>
        <v>17</v>
      </c>
      <c r="H197" s="311">
        <v>1</v>
      </c>
      <c r="I197" s="316">
        <f>P!D199</f>
        <v>1</v>
      </c>
      <c r="J197" s="317">
        <v>2</v>
      </c>
      <c r="K197" s="316">
        <f>P!F199</f>
        <v>2</v>
      </c>
      <c r="L197" s="317">
        <v>3</v>
      </c>
      <c r="M197" s="316">
        <f>P!H199</f>
        <v>3</v>
      </c>
      <c r="N197" s="317">
        <v>2</v>
      </c>
      <c r="O197" s="316">
        <f>P!J199</f>
        <v>2</v>
      </c>
      <c r="P197" s="317">
        <v>2</v>
      </c>
      <c r="Q197" s="316">
        <f>P!L199</f>
        <v>2</v>
      </c>
      <c r="R197" s="317">
        <v>2</v>
      </c>
      <c r="S197" s="316">
        <f>P!N199</f>
        <v>2</v>
      </c>
      <c r="T197" s="317">
        <v>1</v>
      </c>
      <c r="U197" s="316">
        <f>P!P199</f>
        <v>1</v>
      </c>
      <c r="V197" s="317">
        <v>2</v>
      </c>
      <c r="W197" s="316">
        <f>P!R199</f>
        <v>2</v>
      </c>
      <c r="X197" s="317">
        <v>1</v>
      </c>
      <c r="Y197" s="316">
        <f>P!T199</f>
        <v>1</v>
      </c>
      <c r="Z197" s="317">
        <v>1</v>
      </c>
      <c r="AA197" s="316">
        <f>P!V199</f>
        <v>1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17</v>
      </c>
      <c r="AO197" s="324">
        <f>P!AK199</f>
        <v>114.70588235294117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>
        <v>114.61538461538461</v>
      </c>
      <c r="E198" s="243">
        <v>0</v>
      </c>
      <c r="F198" s="244">
        <f>P!AJ200</f>
        <v>9</v>
      </c>
      <c r="G198" s="289">
        <f t="shared" si="18"/>
        <v>9</v>
      </c>
      <c r="H198" s="311">
        <v>0.5</v>
      </c>
      <c r="I198" s="316">
        <f>P!D200</f>
        <v>0.5</v>
      </c>
      <c r="J198" s="317">
        <v>1</v>
      </c>
      <c r="K198" s="316">
        <f>P!F200</f>
        <v>1</v>
      </c>
      <c r="L198" s="317">
        <v>1</v>
      </c>
      <c r="M198" s="316">
        <f>P!H200</f>
        <v>1</v>
      </c>
      <c r="N198" s="317">
        <v>1</v>
      </c>
      <c r="O198" s="316">
        <f>P!J200</f>
        <v>1</v>
      </c>
      <c r="P198" s="317">
        <v>2</v>
      </c>
      <c r="Q198" s="316">
        <f>P!L200</f>
        <v>2</v>
      </c>
      <c r="R198" s="317">
        <v>2</v>
      </c>
      <c r="S198" s="316">
        <f>P!N200</f>
        <v>2</v>
      </c>
      <c r="T198" s="317">
        <v>0.5</v>
      </c>
      <c r="U198" s="316">
        <f>P!P200</f>
        <v>0.5</v>
      </c>
      <c r="V198" s="317">
        <v>0.5</v>
      </c>
      <c r="W198" s="316">
        <f>P!R200</f>
        <v>0.5</v>
      </c>
      <c r="X198" s="317">
        <v>0.5</v>
      </c>
      <c r="Y198" s="316">
        <f>P!T200</f>
        <v>0.5</v>
      </c>
      <c r="Z198" s="317">
        <v>0.5</v>
      </c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9</v>
      </c>
      <c r="AO198" s="324">
        <f>P!AK200</f>
        <v>134.44444444444446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>
        <v>120</v>
      </c>
      <c r="E199" s="243">
        <v>0</v>
      </c>
      <c r="F199" s="244">
        <f>P!AJ201</f>
        <v>0.5</v>
      </c>
      <c r="G199" s="289">
        <f t="shared" si="18"/>
        <v>0.5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0.5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0.5</v>
      </c>
      <c r="AO199" s="324">
        <f>P!AK201</f>
        <v>260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20</v>
      </c>
      <c r="G202" s="289">
        <f t="shared" si="18"/>
        <v>20</v>
      </c>
      <c r="H202" s="311"/>
      <c r="I202" s="316">
        <f>P!D204</f>
        <v>0</v>
      </c>
      <c r="J202" s="317">
        <v>10</v>
      </c>
      <c r="K202" s="316">
        <f>P!F204</f>
        <v>10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>
        <v>10</v>
      </c>
      <c r="S202" s="316">
        <f>P!N204</f>
        <v>10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20</v>
      </c>
      <c r="AO202" s="324">
        <f>P!AK204</f>
        <v>60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44.090909090909093</v>
      </c>
      <c r="E203" s="243">
        <v>0</v>
      </c>
      <c r="F203" s="244">
        <f>P!AJ205</f>
        <v>43</v>
      </c>
      <c r="G203" s="289">
        <f t="shared" si="18"/>
        <v>43</v>
      </c>
      <c r="H203" s="311">
        <v>10</v>
      </c>
      <c r="I203" s="316">
        <f>P!D205</f>
        <v>10</v>
      </c>
      <c r="J203" s="317"/>
      <c r="K203" s="316">
        <f>P!F205</f>
        <v>0</v>
      </c>
      <c r="L203" s="317"/>
      <c r="M203" s="316">
        <f>P!H205</f>
        <v>0</v>
      </c>
      <c r="N203" s="317">
        <v>10</v>
      </c>
      <c r="O203" s="316">
        <f>P!J205</f>
        <v>10</v>
      </c>
      <c r="P203" s="317">
        <v>10</v>
      </c>
      <c r="Q203" s="316">
        <f>P!L205</f>
        <v>10</v>
      </c>
      <c r="R203" s="317"/>
      <c r="S203" s="316">
        <f>P!N205</f>
        <v>0</v>
      </c>
      <c r="T203" s="317"/>
      <c r="U203" s="316">
        <f>P!P205</f>
        <v>0</v>
      </c>
      <c r="V203" s="317">
        <v>5</v>
      </c>
      <c r="W203" s="316">
        <f>P!R205</f>
        <v>5</v>
      </c>
      <c r="X203" s="317">
        <v>3</v>
      </c>
      <c r="Y203" s="316">
        <f>P!T205</f>
        <v>3</v>
      </c>
      <c r="Z203" s="317">
        <v>5</v>
      </c>
      <c r="AA203" s="316">
        <f>P!V205</f>
        <v>5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43</v>
      </c>
      <c r="AO203" s="324">
        <f>P!AK205</f>
        <v>43.488372093023258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42.5</v>
      </c>
      <c r="E204" s="243">
        <v>0</v>
      </c>
      <c r="F204" s="244">
        <f>P!AJ206</f>
        <v>28</v>
      </c>
      <c r="G204" s="289">
        <f t="shared" si="18"/>
        <v>28</v>
      </c>
      <c r="H204" s="311">
        <v>7</v>
      </c>
      <c r="I204" s="316">
        <f>P!D206</f>
        <v>7</v>
      </c>
      <c r="J204" s="317"/>
      <c r="K204" s="316">
        <f>P!F206</f>
        <v>0</v>
      </c>
      <c r="L204" s="317">
        <v>3</v>
      </c>
      <c r="M204" s="316">
        <f>P!H206</f>
        <v>3</v>
      </c>
      <c r="N204" s="317"/>
      <c r="O204" s="316">
        <f>P!J206</f>
        <v>0</v>
      </c>
      <c r="P204" s="317">
        <v>5</v>
      </c>
      <c r="Q204" s="316">
        <f>P!L206</f>
        <v>5</v>
      </c>
      <c r="R204" s="317">
        <v>10</v>
      </c>
      <c r="S204" s="316">
        <f>P!N206</f>
        <v>10</v>
      </c>
      <c r="T204" s="317"/>
      <c r="U204" s="316">
        <f>P!P206</f>
        <v>0</v>
      </c>
      <c r="V204" s="317">
        <v>3</v>
      </c>
      <c r="W204" s="316">
        <f>P!R206</f>
        <v>3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28</v>
      </c>
      <c r="AO204" s="324">
        <f>P!AK206</f>
        <v>53.035714285714285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50</v>
      </c>
      <c r="E205" s="243">
        <v>0</v>
      </c>
      <c r="F205" s="244">
        <f>P!AJ207</f>
        <v>21</v>
      </c>
      <c r="G205" s="289">
        <f t="shared" si="18"/>
        <v>21</v>
      </c>
      <c r="H205" s="311">
        <v>4</v>
      </c>
      <c r="I205" s="316">
        <f>P!D207</f>
        <v>4</v>
      </c>
      <c r="J205" s="317"/>
      <c r="K205" s="316">
        <f>P!F207</f>
        <v>0</v>
      </c>
      <c r="L205" s="317">
        <v>2</v>
      </c>
      <c r="M205" s="316">
        <f>P!H207</f>
        <v>2</v>
      </c>
      <c r="N205" s="317"/>
      <c r="O205" s="316">
        <f>P!J207</f>
        <v>0</v>
      </c>
      <c r="P205" s="317">
        <v>5</v>
      </c>
      <c r="Q205" s="316">
        <f>P!L207</f>
        <v>5</v>
      </c>
      <c r="R205" s="317">
        <v>10</v>
      </c>
      <c r="S205" s="316">
        <f>P!N207</f>
        <v>10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21</v>
      </c>
      <c r="AO205" s="324">
        <f>P!AK207</f>
        <v>42.857142857142854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42.346938775510203</v>
      </c>
      <c r="E206" s="243">
        <v>0</v>
      </c>
      <c r="F206" s="244">
        <f>P!AJ208</f>
        <v>30</v>
      </c>
      <c r="G206" s="289">
        <f t="shared" si="18"/>
        <v>30</v>
      </c>
      <c r="H206" s="311">
        <v>2</v>
      </c>
      <c r="I206" s="316">
        <f>P!D208</f>
        <v>2</v>
      </c>
      <c r="J206" s="317"/>
      <c r="K206" s="316">
        <f>P!F208</f>
        <v>0</v>
      </c>
      <c r="L206" s="317">
        <v>2</v>
      </c>
      <c r="M206" s="316">
        <f>P!H208</f>
        <v>2</v>
      </c>
      <c r="N206" s="317"/>
      <c r="O206" s="316">
        <f>P!J208</f>
        <v>10</v>
      </c>
      <c r="P206" s="317">
        <v>3</v>
      </c>
      <c r="Q206" s="316">
        <f>P!L208</f>
        <v>3</v>
      </c>
      <c r="R206" s="317">
        <v>10</v>
      </c>
      <c r="S206" s="316">
        <f>P!N208</f>
        <v>10</v>
      </c>
      <c r="T206" s="317"/>
      <c r="U206" s="316">
        <f>P!P208</f>
        <v>0</v>
      </c>
      <c r="V206" s="317">
        <v>3</v>
      </c>
      <c r="W206" s="316">
        <f>P!R208</f>
        <v>3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30</v>
      </c>
      <c r="AO206" s="324">
        <f>P!AK208</f>
        <v>36.666666666666664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35</v>
      </c>
      <c r="E207" s="243">
        <v>0</v>
      </c>
      <c r="F207" s="244">
        <f>P!AJ209</f>
        <v>25</v>
      </c>
      <c r="G207" s="289">
        <f t="shared" si="18"/>
        <v>25</v>
      </c>
      <c r="H207" s="311">
        <v>10</v>
      </c>
      <c r="I207" s="316">
        <f>P!D209</f>
        <v>10</v>
      </c>
      <c r="J207" s="317"/>
      <c r="K207" s="316">
        <f>P!F209</f>
        <v>0</v>
      </c>
      <c r="L207" s="317">
        <v>10</v>
      </c>
      <c r="M207" s="316">
        <f>P!H209</f>
        <v>10</v>
      </c>
      <c r="N207" s="317"/>
      <c r="O207" s="316">
        <f>P!J209</f>
        <v>0</v>
      </c>
      <c r="P207" s="317"/>
      <c r="Q207" s="316">
        <f>P!L209</f>
        <v>0</v>
      </c>
      <c r="R207" s="317"/>
      <c r="S207" s="316">
        <f>P!N209</f>
        <v>0</v>
      </c>
      <c r="T207" s="317">
        <v>5</v>
      </c>
      <c r="U207" s="316">
        <f>P!P209</f>
        <v>5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25</v>
      </c>
      <c r="AO207" s="324">
        <f>P!AK209</f>
        <v>58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36.875</v>
      </c>
      <c r="E209" s="243">
        <v>0</v>
      </c>
      <c r="F209" s="244">
        <f>P!AJ211</f>
        <v>3</v>
      </c>
      <c r="G209" s="289">
        <f t="shared" si="18"/>
        <v>3</v>
      </c>
      <c r="H209" s="311"/>
      <c r="I209" s="316">
        <f>P!D211</f>
        <v>0</v>
      </c>
      <c r="J209" s="317"/>
      <c r="K209" s="316">
        <f>P!F211</f>
        <v>0</v>
      </c>
      <c r="L209" s="317"/>
      <c r="M209" s="316">
        <f>P!H211</f>
        <v>0</v>
      </c>
      <c r="N209" s="317"/>
      <c r="O209" s="316">
        <f>P!J211</f>
        <v>0</v>
      </c>
      <c r="P209" s="317"/>
      <c r="Q209" s="316">
        <f>P!L211</f>
        <v>0</v>
      </c>
      <c r="R209" s="317">
        <v>3</v>
      </c>
      <c r="S209" s="316">
        <f>P!N211</f>
        <v>3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3</v>
      </c>
      <c r="AO209" s="324">
        <f>P!AK211</f>
        <v>40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>
        <v>10</v>
      </c>
      <c r="O210" s="316">
        <f>P!J212</f>
        <v>0</v>
      </c>
      <c r="P210" s="317"/>
      <c r="Q210" s="316">
        <f>P!L212</f>
        <v>0</v>
      </c>
      <c r="R210" s="317">
        <v>3</v>
      </c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>
        <v>83.478260869565219</v>
      </c>
      <c r="E214" s="243">
        <v>0</v>
      </c>
      <c r="F214" s="244">
        <f>P!AJ216</f>
        <v>26</v>
      </c>
      <c r="G214" s="244">
        <f t="shared" si="18"/>
        <v>26</v>
      </c>
      <c r="H214" s="276">
        <v>4</v>
      </c>
      <c r="I214" s="277">
        <f>P!D216</f>
        <v>4</v>
      </c>
      <c r="J214" s="304">
        <v>3</v>
      </c>
      <c r="K214" s="277">
        <f>P!F216</f>
        <v>3</v>
      </c>
      <c r="L214" s="304">
        <v>2</v>
      </c>
      <c r="M214" s="277">
        <f>P!H216</f>
        <v>2</v>
      </c>
      <c r="N214" s="304">
        <v>2</v>
      </c>
      <c r="O214" s="277">
        <f>P!J216</f>
        <v>2</v>
      </c>
      <c r="P214" s="304"/>
      <c r="Q214" s="277">
        <f>P!L216</f>
        <v>5</v>
      </c>
      <c r="R214" s="304">
        <v>10</v>
      </c>
      <c r="S214" s="305">
        <v>10</v>
      </c>
      <c r="T214" s="304"/>
      <c r="U214" s="305"/>
      <c r="V214" s="304"/>
      <c r="W214" s="305"/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26</v>
      </c>
      <c r="AO214" s="314">
        <f>P!AK216</f>
        <v>102.30769230769231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351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495</v>
      </c>
      <c r="E228" s="243">
        <v>0</v>
      </c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>
        <v>687.79220779220782</v>
      </c>
      <c r="E229" s="243">
        <v>0</v>
      </c>
      <c r="F229" s="244">
        <f>P!AJ231</f>
        <v>1</v>
      </c>
      <c r="G229" s="244">
        <f t="shared" si="18"/>
        <v>1</v>
      </c>
      <c r="H229" s="311"/>
      <c r="I229" s="316">
        <f>P!D231</f>
        <v>0</v>
      </c>
      <c r="J229" s="317"/>
      <c r="K229" s="316">
        <f>P!F231</f>
        <v>0</v>
      </c>
      <c r="L229" s="317">
        <v>16</v>
      </c>
      <c r="M229" s="316">
        <f>P!H231</f>
        <v>1</v>
      </c>
      <c r="N229" s="317"/>
      <c r="O229" s="316">
        <f>P!J231</f>
        <v>0</v>
      </c>
      <c r="P229" s="317"/>
      <c r="Q229" s="316">
        <f>P!L231</f>
        <v>0</v>
      </c>
      <c r="R229" s="317"/>
      <c r="S229" s="316">
        <f>P!N231</f>
        <v>0</v>
      </c>
      <c r="T229" s="317"/>
      <c r="U229" s="316">
        <f>P!P231</f>
        <v>0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1</v>
      </c>
      <c r="AO229" s="324">
        <f>P!AK231</f>
        <v>680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>
        <v>898.61339506662523</v>
      </c>
      <c r="E230" s="243">
        <v>27.024999999999991</v>
      </c>
      <c r="F230" s="244">
        <f>P!AJ232</f>
        <v>56</v>
      </c>
      <c r="G230" s="244">
        <f>E230+F230</f>
        <v>83.024999999999991</v>
      </c>
      <c r="H230" s="276">
        <v>4</v>
      </c>
      <c r="I230" s="305">
        <v>4</v>
      </c>
      <c r="J230" s="304">
        <v>4</v>
      </c>
      <c r="K230" s="305">
        <v>5</v>
      </c>
      <c r="L230" s="304">
        <v>1</v>
      </c>
      <c r="M230" s="305">
        <v>3</v>
      </c>
      <c r="N230" s="304">
        <v>0.5</v>
      </c>
      <c r="O230" s="305">
        <v>4</v>
      </c>
      <c r="P230" s="304">
        <v>2.5</v>
      </c>
      <c r="Q230" s="305">
        <v>5</v>
      </c>
      <c r="R230" s="304">
        <v>1</v>
      </c>
      <c r="S230" s="305">
        <v>1.5</v>
      </c>
      <c r="T230" s="304">
        <v>0.5</v>
      </c>
      <c r="U230" s="305">
        <v>0.5</v>
      </c>
      <c r="V230" s="304">
        <v>0.5</v>
      </c>
      <c r="W230" s="305">
        <v>0.5</v>
      </c>
      <c r="X230" s="304">
        <v>0.5</v>
      </c>
      <c r="Y230" s="305">
        <v>3</v>
      </c>
      <c r="Z230" s="304">
        <v>0.5</v>
      </c>
      <c r="AA230" s="305">
        <v>2</v>
      </c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28.5</v>
      </c>
      <c r="AO230" s="314">
        <f>P!AK232</f>
        <v>778.57142857142856</v>
      </c>
      <c r="AP230" s="315">
        <f t="shared" si="15"/>
        <v>54.524999999999991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1.4000000203948864</v>
      </c>
      <c r="E231" s="243">
        <v>2793</v>
      </c>
      <c r="F231" s="244">
        <f>P!AJ233</f>
        <v>4000</v>
      </c>
      <c r="G231" s="244">
        <f>E231+F231</f>
        <v>6793</v>
      </c>
      <c r="H231" s="276">
        <v>230</v>
      </c>
      <c r="I231" s="305">
        <v>170</v>
      </c>
      <c r="J231" s="304">
        <v>230</v>
      </c>
      <c r="K231" s="305">
        <v>175</v>
      </c>
      <c r="L231" s="304">
        <v>195</v>
      </c>
      <c r="M231" s="305">
        <v>250</v>
      </c>
      <c r="N231" s="304">
        <v>180</v>
      </c>
      <c r="O231" s="305">
        <v>350</v>
      </c>
      <c r="P231" s="304">
        <v>130</v>
      </c>
      <c r="Q231" s="305">
        <v>310</v>
      </c>
      <c r="R231" s="304">
        <v>40</v>
      </c>
      <c r="S231" s="305">
        <v>250</v>
      </c>
      <c r="T231" s="304">
        <v>30</v>
      </c>
      <c r="U231" s="305">
        <v>170</v>
      </c>
      <c r="V231" s="304">
        <v>30</v>
      </c>
      <c r="W231" s="305">
        <v>110</v>
      </c>
      <c r="X231" s="304">
        <v>30</v>
      </c>
      <c r="Y231" s="305">
        <v>120</v>
      </c>
      <c r="Z231" s="304">
        <v>30</v>
      </c>
      <c r="AA231" s="305">
        <v>150</v>
      </c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2055</v>
      </c>
      <c r="AO231" s="252">
        <f>P!AK233</f>
        <v>1.4</v>
      </c>
      <c r="AP231" s="253">
        <f t="shared" si="15"/>
        <v>4738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26.981464981683811</v>
      </c>
      <c r="E232" s="243">
        <v>16.799999999999955</v>
      </c>
      <c r="F232" s="244">
        <f>P!AJ234</f>
        <v>430</v>
      </c>
      <c r="G232" s="244">
        <f t="shared" si="18"/>
        <v>446.79999999999995</v>
      </c>
      <c r="H232" s="276">
        <v>80</v>
      </c>
      <c r="I232" s="305"/>
      <c r="J232" s="304">
        <v>80</v>
      </c>
      <c r="K232" s="305">
        <v>70</v>
      </c>
      <c r="L232" s="304">
        <v>92</v>
      </c>
      <c r="M232" s="305">
        <v>83</v>
      </c>
      <c r="N232" s="304">
        <v>80</v>
      </c>
      <c r="O232" s="305">
        <v>71</v>
      </c>
      <c r="P232" s="304">
        <v>30</v>
      </c>
      <c r="Q232" s="305">
        <v>18</v>
      </c>
      <c r="R232" s="304">
        <v>38</v>
      </c>
      <c r="S232" s="305">
        <v>29</v>
      </c>
      <c r="T232" s="304">
        <v>30</v>
      </c>
      <c r="U232" s="305">
        <v>22</v>
      </c>
      <c r="V232" s="304">
        <v>40</v>
      </c>
      <c r="W232" s="305">
        <v>42</v>
      </c>
      <c r="X232" s="304">
        <v>30</v>
      </c>
      <c r="Y232" s="305">
        <v>22</v>
      </c>
      <c r="Z232" s="304">
        <v>30</v>
      </c>
      <c r="AA232" s="305">
        <v>18</v>
      </c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375</v>
      </c>
      <c r="AO232" s="252">
        <f>P!AK234</f>
        <v>25.437209302325581</v>
      </c>
      <c r="AP232" s="253">
        <f t="shared" si="15"/>
        <v>71.799999999999955</v>
      </c>
      <c r="AQ232" s="70" t="str">
        <f t="shared" si="17"/>
        <v xml:space="preserve"> </v>
      </c>
    </row>
    <row r="233" spans="1:43">
      <c r="A233" s="68">
        <v>231</v>
      </c>
      <c r="B233" s="92" t="s">
        <v>274</v>
      </c>
      <c r="C233" s="68" t="s">
        <v>9</v>
      </c>
      <c r="D233" s="243">
        <v>500</v>
      </c>
      <c r="E233" s="243">
        <v>0</v>
      </c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>
        <v>280</v>
      </c>
      <c r="E242" s="243">
        <v>0</v>
      </c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280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8.6926829268292689</v>
      </c>
      <c r="E243" s="243">
        <v>0</v>
      </c>
      <c r="F243" s="244">
        <f>P!AJ245</f>
        <v>1230</v>
      </c>
      <c r="G243" s="293">
        <f t="shared" si="18"/>
        <v>1230</v>
      </c>
      <c r="H243" s="292"/>
      <c r="I243" s="316">
        <f>P!D245</f>
        <v>215</v>
      </c>
      <c r="J243" s="317"/>
      <c r="K243" s="316">
        <f>P!F245</f>
        <v>206</v>
      </c>
      <c r="L243" s="317"/>
      <c r="M243" s="316">
        <f>P!H245</f>
        <v>0</v>
      </c>
      <c r="N243" s="317"/>
      <c r="O243" s="316">
        <f>P!J245</f>
        <v>224</v>
      </c>
      <c r="P243" s="317"/>
      <c r="Q243" s="316">
        <f>P!L245</f>
        <v>224</v>
      </c>
      <c r="R243" s="317"/>
      <c r="S243" s="316">
        <f>P!N245</f>
        <v>94</v>
      </c>
      <c r="T243" s="317"/>
      <c r="U243" s="316">
        <f>P!P245</f>
        <v>0</v>
      </c>
      <c r="V243" s="317"/>
      <c r="W243" s="316">
        <f>P!R245</f>
        <v>88</v>
      </c>
      <c r="X243" s="317"/>
      <c r="Y243" s="316">
        <f>P!T245</f>
        <v>112</v>
      </c>
      <c r="Z243" s="317"/>
      <c r="AA243" s="316">
        <f>P!V245</f>
        <v>67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1230</v>
      </c>
      <c r="AO243" s="322">
        <f>P!AK245</f>
        <v>9.4040650406504067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349.99999821810076</v>
      </c>
      <c r="E245" s="243">
        <v>16.5</v>
      </c>
      <c r="F245" s="244">
        <f>P!AJ247</f>
        <v>20</v>
      </c>
      <c r="G245" s="244">
        <f t="shared" si="18"/>
        <v>36.5</v>
      </c>
      <c r="H245" s="276"/>
      <c r="I245" s="305"/>
      <c r="J245" s="304">
        <v>2</v>
      </c>
      <c r="K245" s="305">
        <v>2</v>
      </c>
      <c r="L245" s="304"/>
      <c r="M245" s="305"/>
      <c r="N245" s="304"/>
      <c r="O245" s="305">
        <v>4</v>
      </c>
      <c r="P245" s="304">
        <v>10</v>
      </c>
      <c r="Q245" s="305">
        <v>10</v>
      </c>
      <c r="R245" s="304">
        <v>10</v>
      </c>
      <c r="S245" s="305"/>
      <c r="T245" s="304"/>
      <c r="U245" s="305"/>
      <c r="V245" s="304"/>
      <c r="W245" s="305"/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16</v>
      </c>
      <c r="AO245" s="314">
        <f>P!AK247</f>
        <v>350</v>
      </c>
      <c r="AP245" s="315">
        <f t="shared" si="15"/>
        <v>20.5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2.358490566037736</v>
      </c>
      <c r="E246" s="243">
        <v>0</v>
      </c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>
        <v>1</v>
      </c>
      <c r="E247" s="243">
        <v>0</v>
      </c>
      <c r="F247" s="297">
        <f>P!AJ249</f>
        <v>4330</v>
      </c>
      <c r="G247" s="298">
        <f t="shared" si="18"/>
        <v>4330</v>
      </c>
      <c r="H247" s="292"/>
      <c r="I247" s="316">
        <f>P!D249</f>
        <v>680</v>
      </c>
      <c r="J247" s="317"/>
      <c r="K247" s="316">
        <f>P!F249</f>
        <v>0</v>
      </c>
      <c r="L247" s="317"/>
      <c r="M247" s="316">
        <f>P!H249</f>
        <v>0</v>
      </c>
      <c r="N247" s="317"/>
      <c r="O247" s="316">
        <f>P!J249</f>
        <v>0</v>
      </c>
      <c r="P247" s="317"/>
      <c r="Q247" s="316">
        <f>P!L249</f>
        <v>650</v>
      </c>
      <c r="R247" s="317"/>
      <c r="S247" s="316">
        <f>P!N249</f>
        <v>1240</v>
      </c>
      <c r="T247" s="317"/>
      <c r="U247" s="316">
        <f>P!P249</f>
        <v>780</v>
      </c>
      <c r="V247" s="317"/>
      <c r="W247" s="316">
        <f>P!R249</f>
        <v>470</v>
      </c>
      <c r="X247" s="317"/>
      <c r="Y247" s="316">
        <f>P!T249</f>
        <v>0</v>
      </c>
      <c r="Z247" s="317"/>
      <c r="AA247" s="316">
        <f>P!V249</f>
        <v>510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4330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0</v>
      </c>
      <c r="G248" s="289">
        <f t="shared" si="18"/>
        <v>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0</v>
      </c>
      <c r="V248" s="317"/>
      <c r="W248" s="316">
        <f>P!R250</f>
        <v>0</v>
      </c>
      <c r="X248" s="317"/>
      <c r="Y248" s="316">
        <f>P!T250</f>
        <v>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>
        <v>1</v>
      </c>
      <c r="E249" s="243">
        <v>0</v>
      </c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880</v>
      </c>
      <c r="G250" s="289">
        <f t="shared" si="18"/>
        <v>880</v>
      </c>
      <c r="H250" s="311"/>
      <c r="I250" s="316">
        <f>P!D252</f>
        <v>130</v>
      </c>
      <c r="J250" s="317"/>
      <c r="K250" s="316">
        <f>P!F252</f>
        <v>160</v>
      </c>
      <c r="L250" s="317"/>
      <c r="M250" s="316">
        <f>P!H252</f>
        <v>180</v>
      </c>
      <c r="N250" s="317"/>
      <c r="O250" s="316">
        <f>P!J252</f>
        <v>100</v>
      </c>
      <c r="P250" s="317"/>
      <c r="Q250" s="316">
        <f>P!L252</f>
        <v>80</v>
      </c>
      <c r="R250" s="317"/>
      <c r="S250" s="316">
        <f>P!N252</f>
        <v>40</v>
      </c>
      <c r="T250" s="317"/>
      <c r="U250" s="316">
        <f>P!P252</f>
        <v>0</v>
      </c>
      <c r="V250" s="317"/>
      <c r="W250" s="316">
        <f>P!R252</f>
        <v>50</v>
      </c>
      <c r="X250" s="317"/>
      <c r="Y250" s="316">
        <f>P!T252</f>
        <v>60</v>
      </c>
      <c r="Z250" s="317"/>
      <c r="AA250" s="316">
        <f>P!V252</f>
        <v>80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880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3940</v>
      </c>
      <c r="G251" s="289">
        <f t="shared" si="18"/>
        <v>3940</v>
      </c>
      <c r="H251" s="311"/>
      <c r="I251" s="316">
        <f>P!D253</f>
        <v>400</v>
      </c>
      <c r="J251" s="317"/>
      <c r="K251" s="316">
        <f>P!F253</f>
        <v>470</v>
      </c>
      <c r="L251" s="317"/>
      <c r="M251" s="316">
        <f>P!H253</f>
        <v>500</v>
      </c>
      <c r="N251" s="317"/>
      <c r="O251" s="316">
        <f>P!J253</f>
        <v>500</v>
      </c>
      <c r="P251" s="317"/>
      <c r="Q251" s="316">
        <f>P!L253</f>
        <v>630</v>
      </c>
      <c r="R251" s="317"/>
      <c r="S251" s="316">
        <f>P!N253</f>
        <v>550</v>
      </c>
      <c r="T251" s="317"/>
      <c r="U251" s="316">
        <f>P!P253</f>
        <v>100</v>
      </c>
      <c r="V251" s="317"/>
      <c r="W251" s="316">
        <f>P!R253</f>
        <v>370</v>
      </c>
      <c r="X251" s="317"/>
      <c r="Y251" s="316">
        <f>P!T253</f>
        <v>160</v>
      </c>
      <c r="Z251" s="317"/>
      <c r="AA251" s="316">
        <f>P!V253</f>
        <v>260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3940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31400</v>
      </c>
      <c r="G252" s="289">
        <f t="shared" si="18"/>
        <v>31400</v>
      </c>
      <c r="H252" s="311"/>
      <c r="I252" s="316">
        <f>P!D254</f>
        <v>1200</v>
      </c>
      <c r="J252" s="317"/>
      <c r="K252" s="316">
        <f>P!F254</f>
        <v>3800</v>
      </c>
      <c r="L252" s="317"/>
      <c r="M252" s="316">
        <f>P!H254</f>
        <v>4200</v>
      </c>
      <c r="N252" s="317"/>
      <c r="O252" s="316">
        <f>P!J254</f>
        <v>5400</v>
      </c>
      <c r="P252" s="317"/>
      <c r="Q252" s="316">
        <f>P!L254</f>
        <v>4200</v>
      </c>
      <c r="R252" s="317"/>
      <c r="S252" s="316">
        <f>P!N254</f>
        <v>3800</v>
      </c>
      <c r="T252" s="317"/>
      <c r="U252" s="316">
        <f>P!P254</f>
        <v>1400</v>
      </c>
      <c r="V252" s="317"/>
      <c r="W252" s="316">
        <f>P!R254</f>
        <v>2000</v>
      </c>
      <c r="X252" s="317"/>
      <c r="Y252" s="316">
        <f>P!T254</f>
        <v>2200</v>
      </c>
      <c r="Z252" s="304"/>
      <c r="AA252" s="316">
        <f>P!V254</f>
        <v>3200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31400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F1:F2"/>
    <mergeCell ref="A1:A2"/>
    <mergeCell ref="B1:B2"/>
    <mergeCell ref="C1:C2"/>
    <mergeCell ref="D1:D2"/>
    <mergeCell ref="E1:E2"/>
    <mergeCell ref="G1:G2"/>
    <mergeCell ref="AO1:AO2"/>
    <mergeCell ref="AP1:AP2"/>
    <mergeCell ref="AN1:AN2"/>
    <mergeCell ref="AQ1:AQ2"/>
  </mergeCells>
  <conditionalFormatting sqref="G8:G252 AN8:AP252">
    <cfRule type="cellIs" dxfId="491" priority="723" operator="lessThan">
      <formula>0</formula>
    </cfRule>
  </conditionalFormatting>
  <conditionalFormatting sqref="AN3:AP252">
    <cfRule type="cellIs" dxfId="490" priority="736" operator="lessThan">
      <formula>0</formula>
    </cfRule>
  </conditionalFormatting>
  <conditionalFormatting sqref="AQ3:AQ252">
    <cfRule type="cellIs" dxfId="489" priority="739" operator="equal">
      <formula>"NZ"</formula>
    </cfRule>
    <cfRule type="cellIs" dxfId="488" priority="740" operator="equal">
      <formula>"OK"</formula>
    </cfRule>
  </conditionalFormatting>
  <conditionalFormatting sqref="AS2">
    <cfRule type="cellIs" dxfId="487" priority="719" operator="lessThan">
      <formula>0</formula>
    </cfRule>
  </conditionalFormatting>
  <conditionalFormatting sqref="AS2">
    <cfRule type="cellIs" dxfId="486" priority="720" operator="lessThan">
      <formula>0</formula>
    </cfRule>
  </conditionalFormatting>
  <conditionalFormatting sqref="H243:H244 H177:H213">
    <cfRule type="cellIs" dxfId="485" priority="680" operator="lessThan">
      <formula>0</formula>
    </cfRule>
  </conditionalFormatting>
  <conditionalFormatting sqref="H247:H252">
    <cfRule type="cellIs" dxfId="484" priority="519" operator="lessThan">
      <formula>0</formula>
    </cfRule>
  </conditionalFormatting>
  <conditionalFormatting sqref="J8:K37 J41:K88 J116:K122 J112:J115 J38:J40 J123 J90:K111 J89">
    <cfRule type="cellIs" dxfId="483" priority="515" operator="lessThan">
      <formula>0</formula>
    </cfRule>
  </conditionalFormatting>
  <conditionalFormatting sqref="H8:I123">
    <cfRule type="cellIs" dxfId="482" priority="513" operator="lessThan">
      <formula>0</formula>
    </cfRule>
  </conditionalFormatting>
  <conditionalFormatting sqref="H229">
    <cfRule type="cellIs" dxfId="481" priority="501" operator="lessThan">
      <formula>0</formula>
    </cfRule>
  </conditionalFormatting>
  <conditionalFormatting sqref="H138:H176">
    <cfRule type="cellIs" dxfId="480" priority="473" operator="lessThan">
      <formula>0</formula>
    </cfRule>
  </conditionalFormatting>
  <conditionalFormatting sqref="H214:H228">
    <cfRule type="cellIs" dxfId="479" priority="467" operator="lessThan">
      <formula>0</formula>
    </cfRule>
  </conditionalFormatting>
  <conditionalFormatting sqref="H230:H242">
    <cfRule type="cellIs" dxfId="478" priority="460" operator="lessThan">
      <formula>0</formula>
    </cfRule>
  </conditionalFormatting>
  <conditionalFormatting sqref="H245:H246">
    <cfRule type="cellIs" dxfId="477" priority="454" operator="lessThan">
      <formula>0</formula>
    </cfRule>
  </conditionalFormatting>
  <conditionalFormatting sqref="AD39 AF39 AH39 AJ39">
    <cfRule type="cellIs" dxfId="476" priority="439" operator="lessThan">
      <formula>0</formula>
    </cfRule>
  </conditionalFormatting>
  <conditionalFormatting sqref="AD40 AF40 AH40 AJ40">
    <cfRule type="cellIs" dxfId="475" priority="428" operator="lessThan">
      <formula>0</formula>
    </cfRule>
  </conditionalFormatting>
  <conditionalFormatting sqref="AD112:AK112">
    <cfRule type="cellIs" dxfId="474" priority="417" operator="lessThan">
      <formula>0</formula>
    </cfRule>
  </conditionalFormatting>
  <conditionalFormatting sqref="AM112">
    <cfRule type="cellIs" dxfId="473" priority="416" operator="lessThan">
      <formula>0</formula>
    </cfRule>
  </conditionalFormatting>
  <conditionalFormatting sqref="S113">
    <cfRule type="cellIs" dxfId="472" priority="411" operator="lessThan">
      <formula>0</formula>
    </cfRule>
  </conditionalFormatting>
  <conditionalFormatting sqref="U113">
    <cfRule type="cellIs" dxfId="471" priority="410" operator="lessThan">
      <formula>0</formula>
    </cfRule>
  </conditionalFormatting>
  <conditionalFormatting sqref="W113">
    <cfRule type="cellIs" dxfId="470" priority="409" operator="lessThan">
      <formula>0</formula>
    </cfRule>
  </conditionalFormatting>
  <conditionalFormatting sqref="Y113">
    <cfRule type="cellIs" dxfId="469" priority="408" operator="lessThan">
      <formula>0</formula>
    </cfRule>
  </conditionalFormatting>
  <conditionalFormatting sqref="AA113">
    <cfRule type="cellIs" dxfId="468" priority="407" operator="lessThan">
      <formula>0</formula>
    </cfRule>
  </conditionalFormatting>
  <conditionalFormatting sqref="AC113:AK113">
    <cfRule type="cellIs" dxfId="467" priority="406" operator="lessThan">
      <formula>0</formula>
    </cfRule>
  </conditionalFormatting>
  <conditionalFormatting sqref="AM113">
    <cfRule type="cellIs" dxfId="466" priority="405" operator="lessThan">
      <formula>0</formula>
    </cfRule>
  </conditionalFormatting>
  <conditionalFormatting sqref="K114">
    <cfRule type="cellIs" dxfId="465" priority="404" operator="lessThan">
      <formula>0</formula>
    </cfRule>
  </conditionalFormatting>
  <conditionalFormatting sqref="O114">
    <cfRule type="cellIs" dxfId="464" priority="403" operator="lessThan">
      <formula>0</formula>
    </cfRule>
  </conditionalFormatting>
  <conditionalFormatting sqref="M114">
    <cfRule type="cellIs" dxfId="463" priority="402" operator="lessThan">
      <formula>0</formula>
    </cfRule>
  </conditionalFormatting>
  <conditionalFormatting sqref="Q114">
    <cfRule type="cellIs" dxfId="462" priority="401" operator="lessThan">
      <formula>0</formula>
    </cfRule>
  </conditionalFormatting>
  <conditionalFormatting sqref="S114">
    <cfRule type="cellIs" dxfId="461" priority="400" operator="lessThan">
      <formula>0</formula>
    </cfRule>
  </conditionalFormatting>
  <conditionalFormatting sqref="U114">
    <cfRule type="cellIs" dxfId="460" priority="399" operator="lessThan">
      <formula>0</formula>
    </cfRule>
  </conditionalFormatting>
  <conditionalFormatting sqref="W114">
    <cfRule type="cellIs" dxfId="459" priority="398" operator="lessThan">
      <formula>0</formula>
    </cfRule>
  </conditionalFormatting>
  <conditionalFormatting sqref="AM114">
    <cfRule type="cellIs" dxfId="458" priority="397" operator="lessThan">
      <formula>0</formula>
    </cfRule>
  </conditionalFormatting>
  <conditionalFormatting sqref="AC114:AK114">
    <cfRule type="cellIs" dxfId="457" priority="396" operator="lessThan">
      <formula>0</formula>
    </cfRule>
  </conditionalFormatting>
  <conditionalFormatting sqref="AA114">
    <cfRule type="cellIs" dxfId="456" priority="395" operator="lessThan">
      <formula>0</formula>
    </cfRule>
  </conditionalFormatting>
  <conditionalFormatting sqref="Y114">
    <cfRule type="cellIs" dxfId="455" priority="394" operator="lessThan">
      <formula>0</formula>
    </cfRule>
  </conditionalFormatting>
  <conditionalFormatting sqref="K115">
    <cfRule type="cellIs" dxfId="454" priority="383" operator="lessThan">
      <formula>0</formula>
    </cfRule>
  </conditionalFormatting>
  <conditionalFormatting sqref="M115">
    <cfRule type="cellIs" dxfId="453" priority="382" operator="lessThan">
      <formula>0</formula>
    </cfRule>
  </conditionalFormatting>
  <conditionalFormatting sqref="O115">
    <cfRule type="cellIs" dxfId="452" priority="381" operator="lessThan">
      <formula>0</formula>
    </cfRule>
  </conditionalFormatting>
  <conditionalFormatting sqref="Q115">
    <cfRule type="cellIs" dxfId="451" priority="380" operator="lessThan">
      <formula>0</formula>
    </cfRule>
  </conditionalFormatting>
  <conditionalFormatting sqref="S115">
    <cfRule type="cellIs" dxfId="450" priority="379" operator="lessThan">
      <formula>0</formula>
    </cfRule>
  </conditionalFormatting>
  <conditionalFormatting sqref="U115">
    <cfRule type="cellIs" dxfId="449" priority="378" operator="lessThan">
      <formula>0</formula>
    </cfRule>
  </conditionalFormatting>
  <conditionalFormatting sqref="W115">
    <cfRule type="cellIs" dxfId="448" priority="377" operator="lessThan">
      <formula>0</formula>
    </cfRule>
  </conditionalFormatting>
  <conditionalFormatting sqref="Y115">
    <cfRule type="cellIs" dxfId="447" priority="376" operator="lessThan">
      <formula>0</formula>
    </cfRule>
  </conditionalFormatting>
  <conditionalFormatting sqref="AA115">
    <cfRule type="cellIs" dxfId="446" priority="375" operator="lessThan">
      <formula>0</formula>
    </cfRule>
  </conditionalFormatting>
  <conditionalFormatting sqref="AC115:AK115">
    <cfRule type="cellIs" dxfId="445" priority="374" operator="lessThan">
      <formula>0</formula>
    </cfRule>
  </conditionalFormatting>
  <conditionalFormatting sqref="AM115">
    <cfRule type="cellIs" dxfId="444" priority="373" operator="lessThan">
      <formula>0</formula>
    </cfRule>
  </conditionalFormatting>
  <conditionalFormatting sqref="K39:K40">
    <cfRule type="cellIs" dxfId="443" priority="372" operator="lessThan">
      <formula>0</formula>
    </cfRule>
  </conditionalFormatting>
  <conditionalFormatting sqref="M39:M40">
    <cfRule type="cellIs" dxfId="442" priority="371" operator="lessThan">
      <formula>0</formula>
    </cfRule>
  </conditionalFormatting>
  <conditionalFormatting sqref="O39:O40">
    <cfRule type="cellIs" dxfId="441" priority="370" operator="lessThan">
      <formula>0</formula>
    </cfRule>
  </conditionalFormatting>
  <conditionalFormatting sqref="Q39:Q40">
    <cfRule type="cellIs" dxfId="440" priority="369" operator="lessThan">
      <formula>0</formula>
    </cfRule>
  </conditionalFormatting>
  <conditionalFormatting sqref="S39:S40">
    <cfRule type="cellIs" dxfId="439" priority="368" operator="lessThan">
      <formula>0</formula>
    </cfRule>
  </conditionalFormatting>
  <conditionalFormatting sqref="U39:U40">
    <cfRule type="cellIs" dxfId="438" priority="367" operator="lessThan">
      <formula>0</formula>
    </cfRule>
  </conditionalFormatting>
  <conditionalFormatting sqref="W39:W40">
    <cfRule type="cellIs" dxfId="437" priority="366" operator="lessThan">
      <formula>0</formula>
    </cfRule>
  </conditionalFormatting>
  <conditionalFormatting sqref="Y39:Y40">
    <cfRule type="cellIs" dxfId="436" priority="365" operator="lessThan">
      <formula>0</formula>
    </cfRule>
  </conditionalFormatting>
  <conditionalFormatting sqref="AA39:AA40">
    <cfRule type="cellIs" dxfId="435" priority="364" operator="lessThan">
      <formula>0</formula>
    </cfRule>
  </conditionalFormatting>
  <conditionalFormatting sqref="AC39:AC40">
    <cfRule type="cellIs" dxfId="434" priority="363" operator="lessThan">
      <formula>0</formula>
    </cfRule>
  </conditionalFormatting>
  <conditionalFormatting sqref="AE39:AE40">
    <cfRule type="cellIs" dxfId="433" priority="362" operator="lessThan">
      <formula>0</formula>
    </cfRule>
  </conditionalFormatting>
  <conditionalFormatting sqref="AG39:AG40">
    <cfRule type="cellIs" dxfId="432" priority="361" operator="lessThan">
      <formula>0</formula>
    </cfRule>
  </conditionalFormatting>
  <conditionalFormatting sqref="AI39:AI40">
    <cfRule type="cellIs" dxfId="431" priority="360" operator="lessThan">
      <formula>0</formula>
    </cfRule>
  </conditionalFormatting>
  <conditionalFormatting sqref="AK39:AK40">
    <cfRule type="cellIs" dxfId="430" priority="359" operator="lessThan">
      <formula>0</formula>
    </cfRule>
  </conditionalFormatting>
  <conditionalFormatting sqref="AM39:AM40">
    <cfRule type="cellIs" dxfId="429" priority="358" operator="lessThan">
      <formula>0</formula>
    </cfRule>
  </conditionalFormatting>
  <conditionalFormatting sqref="I124:I137">
    <cfRule type="cellIs" dxfId="428" priority="357" operator="lessThan">
      <formula>0</formula>
    </cfRule>
  </conditionalFormatting>
  <conditionalFormatting sqref="K124:K137">
    <cfRule type="cellIs" dxfId="427" priority="356" operator="lessThan">
      <formula>0</formula>
    </cfRule>
  </conditionalFormatting>
  <conditionalFormatting sqref="M124:M137">
    <cfRule type="cellIs" dxfId="426" priority="355" operator="lessThan">
      <formula>0</formula>
    </cfRule>
  </conditionalFormatting>
  <conditionalFormatting sqref="O124:O137">
    <cfRule type="cellIs" dxfId="425" priority="354" operator="lessThan">
      <formula>0</formula>
    </cfRule>
  </conditionalFormatting>
  <conditionalFormatting sqref="Q124:Q137">
    <cfRule type="cellIs" dxfId="424" priority="353" operator="lessThan">
      <formula>0</formula>
    </cfRule>
  </conditionalFormatting>
  <conditionalFormatting sqref="S124:S137">
    <cfRule type="cellIs" dxfId="423" priority="352" operator="lessThan">
      <formula>0</formula>
    </cfRule>
  </conditionalFormatting>
  <conditionalFormatting sqref="U124:U137">
    <cfRule type="cellIs" dxfId="422" priority="351" operator="lessThan">
      <formula>0</formula>
    </cfRule>
  </conditionalFormatting>
  <conditionalFormatting sqref="W124:W137">
    <cfRule type="cellIs" dxfId="421" priority="350" operator="lessThan">
      <formula>0</formula>
    </cfRule>
  </conditionalFormatting>
  <conditionalFormatting sqref="Y124:Y137">
    <cfRule type="cellIs" dxfId="420" priority="349" operator="lessThan">
      <formula>0</formula>
    </cfRule>
  </conditionalFormatting>
  <conditionalFormatting sqref="AA124:AA137">
    <cfRule type="cellIs" dxfId="419" priority="348" operator="lessThan">
      <formula>0</formula>
    </cfRule>
  </conditionalFormatting>
  <conditionalFormatting sqref="AC124:AC137">
    <cfRule type="cellIs" dxfId="418" priority="347" operator="lessThan">
      <formula>0</formula>
    </cfRule>
  </conditionalFormatting>
  <conditionalFormatting sqref="AE124:AE137">
    <cfRule type="cellIs" dxfId="417" priority="346" operator="lessThan">
      <formula>0</formula>
    </cfRule>
  </conditionalFormatting>
  <conditionalFormatting sqref="AG124:AG137">
    <cfRule type="cellIs" dxfId="416" priority="345" operator="lessThan">
      <formula>0</formula>
    </cfRule>
  </conditionalFormatting>
  <conditionalFormatting sqref="AI124:AI137">
    <cfRule type="cellIs" dxfId="415" priority="344" operator="lessThan">
      <formula>0</formula>
    </cfRule>
  </conditionalFormatting>
  <conditionalFormatting sqref="AK124:AK137">
    <cfRule type="cellIs" dxfId="414" priority="343" operator="lessThan">
      <formula>0</formula>
    </cfRule>
  </conditionalFormatting>
  <conditionalFormatting sqref="AM124:AM137">
    <cfRule type="cellIs" dxfId="413" priority="342" operator="lessThan">
      <formula>0</formula>
    </cfRule>
  </conditionalFormatting>
  <conditionalFormatting sqref="I177:I213">
    <cfRule type="cellIs" dxfId="412" priority="341" operator="lessThan">
      <formula>0</formula>
    </cfRule>
  </conditionalFormatting>
  <conditionalFormatting sqref="K177:K213">
    <cfRule type="cellIs" dxfId="411" priority="340" operator="lessThan">
      <formula>0</formula>
    </cfRule>
  </conditionalFormatting>
  <conditionalFormatting sqref="M177:M213">
    <cfRule type="cellIs" dxfId="410" priority="339" operator="lessThan">
      <formula>0</formula>
    </cfRule>
  </conditionalFormatting>
  <conditionalFormatting sqref="O177:O213">
    <cfRule type="cellIs" dxfId="409" priority="338" operator="lessThan">
      <formula>0</formula>
    </cfRule>
  </conditionalFormatting>
  <conditionalFormatting sqref="Q177:Q213">
    <cfRule type="cellIs" dxfId="408" priority="337" operator="lessThan">
      <formula>0</formula>
    </cfRule>
  </conditionalFormatting>
  <conditionalFormatting sqref="S177:S213">
    <cfRule type="cellIs" dxfId="407" priority="336" operator="lessThan">
      <formula>0</formula>
    </cfRule>
  </conditionalFormatting>
  <conditionalFormatting sqref="U177:U213">
    <cfRule type="cellIs" dxfId="406" priority="335" operator="lessThan">
      <formula>0</formula>
    </cfRule>
  </conditionalFormatting>
  <conditionalFormatting sqref="W177:W213">
    <cfRule type="cellIs" dxfId="405" priority="334" operator="lessThan">
      <formula>0</formula>
    </cfRule>
  </conditionalFormatting>
  <conditionalFormatting sqref="Y177:Y213">
    <cfRule type="cellIs" dxfId="404" priority="333" operator="lessThan">
      <formula>0</formula>
    </cfRule>
  </conditionalFormatting>
  <conditionalFormatting sqref="AA177:AA213">
    <cfRule type="cellIs" dxfId="403" priority="332" operator="lessThan">
      <formula>0</formula>
    </cfRule>
  </conditionalFormatting>
  <conditionalFormatting sqref="AC177:AC213">
    <cfRule type="cellIs" dxfId="402" priority="331" operator="lessThan">
      <formula>0</formula>
    </cfRule>
  </conditionalFormatting>
  <conditionalFormatting sqref="AE177:AE213">
    <cfRule type="cellIs" dxfId="401" priority="330" operator="lessThan">
      <formula>0</formula>
    </cfRule>
  </conditionalFormatting>
  <conditionalFormatting sqref="AG177:AG213">
    <cfRule type="cellIs" dxfId="400" priority="329" operator="lessThan">
      <formula>0</formula>
    </cfRule>
  </conditionalFormatting>
  <conditionalFormatting sqref="AI177:AI213">
    <cfRule type="cellIs" dxfId="399" priority="328" operator="lessThan">
      <formula>0</formula>
    </cfRule>
  </conditionalFormatting>
  <conditionalFormatting sqref="AK177:AK213">
    <cfRule type="cellIs" dxfId="398" priority="327" operator="lessThan">
      <formula>0</formula>
    </cfRule>
  </conditionalFormatting>
  <conditionalFormatting sqref="AM177:AM213">
    <cfRule type="cellIs" dxfId="397" priority="326" operator="lessThan">
      <formula>0</formula>
    </cfRule>
  </conditionalFormatting>
  <conditionalFormatting sqref="I228:I229">
    <cfRule type="cellIs" dxfId="396" priority="325" operator="lessThan">
      <formula>0</formula>
    </cfRule>
  </conditionalFormatting>
  <conditionalFormatting sqref="K228:K229">
    <cfRule type="cellIs" dxfId="395" priority="324" operator="lessThan">
      <formula>0</formula>
    </cfRule>
  </conditionalFormatting>
  <conditionalFormatting sqref="M228:M229">
    <cfRule type="cellIs" dxfId="394" priority="323" operator="lessThan">
      <formula>0</formula>
    </cfRule>
  </conditionalFormatting>
  <conditionalFormatting sqref="O228:O229">
    <cfRule type="cellIs" dxfId="393" priority="322" operator="lessThan">
      <formula>0</formula>
    </cfRule>
  </conditionalFormatting>
  <conditionalFormatting sqref="Q228:Q229">
    <cfRule type="cellIs" dxfId="392" priority="321" operator="lessThan">
      <formula>0</formula>
    </cfRule>
  </conditionalFormatting>
  <conditionalFormatting sqref="S228:S229">
    <cfRule type="cellIs" dxfId="391" priority="320" operator="lessThan">
      <formula>0</formula>
    </cfRule>
  </conditionalFormatting>
  <conditionalFormatting sqref="U228:U229">
    <cfRule type="cellIs" dxfId="390" priority="319" operator="lessThan">
      <formula>0</formula>
    </cfRule>
  </conditionalFormatting>
  <conditionalFormatting sqref="W228:W229">
    <cfRule type="cellIs" dxfId="389" priority="318" operator="lessThan">
      <formula>0</formula>
    </cfRule>
  </conditionalFormatting>
  <conditionalFormatting sqref="Y228:Y229">
    <cfRule type="cellIs" dxfId="388" priority="317" operator="lessThan">
      <formula>0</formula>
    </cfRule>
  </conditionalFormatting>
  <conditionalFormatting sqref="AA228:AA229">
    <cfRule type="cellIs" dxfId="387" priority="316" operator="lessThan">
      <formula>0</formula>
    </cfRule>
  </conditionalFormatting>
  <conditionalFormatting sqref="AC228:AC229">
    <cfRule type="cellIs" dxfId="386" priority="315" operator="lessThan">
      <formula>0</formula>
    </cfRule>
  </conditionalFormatting>
  <conditionalFormatting sqref="AE228:AE229">
    <cfRule type="cellIs" dxfId="385" priority="314" operator="lessThan">
      <formula>0</formula>
    </cfRule>
  </conditionalFormatting>
  <conditionalFormatting sqref="AG228:AG229">
    <cfRule type="cellIs" dxfId="384" priority="313" operator="lessThan">
      <formula>0</formula>
    </cfRule>
  </conditionalFormatting>
  <conditionalFormatting sqref="AI228:AI229">
    <cfRule type="cellIs" dxfId="383" priority="312" operator="lessThan">
      <formula>0</formula>
    </cfRule>
  </conditionalFormatting>
  <conditionalFormatting sqref="AK228:AK229">
    <cfRule type="cellIs" dxfId="382" priority="311" operator="lessThan">
      <formula>0</formula>
    </cfRule>
  </conditionalFormatting>
  <conditionalFormatting sqref="AM228:AM229">
    <cfRule type="cellIs" dxfId="381" priority="310" operator="lessThan">
      <formula>0</formula>
    </cfRule>
  </conditionalFormatting>
  <conditionalFormatting sqref="I243">
    <cfRule type="cellIs" dxfId="380" priority="309" operator="lessThan">
      <formula>0</formula>
    </cfRule>
  </conditionalFormatting>
  <conditionalFormatting sqref="K243">
    <cfRule type="cellIs" dxfId="379" priority="308" operator="lessThan">
      <formula>0</formula>
    </cfRule>
  </conditionalFormatting>
  <conditionalFormatting sqref="M243">
    <cfRule type="cellIs" dxfId="378" priority="307" operator="lessThan">
      <formula>0</formula>
    </cfRule>
  </conditionalFormatting>
  <conditionalFormatting sqref="O243">
    <cfRule type="cellIs" dxfId="377" priority="306" operator="lessThan">
      <formula>0</formula>
    </cfRule>
  </conditionalFormatting>
  <conditionalFormatting sqref="Q243">
    <cfRule type="cellIs" dxfId="376" priority="305" operator="lessThan">
      <formula>0</formula>
    </cfRule>
  </conditionalFormatting>
  <conditionalFormatting sqref="S243">
    <cfRule type="cellIs" dxfId="375" priority="304" operator="lessThan">
      <formula>0</formula>
    </cfRule>
  </conditionalFormatting>
  <conditionalFormatting sqref="U243">
    <cfRule type="cellIs" dxfId="374" priority="303" operator="lessThan">
      <formula>0</formula>
    </cfRule>
  </conditionalFormatting>
  <conditionalFormatting sqref="W243">
    <cfRule type="cellIs" dxfId="373" priority="302" operator="lessThan">
      <formula>0</formula>
    </cfRule>
  </conditionalFormatting>
  <conditionalFormatting sqref="Y243">
    <cfRule type="cellIs" dxfId="372" priority="301" operator="lessThan">
      <formula>0</formula>
    </cfRule>
  </conditionalFormatting>
  <conditionalFormatting sqref="AA243">
    <cfRule type="cellIs" dxfId="371" priority="300" operator="lessThan">
      <formula>0</formula>
    </cfRule>
  </conditionalFormatting>
  <conditionalFormatting sqref="AC243">
    <cfRule type="cellIs" dxfId="370" priority="299" operator="lessThan">
      <formula>0</formula>
    </cfRule>
  </conditionalFormatting>
  <conditionalFormatting sqref="AE243">
    <cfRule type="cellIs" dxfId="369" priority="298" operator="lessThan">
      <formula>0</formula>
    </cfRule>
  </conditionalFormatting>
  <conditionalFormatting sqref="AG243">
    <cfRule type="cellIs" dxfId="368" priority="297" operator="lessThan">
      <formula>0</formula>
    </cfRule>
  </conditionalFormatting>
  <conditionalFormatting sqref="AI243">
    <cfRule type="cellIs" dxfId="367" priority="296" operator="lessThan">
      <formula>0</formula>
    </cfRule>
  </conditionalFormatting>
  <conditionalFormatting sqref="AK243">
    <cfRule type="cellIs" dxfId="366" priority="295" operator="lessThan">
      <formula>0</formula>
    </cfRule>
  </conditionalFormatting>
  <conditionalFormatting sqref="AM243">
    <cfRule type="cellIs" dxfId="365" priority="294" operator="lessThan">
      <formula>0</formula>
    </cfRule>
  </conditionalFormatting>
  <conditionalFormatting sqref="I244">
    <cfRule type="cellIs" dxfId="364" priority="293" operator="lessThan">
      <formula>0</formula>
    </cfRule>
  </conditionalFormatting>
  <conditionalFormatting sqref="K244">
    <cfRule type="cellIs" dxfId="363" priority="292" operator="lessThan">
      <formula>0</formula>
    </cfRule>
  </conditionalFormatting>
  <conditionalFormatting sqref="M244">
    <cfRule type="cellIs" dxfId="362" priority="291" operator="lessThan">
      <formula>0</formula>
    </cfRule>
  </conditionalFormatting>
  <conditionalFormatting sqref="O244">
    <cfRule type="cellIs" dxfId="361" priority="290" operator="lessThan">
      <formula>0</formula>
    </cfRule>
  </conditionalFormatting>
  <conditionalFormatting sqref="Q244">
    <cfRule type="cellIs" dxfId="360" priority="289" operator="lessThan">
      <formula>0</formula>
    </cfRule>
  </conditionalFormatting>
  <conditionalFormatting sqref="S244">
    <cfRule type="cellIs" dxfId="359" priority="288" operator="lessThan">
      <formula>0</formula>
    </cfRule>
  </conditionalFormatting>
  <conditionalFormatting sqref="U244">
    <cfRule type="cellIs" dxfId="358" priority="287" operator="lessThan">
      <formula>0</formula>
    </cfRule>
  </conditionalFormatting>
  <conditionalFormatting sqref="W244">
    <cfRule type="cellIs" dxfId="357" priority="286" operator="lessThan">
      <formula>0</formula>
    </cfRule>
  </conditionalFormatting>
  <conditionalFormatting sqref="Y244">
    <cfRule type="cellIs" dxfId="356" priority="285" operator="lessThan">
      <formula>0</formula>
    </cfRule>
  </conditionalFormatting>
  <conditionalFormatting sqref="AA244">
    <cfRule type="cellIs" dxfId="355" priority="284" operator="lessThan">
      <formula>0</formula>
    </cfRule>
  </conditionalFormatting>
  <conditionalFormatting sqref="AC244">
    <cfRule type="cellIs" dxfId="354" priority="283" operator="lessThan">
      <formula>0</formula>
    </cfRule>
  </conditionalFormatting>
  <conditionalFormatting sqref="AE244">
    <cfRule type="cellIs" dxfId="353" priority="282" operator="lessThan">
      <formula>0</formula>
    </cfRule>
  </conditionalFormatting>
  <conditionalFormatting sqref="AG244">
    <cfRule type="cellIs" dxfId="352" priority="281" operator="lessThan">
      <formula>0</formula>
    </cfRule>
  </conditionalFormatting>
  <conditionalFormatting sqref="AI244">
    <cfRule type="cellIs" dxfId="351" priority="280" operator="lessThan">
      <formula>0</formula>
    </cfRule>
  </conditionalFormatting>
  <conditionalFormatting sqref="AK244">
    <cfRule type="cellIs" dxfId="350" priority="279" operator="lessThan">
      <formula>0</formula>
    </cfRule>
  </conditionalFormatting>
  <conditionalFormatting sqref="AM244">
    <cfRule type="cellIs" dxfId="349" priority="278" operator="lessThan">
      <formula>0</formula>
    </cfRule>
  </conditionalFormatting>
  <conditionalFormatting sqref="I246:I252">
    <cfRule type="cellIs" dxfId="348" priority="277" operator="lessThan">
      <formula>0</formula>
    </cfRule>
  </conditionalFormatting>
  <conditionalFormatting sqref="K246:K252">
    <cfRule type="cellIs" dxfId="347" priority="276" operator="lessThan">
      <formula>0</formula>
    </cfRule>
  </conditionalFormatting>
  <conditionalFormatting sqref="M246:M252">
    <cfRule type="cellIs" dxfId="346" priority="275" operator="lessThan">
      <formula>0</formula>
    </cfRule>
  </conditionalFormatting>
  <conditionalFormatting sqref="O246:O252">
    <cfRule type="cellIs" dxfId="345" priority="274" operator="lessThan">
      <formula>0</formula>
    </cfRule>
  </conditionalFormatting>
  <conditionalFormatting sqref="Q246:Q252">
    <cfRule type="cellIs" dxfId="344" priority="273" operator="lessThan">
      <formula>0</formula>
    </cfRule>
  </conditionalFormatting>
  <conditionalFormatting sqref="S246:S252">
    <cfRule type="cellIs" dxfId="343" priority="272" operator="lessThan">
      <formula>0</formula>
    </cfRule>
  </conditionalFormatting>
  <conditionalFormatting sqref="U246:U252">
    <cfRule type="cellIs" dxfId="342" priority="271" operator="lessThan">
      <formula>0</formula>
    </cfRule>
  </conditionalFormatting>
  <conditionalFormatting sqref="W246:W252">
    <cfRule type="cellIs" dxfId="341" priority="270" operator="lessThan">
      <formula>0</formula>
    </cfRule>
  </conditionalFormatting>
  <conditionalFormatting sqref="Y246:Y252">
    <cfRule type="cellIs" dxfId="340" priority="269" operator="lessThan">
      <formula>0</formula>
    </cfRule>
  </conditionalFormatting>
  <conditionalFormatting sqref="AA246:AA252">
    <cfRule type="cellIs" dxfId="339" priority="268" operator="lessThan">
      <formula>0</formula>
    </cfRule>
  </conditionalFormatting>
  <conditionalFormatting sqref="AC246:AC252">
    <cfRule type="cellIs" dxfId="338" priority="267" operator="lessThan">
      <formula>0</formula>
    </cfRule>
  </conditionalFormatting>
  <conditionalFormatting sqref="AE246:AE252">
    <cfRule type="cellIs" dxfId="337" priority="266" operator="lessThan">
      <formula>0</formula>
    </cfRule>
  </conditionalFormatting>
  <conditionalFormatting sqref="AG246:AG252">
    <cfRule type="cellIs" dxfId="336" priority="265" operator="lessThan">
      <formula>0</formula>
    </cfRule>
  </conditionalFormatting>
  <conditionalFormatting sqref="AI246:AI252">
    <cfRule type="cellIs" dxfId="335" priority="264" operator="lessThan">
      <formula>0</formula>
    </cfRule>
  </conditionalFormatting>
  <conditionalFormatting sqref="AK246:AK252">
    <cfRule type="cellIs" dxfId="334" priority="263" operator="lessThan">
      <formula>0</formula>
    </cfRule>
  </conditionalFormatting>
  <conditionalFormatting sqref="AM246:AM252">
    <cfRule type="cellIs" dxfId="333" priority="262" operator="lessThan">
      <formula>0</formula>
    </cfRule>
  </conditionalFormatting>
  <conditionalFormatting sqref="I141">
    <cfRule type="cellIs" dxfId="332" priority="225" operator="lessThan">
      <formula>0</formula>
    </cfRule>
  </conditionalFormatting>
  <conditionalFormatting sqref="I152">
    <cfRule type="cellIs" dxfId="331" priority="211" operator="lessThan">
      <formula>0</formula>
    </cfRule>
  </conditionalFormatting>
  <conditionalFormatting sqref="K152">
    <cfRule type="cellIs" dxfId="330" priority="210" operator="lessThan">
      <formula>0</formula>
    </cfRule>
  </conditionalFormatting>
  <conditionalFormatting sqref="M152">
    <cfRule type="cellIs" dxfId="329" priority="209" operator="lessThan">
      <formula>0</formula>
    </cfRule>
  </conditionalFormatting>
  <conditionalFormatting sqref="O152">
    <cfRule type="cellIs" dxfId="328" priority="208" operator="lessThan">
      <formula>0</formula>
    </cfRule>
  </conditionalFormatting>
  <conditionalFormatting sqref="Q152">
    <cfRule type="cellIs" dxfId="327" priority="207" operator="lessThan">
      <formula>0</formula>
    </cfRule>
  </conditionalFormatting>
  <conditionalFormatting sqref="S152">
    <cfRule type="cellIs" dxfId="326" priority="206" operator="lessThan">
      <formula>0</formula>
    </cfRule>
  </conditionalFormatting>
  <conditionalFormatting sqref="U152">
    <cfRule type="cellIs" dxfId="325" priority="205" operator="lessThan">
      <formula>0</formula>
    </cfRule>
  </conditionalFormatting>
  <conditionalFormatting sqref="W152">
    <cfRule type="cellIs" dxfId="324" priority="204" operator="lessThan">
      <formula>0</formula>
    </cfRule>
  </conditionalFormatting>
  <conditionalFormatting sqref="I153">
    <cfRule type="cellIs" dxfId="323" priority="203" operator="lessThan">
      <formula>0</formula>
    </cfRule>
  </conditionalFormatting>
  <conditionalFormatting sqref="K153">
    <cfRule type="cellIs" dxfId="322" priority="202" operator="lessThan">
      <formula>0</formula>
    </cfRule>
  </conditionalFormatting>
  <conditionalFormatting sqref="M153">
    <cfRule type="cellIs" dxfId="321" priority="201" operator="lessThan">
      <formula>0</formula>
    </cfRule>
  </conditionalFormatting>
  <conditionalFormatting sqref="O153">
    <cfRule type="cellIs" dxfId="320" priority="200" operator="lessThan">
      <formula>0</formula>
    </cfRule>
  </conditionalFormatting>
  <conditionalFormatting sqref="Q153">
    <cfRule type="cellIs" dxfId="319" priority="199" operator="lessThan">
      <formula>0</formula>
    </cfRule>
  </conditionalFormatting>
  <conditionalFormatting sqref="S153">
    <cfRule type="cellIs" dxfId="318" priority="198" operator="lessThan">
      <formula>0</formula>
    </cfRule>
  </conditionalFormatting>
  <conditionalFormatting sqref="U153">
    <cfRule type="cellIs" dxfId="317" priority="197" operator="lessThan">
      <formula>0</formula>
    </cfRule>
  </conditionalFormatting>
  <conditionalFormatting sqref="W153">
    <cfRule type="cellIs" dxfId="316" priority="196" operator="lessThan">
      <formula>0</formula>
    </cfRule>
  </conditionalFormatting>
  <conditionalFormatting sqref="I167">
    <cfRule type="cellIs" dxfId="315" priority="195" operator="lessThan">
      <formula>0</formula>
    </cfRule>
  </conditionalFormatting>
  <conditionalFormatting sqref="K167">
    <cfRule type="cellIs" dxfId="314" priority="194" operator="lessThan">
      <formula>0</formula>
    </cfRule>
  </conditionalFormatting>
  <conditionalFormatting sqref="M167">
    <cfRule type="cellIs" dxfId="313" priority="193" operator="lessThan">
      <formula>0</formula>
    </cfRule>
  </conditionalFormatting>
  <conditionalFormatting sqref="O167">
    <cfRule type="cellIs" dxfId="312" priority="192" operator="lessThan">
      <formula>0</formula>
    </cfRule>
  </conditionalFormatting>
  <conditionalFormatting sqref="Q167">
    <cfRule type="cellIs" dxfId="311" priority="191" operator="lessThan">
      <formula>0</formula>
    </cfRule>
  </conditionalFormatting>
  <conditionalFormatting sqref="S167">
    <cfRule type="cellIs" dxfId="310" priority="190" operator="lessThan">
      <formula>0</formula>
    </cfRule>
  </conditionalFormatting>
  <conditionalFormatting sqref="U167">
    <cfRule type="cellIs" dxfId="309" priority="189" operator="lessThan">
      <formula>0</formula>
    </cfRule>
  </conditionalFormatting>
  <conditionalFormatting sqref="W167">
    <cfRule type="cellIs" dxfId="308" priority="188" operator="lessThan">
      <formula>0</formula>
    </cfRule>
  </conditionalFormatting>
  <conditionalFormatting sqref="I169">
    <cfRule type="cellIs" dxfId="307" priority="187" operator="lessThan">
      <formula>0</formula>
    </cfRule>
  </conditionalFormatting>
  <conditionalFormatting sqref="K169">
    <cfRule type="cellIs" dxfId="306" priority="186" operator="lessThan">
      <formula>0</formula>
    </cfRule>
  </conditionalFormatting>
  <conditionalFormatting sqref="M169">
    <cfRule type="cellIs" dxfId="305" priority="185" operator="lessThan">
      <formula>0</formula>
    </cfRule>
  </conditionalFormatting>
  <conditionalFormatting sqref="O169">
    <cfRule type="cellIs" dxfId="304" priority="184" operator="lessThan">
      <formula>0</formula>
    </cfRule>
  </conditionalFormatting>
  <conditionalFormatting sqref="Q169">
    <cfRule type="cellIs" dxfId="303" priority="183" operator="lessThan">
      <formula>0</formula>
    </cfRule>
  </conditionalFormatting>
  <conditionalFormatting sqref="S169">
    <cfRule type="cellIs" dxfId="302" priority="182" operator="lessThan">
      <formula>0</formula>
    </cfRule>
  </conditionalFormatting>
  <conditionalFormatting sqref="U169">
    <cfRule type="cellIs" dxfId="301" priority="181" operator="lessThan">
      <formula>0</formula>
    </cfRule>
  </conditionalFormatting>
  <conditionalFormatting sqref="W169">
    <cfRule type="cellIs" dxfId="300" priority="180" operator="lessThan">
      <formula>0</formula>
    </cfRule>
  </conditionalFormatting>
  <conditionalFormatting sqref="I173">
    <cfRule type="cellIs" dxfId="299" priority="179" operator="lessThan">
      <formula>0</formula>
    </cfRule>
  </conditionalFormatting>
  <conditionalFormatting sqref="K173">
    <cfRule type="cellIs" dxfId="298" priority="178" operator="lessThan">
      <formula>0</formula>
    </cfRule>
  </conditionalFormatting>
  <conditionalFormatting sqref="M173">
    <cfRule type="cellIs" dxfId="297" priority="177" operator="lessThan">
      <formula>0</formula>
    </cfRule>
  </conditionalFormatting>
  <conditionalFormatting sqref="O173">
    <cfRule type="cellIs" dxfId="296" priority="176" operator="lessThan">
      <formula>0</formula>
    </cfRule>
  </conditionalFormatting>
  <conditionalFormatting sqref="Q173">
    <cfRule type="cellIs" dxfId="295" priority="175" operator="lessThan">
      <formula>0</formula>
    </cfRule>
  </conditionalFormatting>
  <conditionalFormatting sqref="S173">
    <cfRule type="cellIs" dxfId="294" priority="174" operator="lessThan">
      <formula>0</formula>
    </cfRule>
  </conditionalFormatting>
  <conditionalFormatting sqref="U173">
    <cfRule type="cellIs" dxfId="293" priority="173" operator="lessThan">
      <formula>0</formula>
    </cfRule>
  </conditionalFormatting>
  <conditionalFormatting sqref="I233">
    <cfRule type="cellIs" dxfId="292" priority="172" operator="lessThan">
      <formula>0</formula>
    </cfRule>
  </conditionalFormatting>
  <conditionalFormatting sqref="J233">
    <cfRule type="cellIs" dxfId="291" priority="171" operator="lessThan">
      <formula>0</formula>
    </cfRule>
  </conditionalFormatting>
  <conditionalFormatting sqref="K233">
    <cfRule type="cellIs" dxfId="290" priority="169" operator="lessThan">
      <formula>0</formula>
    </cfRule>
  </conditionalFormatting>
  <conditionalFormatting sqref="M233">
    <cfRule type="cellIs" dxfId="289" priority="168" operator="lessThan">
      <formula>0</formula>
    </cfRule>
  </conditionalFormatting>
  <conditionalFormatting sqref="O233">
    <cfRule type="cellIs" dxfId="288" priority="167" operator="lessThan">
      <formula>0</formula>
    </cfRule>
  </conditionalFormatting>
  <conditionalFormatting sqref="Q233">
    <cfRule type="cellIs" dxfId="287" priority="166" operator="lessThan">
      <formula>0</formula>
    </cfRule>
  </conditionalFormatting>
  <conditionalFormatting sqref="I238">
    <cfRule type="cellIs" dxfId="286" priority="165" operator="lessThan">
      <formula>0</formula>
    </cfRule>
  </conditionalFormatting>
  <conditionalFormatting sqref="K238">
    <cfRule type="cellIs" dxfId="285" priority="164" operator="lessThan">
      <formula>0</formula>
    </cfRule>
  </conditionalFormatting>
  <conditionalFormatting sqref="M238">
    <cfRule type="cellIs" dxfId="284" priority="163" operator="lessThan">
      <formula>0</formula>
    </cfRule>
  </conditionalFormatting>
  <conditionalFormatting sqref="O238">
    <cfRule type="cellIs" dxfId="283" priority="162" operator="lessThan">
      <formula>0</formula>
    </cfRule>
  </conditionalFormatting>
  <conditionalFormatting sqref="Q238">
    <cfRule type="cellIs" dxfId="282" priority="161" operator="lessThan">
      <formula>0</formula>
    </cfRule>
  </conditionalFormatting>
  <conditionalFormatting sqref="S238">
    <cfRule type="cellIs" dxfId="281" priority="160" operator="lessThan">
      <formula>0</formula>
    </cfRule>
  </conditionalFormatting>
  <conditionalFormatting sqref="U238">
    <cfRule type="cellIs" dxfId="280" priority="159" operator="lessThan">
      <formula>0</formula>
    </cfRule>
  </conditionalFormatting>
  <conditionalFormatting sqref="W238">
    <cfRule type="cellIs" dxfId="279" priority="158" operator="lessThan">
      <formula>0</formula>
    </cfRule>
  </conditionalFormatting>
  <conditionalFormatting sqref="I237">
    <cfRule type="cellIs" dxfId="278" priority="157" operator="lessThan">
      <formula>0</formula>
    </cfRule>
  </conditionalFormatting>
  <conditionalFormatting sqref="K237">
    <cfRule type="cellIs" dxfId="277" priority="156" operator="lessThan">
      <formula>0</formula>
    </cfRule>
  </conditionalFormatting>
  <conditionalFormatting sqref="M237">
    <cfRule type="cellIs" dxfId="276" priority="155" operator="lessThan">
      <formula>0</formula>
    </cfRule>
  </conditionalFormatting>
  <conditionalFormatting sqref="O237">
    <cfRule type="cellIs" dxfId="275" priority="154" operator="lessThan">
      <formula>0</formula>
    </cfRule>
  </conditionalFormatting>
  <conditionalFormatting sqref="Q237">
    <cfRule type="cellIs" dxfId="274" priority="153" operator="lessThan">
      <formula>0</formula>
    </cfRule>
  </conditionalFormatting>
  <conditionalFormatting sqref="S237">
    <cfRule type="cellIs" dxfId="273" priority="152" operator="lessThan">
      <formula>0</formula>
    </cfRule>
  </conditionalFormatting>
  <conditionalFormatting sqref="U237">
    <cfRule type="cellIs" dxfId="272" priority="151" operator="lessThan">
      <formula>0</formula>
    </cfRule>
  </conditionalFormatting>
  <conditionalFormatting sqref="W237">
    <cfRule type="cellIs" dxfId="271" priority="150" operator="lessThan">
      <formula>0</formula>
    </cfRule>
  </conditionalFormatting>
  <conditionalFormatting sqref="AA112">
    <cfRule type="cellIs" dxfId="270" priority="141" operator="lessThan">
      <formula>0</formula>
    </cfRule>
  </conditionalFormatting>
  <conditionalFormatting sqref="AC112">
    <cfRule type="cellIs" dxfId="269" priority="140" operator="lessThan">
      <formula>0</formula>
    </cfRule>
  </conditionalFormatting>
  <conditionalFormatting sqref="AC123">
    <cfRule type="cellIs" dxfId="268" priority="130" operator="lessThan">
      <formula>0</formula>
    </cfRule>
  </conditionalFormatting>
  <conditionalFormatting sqref="AC38">
    <cfRule type="cellIs" dxfId="267" priority="120" operator="lessThan">
      <formula>0</formula>
    </cfRule>
  </conditionalFormatting>
  <conditionalFormatting sqref="AC143">
    <cfRule type="cellIs" dxfId="266" priority="110" operator="lessThan">
      <formula>0</formula>
    </cfRule>
  </conditionalFormatting>
  <conditionalFormatting sqref="K89">
    <cfRule type="cellIs" dxfId="265" priority="109" operator="lessThan">
      <formula>0</formula>
    </cfRule>
  </conditionalFormatting>
  <conditionalFormatting sqref="M89">
    <cfRule type="cellIs" dxfId="264" priority="108" operator="lessThan">
      <formula>0</formula>
    </cfRule>
  </conditionalFormatting>
  <conditionalFormatting sqref="O89">
    <cfRule type="cellIs" dxfId="263" priority="107" operator="lessThan">
      <formula>0</formula>
    </cfRule>
  </conditionalFormatting>
  <conditionalFormatting sqref="Q89">
    <cfRule type="cellIs" dxfId="262" priority="106" operator="lessThan">
      <formula>0</formula>
    </cfRule>
  </conditionalFormatting>
  <conditionalFormatting sqref="S89">
    <cfRule type="cellIs" dxfId="261" priority="105" operator="lessThan">
      <formula>0</formula>
    </cfRule>
  </conditionalFormatting>
  <conditionalFormatting sqref="U89">
    <cfRule type="cellIs" dxfId="260" priority="104" operator="lessThan">
      <formula>0</formula>
    </cfRule>
  </conditionalFormatting>
  <conditionalFormatting sqref="W89">
    <cfRule type="cellIs" dxfId="259" priority="103" operator="lessThan">
      <formula>0</formula>
    </cfRule>
  </conditionalFormatting>
  <conditionalFormatting sqref="Y89">
    <cfRule type="cellIs" dxfId="258" priority="102" operator="lessThan">
      <formula>0</formula>
    </cfRule>
  </conditionalFormatting>
  <conditionalFormatting sqref="Q143">
    <cfRule type="cellIs" dxfId="257" priority="82" operator="lessThan">
      <formula>0</formula>
    </cfRule>
  </conditionalFormatting>
  <conditionalFormatting sqref="K112">
    <cfRule type="cellIs" dxfId="256" priority="72" operator="lessThan">
      <formula>0</formula>
    </cfRule>
  </conditionalFormatting>
  <conditionalFormatting sqref="M112">
    <cfRule type="cellIs" dxfId="255" priority="71" operator="lessThan">
      <formula>0</formula>
    </cfRule>
  </conditionalFormatting>
  <conditionalFormatting sqref="O112">
    <cfRule type="cellIs" dxfId="254" priority="70" operator="lessThan">
      <formula>0</formula>
    </cfRule>
  </conditionalFormatting>
  <conditionalFormatting sqref="Q112">
    <cfRule type="cellIs" dxfId="253" priority="69" operator="lessThan">
      <formula>0</formula>
    </cfRule>
  </conditionalFormatting>
  <conditionalFormatting sqref="S112">
    <cfRule type="cellIs" dxfId="252" priority="68" operator="lessThan">
      <formula>0</formula>
    </cfRule>
  </conditionalFormatting>
  <conditionalFormatting sqref="U112">
    <cfRule type="cellIs" dxfId="251" priority="67" operator="lessThan">
      <formula>0</formula>
    </cfRule>
  </conditionalFormatting>
  <conditionalFormatting sqref="W112">
    <cfRule type="cellIs" dxfId="250" priority="66" operator="lessThan">
      <formula>0</formula>
    </cfRule>
  </conditionalFormatting>
  <conditionalFormatting sqref="Y112">
    <cfRule type="cellIs" dxfId="249" priority="65" operator="lessThan">
      <formula>0</formula>
    </cfRule>
  </conditionalFormatting>
  <conditionalFormatting sqref="K113">
    <cfRule type="cellIs" dxfId="248" priority="64" operator="lessThan">
      <formula>0</formula>
    </cfRule>
  </conditionalFormatting>
  <conditionalFormatting sqref="M113">
    <cfRule type="cellIs" dxfId="247" priority="63" operator="lessThan">
      <formula>0</formula>
    </cfRule>
  </conditionalFormatting>
  <conditionalFormatting sqref="O113">
    <cfRule type="cellIs" dxfId="246" priority="62" operator="lessThan">
      <formula>0</formula>
    </cfRule>
  </conditionalFormatting>
  <conditionalFormatting sqref="Q113">
    <cfRule type="cellIs" dxfId="245" priority="61" operator="lessThan">
      <formula>0</formula>
    </cfRule>
  </conditionalFormatting>
  <conditionalFormatting sqref="K38">
    <cfRule type="cellIs" dxfId="244" priority="60" operator="lessThan">
      <formula>0</formula>
    </cfRule>
  </conditionalFormatting>
  <conditionalFormatting sqref="M38">
    <cfRule type="cellIs" dxfId="243" priority="59" operator="lessThan">
      <formula>0</formula>
    </cfRule>
  </conditionalFormatting>
  <conditionalFormatting sqref="O38">
    <cfRule type="cellIs" dxfId="242" priority="58" operator="lessThan">
      <formula>0</formula>
    </cfRule>
  </conditionalFormatting>
  <conditionalFormatting sqref="Q38">
    <cfRule type="cellIs" dxfId="241" priority="57" operator="lessThan">
      <formula>0</formula>
    </cfRule>
  </conditionalFormatting>
  <conditionalFormatting sqref="S38">
    <cfRule type="cellIs" dxfId="240" priority="56" operator="lessThan">
      <formula>0</formula>
    </cfRule>
  </conditionalFormatting>
  <conditionalFormatting sqref="U38">
    <cfRule type="cellIs" dxfId="239" priority="55" operator="lessThan">
      <formula>0</formula>
    </cfRule>
  </conditionalFormatting>
  <conditionalFormatting sqref="W38">
    <cfRule type="cellIs" dxfId="238" priority="54" operator="lessThan">
      <formula>0</formula>
    </cfRule>
  </conditionalFormatting>
  <conditionalFormatting sqref="Y38">
    <cfRule type="cellIs" dxfId="237" priority="53" operator="lessThan">
      <formula>0</formula>
    </cfRule>
  </conditionalFormatting>
  <conditionalFormatting sqref="AA38">
    <cfRule type="cellIs" dxfId="236" priority="52" operator="lessThan">
      <formula>0</formula>
    </cfRule>
  </conditionalFormatting>
  <conditionalFormatting sqref="AA123">
    <cfRule type="cellIs" dxfId="235" priority="43" operator="lessThan">
      <formula>0</formula>
    </cfRule>
  </conditionalFormatting>
  <conditionalFormatting sqref="K123">
    <cfRule type="cellIs" dxfId="234" priority="42" operator="lessThan">
      <formula>0</formula>
    </cfRule>
  </conditionalFormatting>
  <conditionalFormatting sqref="M123">
    <cfRule type="cellIs" dxfId="233" priority="41" operator="lessThan">
      <formula>0</formula>
    </cfRule>
  </conditionalFormatting>
  <conditionalFormatting sqref="O123">
    <cfRule type="cellIs" dxfId="232" priority="40" operator="lessThan">
      <formula>0</formula>
    </cfRule>
  </conditionalFormatting>
  <conditionalFormatting sqref="Q123">
    <cfRule type="cellIs" dxfId="231" priority="39" operator="lessThan">
      <formula>0</formula>
    </cfRule>
  </conditionalFormatting>
  <conditionalFormatting sqref="S123">
    <cfRule type="cellIs" dxfId="230" priority="38" operator="lessThan">
      <formula>0</formula>
    </cfRule>
  </conditionalFormatting>
  <conditionalFormatting sqref="U123">
    <cfRule type="cellIs" dxfId="229" priority="37" operator="lessThan">
      <formula>0</formula>
    </cfRule>
  </conditionalFormatting>
  <conditionalFormatting sqref="W123">
    <cfRule type="cellIs" dxfId="228" priority="36" operator="lessThan">
      <formula>0</formula>
    </cfRule>
  </conditionalFormatting>
  <conditionalFormatting sqref="Y123">
    <cfRule type="cellIs" dxfId="227" priority="35" operator="lessThan">
      <formula>0</formula>
    </cfRule>
  </conditionalFormatting>
  <conditionalFormatting sqref="K141">
    <cfRule type="cellIs" dxfId="226" priority="34" operator="lessThan">
      <formula>0</formula>
    </cfRule>
  </conditionalFormatting>
  <conditionalFormatting sqref="M141">
    <cfRule type="cellIs" dxfId="225" priority="33" operator="lessThan">
      <formula>0</formula>
    </cfRule>
  </conditionalFormatting>
  <conditionalFormatting sqref="O141">
    <cfRule type="cellIs" dxfId="224" priority="32" operator="lessThan">
      <formula>0</formula>
    </cfRule>
  </conditionalFormatting>
  <conditionalFormatting sqref="Q141">
    <cfRule type="cellIs" dxfId="223" priority="31" operator="lessThan">
      <formula>0</formula>
    </cfRule>
  </conditionalFormatting>
  <conditionalFormatting sqref="S141">
    <cfRule type="cellIs" dxfId="222" priority="30" operator="lessThan">
      <formula>0</formula>
    </cfRule>
  </conditionalFormatting>
  <conditionalFormatting sqref="U141">
    <cfRule type="cellIs" dxfId="221" priority="29" operator="lessThan">
      <formula>0</formula>
    </cfRule>
  </conditionalFormatting>
  <conditionalFormatting sqref="W141">
    <cfRule type="cellIs" dxfId="220" priority="28" operator="lessThan">
      <formula>0</formula>
    </cfRule>
  </conditionalFormatting>
  <conditionalFormatting sqref="Y141">
    <cfRule type="cellIs" dxfId="219" priority="27" operator="lessThan">
      <formula>0</formula>
    </cfRule>
  </conditionalFormatting>
  <conditionalFormatting sqref="AA141">
    <cfRule type="cellIs" dxfId="218" priority="26" operator="lessThan">
      <formula>0</formula>
    </cfRule>
  </conditionalFormatting>
  <conditionalFormatting sqref="I142">
    <cfRule type="cellIs" dxfId="217" priority="25" operator="lessThan">
      <formula>0</formula>
    </cfRule>
  </conditionalFormatting>
  <conditionalFormatting sqref="K142">
    <cfRule type="cellIs" dxfId="216" priority="24" operator="lessThan">
      <formula>0</formula>
    </cfRule>
  </conditionalFormatting>
  <conditionalFormatting sqref="M142">
    <cfRule type="cellIs" dxfId="215" priority="23" operator="lessThan">
      <formula>0</formula>
    </cfRule>
  </conditionalFormatting>
  <conditionalFormatting sqref="O142">
    <cfRule type="cellIs" dxfId="214" priority="22" operator="lessThan">
      <formula>0</formula>
    </cfRule>
  </conditionalFormatting>
  <conditionalFormatting sqref="Q142">
    <cfRule type="cellIs" dxfId="213" priority="21" operator="lessThan">
      <formula>0</formula>
    </cfRule>
  </conditionalFormatting>
  <conditionalFormatting sqref="S142">
    <cfRule type="cellIs" dxfId="212" priority="20" operator="lessThan">
      <formula>0</formula>
    </cfRule>
  </conditionalFormatting>
  <conditionalFormatting sqref="U142">
    <cfRule type="cellIs" dxfId="211" priority="19" operator="lessThan">
      <formula>0</formula>
    </cfRule>
  </conditionalFormatting>
  <conditionalFormatting sqref="W142">
    <cfRule type="cellIs" dxfId="210" priority="18" operator="lessThan">
      <formula>0</formula>
    </cfRule>
  </conditionalFormatting>
  <conditionalFormatting sqref="Y142">
    <cfRule type="cellIs" dxfId="209" priority="17" operator="lessThan">
      <formula>0</formula>
    </cfRule>
  </conditionalFormatting>
  <conditionalFormatting sqref="AA142">
    <cfRule type="cellIs" dxfId="208" priority="16" operator="lessThan">
      <formula>0</formula>
    </cfRule>
  </conditionalFormatting>
  <conditionalFormatting sqref="I143">
    <cfRule type="cellIs" dxfId="207" priority="15" operator="lessThan">
      <formula>0</formula>
    </cfRule>
  </conditionalFormatting>
  <conditionalFormatting sqref="K143">
    <cfRule type="cellIs" dxfId="206" priority="14" operator="lessThan">
      <formula>0</formula>
    </cfRule>
  </conditionalFormatting>
  <conditionalFormatting sqref="M143">
    <cfRule type="cellIs" dxfId="205" priority="13" operator="lessThan">
      <formula>0</formula>
    </cfRule>
  </conditionalFormatting>
  <conditionalFormatting sqref="O143">
    <cfRule type="cellIs" dxfId="204" priority="12" operator="lessThan">
      <formula>0</formula>
    </cfRule>
  </conditionalFormatting>
  <conditionalFormatting sqref="S143">
    <cfRule type="cellIs" dxfId="203" priority="11" operator="lessThan">
      <formula>0</formula>
    </cfRule>
  </conditionalFormatting>
  <conditionalFormatting sqref="U143">
    <cfRule type="cellIs" dxfId="202" priority="10" operator="lessThan">
      <formula>0</formula>
    </cfRule>
  </conditionalFormatting>
  <conditionalFormatting sqref="W143">
    <cfRule type="cellIs" dxfId="201" priority="9" operator="lessThan">
      <formula>0</formula>
    </cfRule>
  </conditionalFormatting>
  <conditionalFormatting sqref="Y143">
    <cfRule type="cellIs" dxfId="200" priority="8" operator="lessThan">
      <formula>0</formula>
    </cfRule>
  </conditionalFormatting>
  <conditionalFormatting sqref="AA143">
    <cfRule type="cellIs" dxfId="199" priority="7" operator="lessThan">
      <formula>0</formula>
    </cfRule>
  </conditionalFormatting>
  <conditionalFormatting sqref="I214">
    <cfRule type="cellIs" dxfId="198" priority="6" operator="lessThan">
      <formula>0</formula>
    </cfRule>
  </conditionalFormatting>
  <conditionalFormatting sqref="K214">
    <cfRule type="cellIs" dxfId="197" priority="5" operator="lessThan">
      <formula>0</formula>
    </cfRule>
  </conditionalFormatting>
  <conditionalFormatting sqref="M214">
    <cfRule type="cellIs" dxfId="196" priority="4" operator="lessThan">
      <formula>0</formula>
    </cfRule>
  </conditionalFormatting>
  <conditionalFormatting sqref="O214">
    <cfRule type="cellIs" dxfId="195" priority="3" operator="lessThan">
      <formula>0</formula>
    </cfRule>
  </conditionalFormatting>
  <conditionalFormatting sqref="Q214">
    <cfRule type="cellIs" dxfId="194" priority="2" operator="lessThan">
      <formula>0</formula>
    </cfRule>
  </conditionalFormatting>
  <conditionalFormatting sqref="AP1:AP1048576">
    <cfRule type="cellIs" dxfId="193" priority="1" operator="greater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135" activePane="bottomRight" state="frozen"/>
      <selection pane="topRight" activeCell="D1" sqref="D1"/>
      <selection pane="bottomLeft" activeCell="A5" sqref="A5"/>
      <selection pane="bottomRight" activeCell="V22" sqref="V22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30973</v>
      </c>
      <c r="F1" s="81" t="str">
        <f>IF(G1='2'!C51,"ঠিক","×")</f>
        <v>ঠিক</v>
      </c>
      <c r="G1" s="83">
        <f>SUM(G5:G254)</f>
        <v>45332</v>
      </c>
      <c r="H1" s="81" t="str">
        <f>IF(I1='3'!C51,"ঠিক","×")</f>
        <v>ঠিক</v>
      </c>
      <c r="I1" s="84">
        <f>SUM(I5:I254)</f>
        <v>36590</v>
      </c>
      <c r="J1" s="81" t="str">
        <f>IF(K1='4'!C51,"ঠিক","×")</f>
        <v>ঠিক</v>
      </c>
      <c r="K1" s="83">
        <f>SUM(K5:K254)</f>
        <v>51192</v>
      </c>
      <c r="L1" s="81" t="str">
        <f>IF(M1='5'!C51,"ঠিক","×")</f>
        <v>ঠিক</v>
      </c>
      <c r="M1" s="84">
        <f>SUM(M5:M254)</f>
        <v>116719</v>
      </c>
      <c r="N1" s="81" t="str">
        <f>IF(O1='6'!C51,"ঠিক","×")</f>
        <v>ঠিক</v>
      </c>
      <c r="O1" s="83">
        <f>SUM(O5:O254)</f>
        <v>39698</v>
      </c>
      <c r="P1" s="81" t="str">
        <f>IF(Q1='7'!C51,"ঠিক","×")</f>
        <v>ঠিক</v>
      </c>
      <c r="Q1" s="85">
        <f>SUM(Q5:Q254)</f>
        <v>7638</v>
      </c>
      <c r="R1" s="234" t="str">
        <f>IF(S1='8'!C51,"ঠিক","×")</f>
        <v>ঠিক</v>
      </c>
      <c r="S1" s="235">
        <f>SUM(S5:S254)</f>
        <v>34091</v>
      </c>
      <c r="T1" s="234" t="str">
        <f>IF(U1='9'!C51,"ঠিক","×")</f>
        <v>ঠিক</v>
      </c>
      <c r="U1" s="258">
        <f>SUM(U5:U254)</f>
        <v>18323</v>
      </c>
      <c r="V1" s="234" t="str">
        <f>IF(W1='10'!C51,"ঠিক","×")</f>
        <v>ঠিক</v>
      </c>
      <c r="W1" s="235">
        <f>SUM(W5:W254)</f>
        <v>22793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91" t="s">
        <v>0</v>
      </c>
      <c r="B2" s="491" t="s">
        <v>1</v>
      </c>
      <c r="C2" s="491" t="s">
        <v>2</v>
      </c>
      <c r="D2" s="498" t="s">
        <v>243</v>
      </c>
      <c r="E2" s="494"/>
      <c r="F2" s="492" t="s">
        <v>244</v>
      </c>
      <c r="G2" s="493"/>
      <c r="H2" s="467" t="s">
        <v>245</v>
      </c>
      <c r="I2" s="494"/>
      <c r="J2" s="492" t="s">
        <v>246</v>
      </c>
      <c r="K2" s="493"/>
      <c r="L2" s="467" t="s">
        <v>247</v>
      </c>
      <c r="M2" s="494"/>
      <c r="N2" s="492" t="s">
        <v>248</v>
      </c>
      <c r="O2" s="493"/>
      <c r="P2" s="467" t="s">
        <v>249</v>
      </c>
      <c r="Q2" s="468"/>
      <c r="R2" s="471" t="s">
        <v>250</v>
      </c>
      <c r="S2" s="472"/>
      <c r="T2" s="477" t="s">
        <v>356</v>
      </c>
      <c r="U2" s="478"/>
      <c r="V2" s="483" t="s">
        <v>357</v>
      </c>
      <c r="W2" s="484"/>
      <c r="X2" s="477" t="s">
        <v>358</v>
      </c>
      <c r="Y2" s="485"/>
      <c r="Z2" s="477" t="s">
        <v>366</v>
      </c>
      <c r="AA2" s="485"/>
      <c r="AB2" s="477" t="s">
        <v>402</v>
      </c>
      <c r="AC2" s="487"/>
      <c r="AD2" s="495" t="s">
        <v>403</v>
      </c>
      <c r="AE2" s="485"/>
      <c r="AF2" s="478" t="s">
        <v>404</v>
      </c>
      <c r="AG2" s="485"/>
      <c r="AH2" s="478" t="s">
        <v>414</v>
      </c>
      <c r="AI2" s="485"/>
      <c r="AJ2" s="488" t="s">
        <v>12</v>
      </c>
      <c r="AK2" s="490" t="s">
        <v>251</v>
      </c>
      <c r="AL2" s="475" t="s">
        <v>14</v>
      </c>
      <c r="AM2" s="88">
        <f>AL256</f>
        <v>403349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91"/>
      <c r="B3" s="491"/>
      <c r="C3" s="491"/>
      <c r="D3" s="479">
        <f>H!C7</f>
        <v>45962</v>
      </c>
      <c r="E3" s="480"/>
      <c r="F3" s="481">
        <f>D3+1</f>
        <v>45963</v>
      </c>
      <c r="G3" s="497"/>
      <c r="H3" s="469">
        <f>F3+1</f>
        <v>45964</v>
      </c>
      <c r="I3" s="480"/>
      <c r="J3" s="481">
        <f>H3+1</f>
        <v>45965</v>
      </c>
      <c r="K3" s="474"/>
      <c r="L3" s="469">
        <f>J3+1</f>
        <v>45966</v>
      </c>
      <c r="M3" s="480"/>
      <c r="N3" s="481">
        <f>L3+1</f>
        <v>45967</v>
      </c>
      <c r="O3" s="474"/>
      <c r="P3" s="469">
        <f>N3+1</f>
        <v>45968</v>
      </c>
      <c r="Q3" s="470"/>
      <c r="R3" s="473">
        <f>P3+1</f>
        <v>45969</v>
      </c>
      <c r="S3" s="474"/>
      <c r="T3" s="479">
        <f>R3+1</f>
        <v>45970</v>
      </c>
      <c r="U3" s="480"/>
      <c r="V3" s="481">
        <f>T3+1</f>
        <v>45971</v>
      </c>
      <c r="W3" s="474"/>
      <c r="X3" s="479">
        <f>V3+1</f>
        <v>45972</v>
      </c>
      <c r="Y3" s="482"/>
      <c r="Z3" s="479">
        <f>X3+1</f>
        <v>45973</v>
      </c>
      <c r="AA3" s="482"/>
      <c r="AB3" s="479">
        <f>Z3+1</f>
        <v>45974</v>
      </c>
      <c r="AC3" s="496"/>
      <c r="AD3" s="486">
        <f>AB3+1</f>
        <v>45975</v>
      </c>
      <c r="AE3" s="482"/>
      <c r="AF3" s="486">
        <f>AD3+1</f>
        <v>45976</v>
      </c>
      <c r="AG3" s="482"/>
      <c r="AH3" s="486">
        <f>AF3+1</f>
        <v>45977</v>
      </c>
      <c r="AI3" s="482"/>
      <c r="AJ3" s="489"/>
      <c r="AK3" s="491"/>
      <c r="AL3" s="476"/>
      <c r="AM3" s="90" t="str">
        <f>IF(ROUND(AM2,2)=ROUND(TS!D20,2),"ঠিক আছে","ভুল")</f>
        <v>ঠিক আছে</v>
      </c>
    </row>
    <row r="4" spans="1:43" ht="21" customHeight="1" thickBot="1">
      <c r="A4" s="491"/>
      <c r="B4" s="491"/>
      <c r="C4" s="491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89"/>
      <c r="AK4" s="491"/>
      <c r="AL4" s="476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>
        <v>25</v>
      </c>
      <c r="E7" s="94">
        <v>2125</v>
      </c>
      <c r="F7" s="272">
        <v>50</v>
      </c>
      <c r="G7" s="94">
        <v>4250</v>
      </c>
      <c r="H7" s="95"/>
      <c r="I7" s="94"/>
      <c r="J7" s="93">
        <v>50</v>
      </c>
      <c r="K7" s="94">
        <v>4250</v>
      </c>
      <c r="L7" s="95"/>
      <c r="M7" s="94"/>
      <c r="N7" s="93"/>
      <c r="O7" s="94"/>
      <c r="P7" s="95"/>
      <c r="Q7" s="96"/>
      <c r="R7" s="95">
        <v>50</v>
      </c>
      <c r="S7" s="237">
        <v>4250</v>
      </c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175</v>
      </c>
      <c r="AK7" s="340">
        <f>IF(ISERR(AL7/AJ7),S!D5,(AL7/AJ7))</f>
        <v>85</v>
      </c>
      <c r="AL7" s="99">
        <f t="shared" si="1"/>
        <v>14875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>
        <v>50</v>
      </c>
      <c r="M8" s="94">
        <v>6100</v>
      </c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50</v>
      </c>
      <c r="AK8" s="340">
        <f>IF(ISERR(AL8/AJ8),S!D6,(AL8/AJ8))</f>
        <v>122</v>
      </c>
      <c r="AL8" s="99">
        <f t="shared" si="1"/>
        <v>6100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>
        <v>25</v>
      </c>
      <c r="K10" s="94">
        <v>3875</v>
      </c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25</v>
      </c>
      <c r="AK10" s="340">
        <f>IF(ISERR(AL10/AJ10),S!D8,(AL10/AJ10))</f>
        <v>155</v>
      </c>
      <c r="AL10" s="99">
        <f t="shared" si="1"/>
        <v>3875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160.43026677140108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>
        <v>25</v>
      </c>
      <c r="K12" s="94">
        <v>3250</v>
      </c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25</v>
      </c>
      <c r="AK12" s="340">
        <f>IF(ISERR(AL12/AJ12),S!D10,(AL12/AJ12))</f>
        <v>130</v>
      </c>
      <c r="AL12" s="99">
        <f t="shared" si="1"/>
        <v>3250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>
        <v>2</v>
      </c>
      <c r="M14" s="94">
        <v>120</v>
      </c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2</v>
      </c>
      <c r="AK14" s="340">
        <f>IF(ISERR(AL14/AJ14),S!D12,(AL14/AJ14))</f>
        <v>60</v>
      </c>
      <c r="AL14" s="99">
        <f t="shared" si="1"/>
        <v>120</v>
      </c>
    </row>
    <row r="15" spans="1:43">
      <c r="A15" s="91">
        <v>11</v>
      </c>
      <c r="B15" s="92" t="s">
        <v>25</v>
      </c>
      <c r="C15" s="100" t="s">
        <v>26</v>
      </c>
      <c r="D15" s="272">
        <v>15</v>
      </c>
      <c r="E15" s="98">
        <v>2730</v>
      </c>
      <c r="F15" s="272">
        <v>15</v>
      </c>
      <c r="G15" s="94">
        <v>2730</v>
      </c>
      <c r="H15" s="95">
        <v>15</v>
      </c>
      <c r="I15" s="94">
        <v>2730</v>
      </c>
      <c r="J15" s="93">
        <v>15</v>
      </c>
      <c r="K15" s="94">
        <v>2730</v>
      </c>
      <c r="L15" s="95">
        <v>10</v>
      </c>
      <c r="M15" s="94">
        <v>1820</v>
      </c>
      <c r="N15" s="93">
        <v>25</v>
      </c>
      <c r="O15" s="94">
        <v>4550</v>
      </c>
      <c r="P15" s="95"/>
      <c r="Q15" s="96"/>
      <c r="R15" s="95"/>
      <c r="S15" s="237"/>
      <c r="T15" s="227">
        <v>5</v>
      </c>
      <c r="U15" s="237">
        <v>910</v>
      </c>
      <c r="V15" s="95">
        <v>5</v>
      </c>
      <c r="W15" s="237">
        <v>910</v>
      </c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105</v>
      </c>
      <c r="AK15" s="340">
        <f>IF(ISERR(AL15/AJ15),S!D13,(AL15/AJ15))</f>
        <v>182</v>
      </c>
      <c r="AL15" s="99">
        <f t="shared" si="1"/>
        <v>19110</v>
      </c>
    </row>
    <row r="16" spans="1:43">
      <c r="A16" s="91">
        <v>12</v>
      </c>
      <c r="B16" s="92" t="s">
        <v>27</v>
      </c>
      <c r="C16" s="100" t="s">
        <v>26</v>
      </c>
      <c r="D16" s="272">
        <v>1</v>
      </c>
      <c r="E16" s="98">
        <v>320</v>
      </c>
      <c r="F16" s="272"/>
      <c r="G16" s="94"/>
      <c r="H16" s="95">
        <v>2</v>
      </c>
      <c r="I16" s="94">
        <v>640</v>
      </c>
      <c r="J16" s="93"/>
      <c r="K16" s="94"/>
      <c r="L16" s="95"/>
      <c r="M16" s="94"/>
      <c r="N16" s="93"/>
      <c r="O16" s="94"/>
      <c r="P16" s="95"/>
      <c r="Q16" s="96"/>
      <c r="R16" s="95"/>
      <c r="S16" s="237"/>
      <c r="T16" s="227">
        <v>2</v>
      </c>
      <c r="U16" s="237">
        <v>640</v>
      </c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5</v>
      </c>
      <c r="AK16" s="340">
        <f>IF(ISERR(AL16/AJ16),S!D14,(AL16/AJ16))</f>
        <v>320</v>
      </c>
      <c r="AL16" s="99">
        <f t="shared" si="1"/>
        <v>1600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>
        <v>25</v>
      </c>
      <c r="O17" s="94">
        <v>1000</v>
      </c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25</v>
      </c>
      <c r="AK17" s="340">
        <f>IF(ISERR(AL17/AJ17),S!D15,(AL17/AJ17))</f>
        <v>40</v>
      </c>
      <c r="AL17" s="99">
        <f t="shared" si="1"/>
        <v>1000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>
        <v>0.1</v>
      </c>
      <c r="M19" s="94">
        <v>50</v>
      </c>
      <c r="N19" s="93"/>
      <c r="O19" s="94"/>
      <c r="P19" s="95"/>
      <c r="Q19" s="96"/>
      <c r="R19" s="95">
        <v>0.2</v>
      </c>
      <c r="S19" s="237">
        <v>50</v>
      </c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0.30000000000000004</v>
      </c>
      <c r="AK19" s="340">
        <f>IF(ISERR(AL19/AJ19),S!D17,(AL19/AJ19))</f>
        <v>333.33333333333326</v>
      </c>
      <c r="AL19" s="99">
        <f t="shared" si="1"/>
        <v>100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183.33333333333331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>
        <v>63</v>
      </c>
      <c r="G21" s="94">
        <v>3780</v>
      </c>
      <c r="H21" s="95"/>
      <c r="I21" s="94"/>
      <c r="J21" s="93"/>
      <c r="K21" s="94"/>
      <c r="L21" s="95">
        <v>126</v>
      </c>
      <c r="M21" s="94">
        <v>7560</v>
      </c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189</v>
      </c>
      <c r="AK21" s="340">
        <f>IF(ISERR(AL21/AJ21),S!D19,(AL21/AJ21))</f>
        <v>60</v>
      </c>
      <c r="AL21" s="99">
        <f t="shared" si="1"/>
        <v>11340</v>
      </c>
    </row>
    <row r="22" spans="1:38">
      <c r="A22" s="91">
        <v>18</v>
      </c>
      <c r="B22" s="92" t="s">
        <v>32</v>
      </c>
      <c r="C22" s="100" t="s">
        <v>9</v>
      </c>
      <c r="D22" s="272">
        <v>0.5</v>
      </c>
      <c r="E22" s="98">
        <v>460</v>
      </c>
      <c r="F22" s="272">
        <v>1</v>
      </c>
      <c r="G22" s="94">
        <v>920</v>
      </c>
      <c r="H22" s="95"/>
      <c r="I22" s="94"/>
      <c r="J22" s="93">
        <v>1.5</v>
      </c>
      <c r="K22" s="94">
        <v>1380</v>
      </c>
      <c r="L22" s="95">
        <v>1</v>
      </c>
      <c r="M22" s="94">
        <v>920</v>
      </c>
      <c r="N22" s="93">
        <v>1</v>
      </c>
      <c r="O22" s="94">
        <v>920</v>
      </c>
      <c r="P22" s="95"/>
      <c r="Q22" s="96"/>
      <c r="R22" s="95">
        <v>1</v>
      </c>
      <c r="S22" s="237">
        <v>920</v>
      </c>
      <c r="T22" s="227">
        <v>0.2</v>
      </c>
      <c r="U22" s="237">
        <v>200</v>
      </c>
      <c r="V22" s="95">
        <v>1</v>
      </c>
      <c r="W22" s="237">
        <v>1000</v>
      </c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7.2</v>
      </c>
      <c r="AK22" s="340">
        <f>IF(ISERR(AL22/AJ22),S!D20,(AL22/AJ22))</f>
        <v>933.33333333333326</v>
      </c>
      <c r="AL22" s="99">
        <f t="shared" si="1"/>
        <v>6720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0</v>
      </c>
      <c r="AK23" s="340">
        <f>IF(ISERR(AL23/AJ23),S!D21,(AL23/AJ23))</f>
        <v>216.66666666666666</v>
      </c>
      <c r="AL23" s="99">
        <f t="shared" si="1"/>
        <v>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/>
      <c r="M24" s="94"/>
      <c r="N24" s="93">
        <v>720</v>
      </c>
      <c r="O24" s="94">
        <v>2016</v>
      </c>
      <c r="P24" s="95"/>
      <c r="Q24" s="96"/>
      <c r="R24" s="95"/>
      <c r="S24" s="237"/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720</v>
      </c>
      <c r="AK24" s="340">
        <f>IF(ISERR(AL24/AJ24),S!D22,(AL24/AJ24))</f>
        <v>2.8</v>
      </c>
      <c r="AL24" s="99">
        <f t="shared" si="1"/>
        <v>2016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>
        <v>1</v>
      </c>
      <c r="M25" s="94">
        <v>300</v>
      </c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1</v>
      </c>
      <c r="AK25" s="340">
        <f>IF(ISERR(AL25/AJ25),S!D23,(AL25/AJ25))</f>
        <v>300</v>
      </c>
      <c r="AL25" s="99">
        <f t="shared" si="1"/>
        <v>300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>
        <v>1</v>
      </c>
      <c r="M26" s="94">
        <v>440</v>
      </c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1</v>
      </c>
      <c r="AK26" s="340">
        <f>IF(ISERR(AL26/AJ26),S!D24,(AL26/AJ26))</f>
        <v>440</v>
      </c>
      <c r="AL26" s="99">
        <f t="shared" si="1"/>
        <v>440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100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>
        <v>1E-3</v>
      </c>
      <c r="M31" s="94">
        <v>300</v>
      </c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1E-3</v>
      </c>
      <c r="AK31" s="340">
        <f>IF(ISERR(AL31/AJ31),S!D29,(AL31/AJ31))</f>
        <v>300000</v>
      </c>
      <c r="AL31" s="99">
        <f t="shared" si="1"/>
        <v>300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120</v>
      </c>
      <c r="AL33" s="99">
        <f t="shared" si="1"/>
        <v>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>
        <v>32</v>
      </c>
      <c r="O36" s="94">
        <v>4320</v>
      </c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32</v>
      </c>
      <c r="AK36" s="340">
        <f>IF(ISERR(AL36/AJ36),S!D34,(AL36/AJ36))</f>
        <v>135</v>
      </c>
      <c r="AL36" s="99">
        <f t="shared" si="1"/>
        <v>4320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170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475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/>
      <c r="Q40" s="96"/>
      <c r="R40" s="95">
        <v>1</v>
      </c>
      <c r="S40" s="237">
        <v>120</v>
      </c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1</v>
      </c>
      <c r="AK40" s="340">
        <f>IF(ISERR(AL40/AJ40),S!D38,(AL40/AJ40))</f>
        <v>120</v>
      </c>
      <c r="AL40" s="99">
        <f t="shared" si="1"/>
        <v>120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74.166666666666671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>
        <v>1</v>
      </c>
      <c r="G42" s="94">
        <v>85</v>
      </c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1</v>
      </c>
      <c r="AK42" s="340">
        <f>IF(ISERR(AL42/AJ42),S!D40,(AL42/AJ42))</f>
        <v>85</v>
      </c>
      <c r="AL42" s="99">
        <f t="shared" si="1"/>
        <v>85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8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10.077212571111302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>
        <v>0.25</v>
      </c>
      <c r="S48" s="237">
        <v>200</v>
      </c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0.25</v>
      </c>
      <c r="AK48" s="340">
        <f>IF(ISERR(AL48/AJ48),S!D46,(AL48/AJ48))</f>
        <v>800</v>
      </c>
      <c r="AL48" s="99">
        <f t="shared" si="1"/>
        <v>200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>
        <v>2</v>
      </c>
      <c r="M52" s="94">
        <v>120</v>
      </c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2</v>
      </c>
      <c r="AK52" s="340">
        <f>IF(ISERR(AL52/AJ52),S!D50,(AL52/AJ52))</f>
        <v>60</v>
      </c>
      <c r="AL52" s="99">
        <f t="shared" si="1"/>
        <v>120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>
        <v>100</v>
      </c>
      <c r="E56" s="98">
        <v>80</v>
      </c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>
        <v>100</v>
      </c>
      <c r="S56" s="237">
        <v>80</v>
      </c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200</v>
      </c>
      <c r="AK56" s="340">
        <f>IF(ISERR(AL56/AJ56),S!D54,(AL56/AJ56))</f>
        <v>0.8</v>
      </c>
      <c r="AL56" s="99">
        <f t="shared" si="1"/>
        <v>160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>
        <v>100</v>
      </c>
      <c r="S57" s="237">
        <v>25</v>
      </c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100</v>
      </c>
      <c r="AK57" s="340">
        <f>IF(ISERR(AL57/AJ57),S!D55,(AL57/AJ57))</f>
        <v>0.25</v>
      </c>
      <c r="AL57" s="99">
        <f t="shared" si="1"/>
        <v>25</v>
      </c>
    </row>
    <row r="58" spans="1:38">
      <c r="A58" s="91">
        <v>54</v>
      </c>
      <c r="B58" s="92" t="s">
        <v>64</v>
      </c>
      <c r="C58" s="100" t="s">
        <v>31</v>
      </c>
      <c r="D58" s="272">
        <v>6</v>
      </c>
      <c r="E58" s="98">
        <v>120</v>
      </c>
      <c r="F58" s="272">
        <v>6</v>
      </c>
      <c r="G58" s="94">
        <v>120</v>
      </c>
      <c r="H58" s="95">
        <v>8</v>
      </c>
      <c r="I58" s="94">
        <v>160</v>
      </c>
      <c r="J58" s="93">
        <v>8</v>
      </c>
      <c r="K58" s="94">
        <v>160</v>
      </c>
      <c r="L58" s="95">
        <v>6</v>
      </c>
      <c r="M58" s="94">
        <v>120</v>
      </c>
      <c r="N58" s="93">
        <v>6</v>
      </c>
      <c r="O58" s="94">
        <v>120</v>
      </c>
      <c r="P58" s="95"/>
      <c r="Q58" s="96"/>
      <c r="R58" s="95"/>
      <c r="S58" s="237"/>
      <c r="T58" s="227">
        <v>5</v>
      </c>
      <c r="U58" s="237">
        <v>100</v>
      </c>
      <c r="V58" s="95">
        <v>4</v>
      </c>
      <c r="W58" s="237">
        <v>80</v>
      </c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49</v>
      </c>
      <c r="AK58" s="340">
        <f>IF(ISERR(AL58/AJ58),S!D56,(AL58/AJ58))</f>
        <v>20</v>
      </c>
      <c r="AL58" s="99">
        <f t="shared" si="1"/>
        <v>980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267.55555555555554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>
        <v>5</v>
      </c>
      <c r="I62" s="94">
        <v>550</v>
      </c>
      <c r="J62" s="93"/>
      <c r="K62" s="94"/>
      <c r="L62" s="95"/>
      <c r="M62" s="94"/>
      <c r="N62" s="93">
        <v>5</v>
      </c>
      <c r="O62" s="94">
        <v>550</v>
      </c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10</v>
      </c>
      <c r="AK62" s="340">
        <f>IF(ISERR(AL62/AJ62),S!D60,(AL62/AJ62))</f>
        <v>110</v>
      </c>
      <c r="AL62" s="99">
        <f t="shared" si="1"/>
        <v>1100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>
        <v>0.5</v>
      </c>
      <c r="G63" s="94">
        <v>320</v>
      </c>
      <c r="H63" s="95"/>
      <c r="I63" s="94"/>
      <c r="J63" s="93">
        <v>0.5</v>
      </c>
      <c r="K63" s="94">
        <v>320</v>
      </c>
      <c r="L63" s="95"/>
      <c r="M63" s="94"/>
      <c r="N63" s="93"/>
      <c r="O63" s="94"/>
      <c r="P63" s="95"/>
      <c r="Q63" s="96"/>
      <c r="R63" s="95"/>
      <c r="S63" s="237"/>
      <c r="T63" s="227"/>
      <c r="U63" s="237"/>
      <c r="V63" s="95">
        <v>0.5</v>
      </c>
      <c r="W63" s="237">
        <v>320</v>
      </c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1.5</v>
      </c>
      <c r="AK63" s="340">
        <f>IF(ISERR(AL63/AJ63),S!D61,(AL63/AJ63))</f>
        <v>640</v>
      </c>
      <c r="AL63" s="99">
        <f t="shared" si="1"/>
        <v>960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>
        <v>0.5</v>
      </c>
      <c r="G64" s="94">
        <v>330</v>
      </c>
      <c r="H64" s="95"/>
      <c r="I64" s="94"/>
      <c r="J64" s="93">
        <v>0.5</v>
      </c>
      <c r="K64" s="94">
        <v>330</v>
      </c>
      <c r="L64" s="95"/>
      <c r="M64" s="94"/>
      <c r="N64" s="93"/>
      <c r="O64" s="94"/>
      <c r="P64" s="95"/>
      <c r="Q64" s="96"/>
      <c r="R64" s="95"/>
      <c r="S64" s="237"/>
      <c r="T64" s="227">
        <v>0.5</v>
      </c>
      <c r="U64" s="237">
        <v>330</v>
      </c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1.5</v>
      </c>
      <c r="AK64" s="340">
        <f>IF(ISERR(AL64/AJ64),S!D62,(AL64/AJ64))</f>
        <v>660</v>
      </c>
      <c r="AL64" s="99">
        <f t="shared" si="1"/>
        <v>990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>
        <v>0.1</v>
      </c>
      <c r="I65" s="94">
        <v>40</v>
      </c>
      <c r="J65" s="93"/>
      <c r="K65" s="94"/>
      <c r="L65" s="95">
        <v>0.1</v>
      </c>
      <c r="M65" s="94">
        <v>40</v>
      </c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0.2</v>
      </c>
      <c r="AK65" s="340">
        <f>IF(ISERR(AL65/AJ65),S!D63,(AL65/AJ65))</f>
        <v>400</v>
      </c>
      <c r="AL65" s="99">
        <f t="shared" si="1"/>
        <v>80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>
        <v>0.1</v>
      </c>
      <c r="E67" s="98">
        <v>90</v>
      </c>
      <c r="F67" s="272">
        <v>0.1</v>
      </c>
      <c r="G67" s="94">
        <v>90</v>
      </c>
      <c r="H67" s="95"/>
      <c r="I67" s="94"/>
      <c r="J67" s="93"/>
      <c r="K67" s="94"/>
      <c r="L67" s="95">
        <v>0.2</v>
      </c>
      <c r="M67" s="94">
        <v>170</v>
      </c>
      <c r="N67" s="93"/>
      <c r="O67" s="94"/>
      <c r="P67" s="95">
        <v>0.5</v>
      </c>
      <c r="Q67" s="96">
        <v>830</v>
      </c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0.89999999999999991</v>
      </c>
      <c r="AK67" s="340">
        <f>IF(ISERR(AL67/AJ67),S!D65,(AL67/AJ67))</f>
        <v>1311.1111111111113</v>
      </c>
      <c r="AL67" s="99">
        <f t="shared" si="1"/>
        <v>1180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>
        <v>1</v>
      </c>
      <c r="M68" s="94">
        <v>18</v>
      </c>
      <c r="N68" s="93"/>
      <c r="O68" s="94"/>
      <c r="P68" s="95"/>
      <c r="Q68" s="96"/>
      <c r="R68" s="95">
        <v>1</v>
      </c>
      <c r="S68" s="237">
        <v>18</v>
      </c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2</v>
      </c>
      <c r="AK68" s="340">
        <f>IF(ISERR(AL68/AJ68),S!D66,(AL68/AJ68))</f>
        <v>18</v>
      </c>
      <c r="AL68" s="99">
        <f t="shared" si="1"/>
        <v>36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>
        <v>1</v>
      </c>
      <c r="M69" s="94">
        <v>18</v>
      </c>
      <c r="N69" s="93"/>
      <c r="O69" s="94"/>
      <c r="P69" s="95"/>
      <c r="Q69" s="96"/>
      <c r="R69" s="95">
        <v>1</v>
      </c>
      <c r="S69" s="237">
        <v>18</v>
      </c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2</v>
      </c>
      <c r="AK69" s="340">
        <f>IF(ISERR(AL69/AJ69),S!D67,(AL69/AJ69))</f>
        <v>18</v>
      </c>
      <c r="AL69" s="99">
        <f t="shared" si="1"/>
        <v>36</v>
      </c>
    </row>
    <row r="70" spans="1:38">
      <c r="A70" s="91">
        <v>66</v>
      </c>
      <c r="B70" s="92" t="s">
        <v>77</v>
      </c>
      <c r="C70" s="100" t="s">
        <v>9</v>
      </c>
      <c r="D70" s="272">
        <v>0.05</v>
      </c>
      <c r="E70" s="98">
        <v>290</v>
      </c>
      <c r="F70" s="272">
        <v>0.05</v>
      </c>
      <c r="G70" s="94">
        <v>290</v>
      </c>
      <c r="H70" s="95"/>
      <c r="I70" s="94"/>
      <c r="J70" s="93">
        <v>0.1</v>
      </c>
      <c r="K70" s="94">
        <v>560</v>
      </c>
      <c r="L70" s="95"/>
      <c r="M70" s="94"/>
      <c r="N70" s="93">
        <v>0.05</v>
      </c>
      <c r="O70" s="94">
        <v>290</v>
      </c>
      <c r="P70" s="95"/>
      <c r="Q70" s="96"/>
      <c r="R70" s="95"/>
      <c r="S70" s="237"/>
      <c r="T70" s="227">
        <v>0.05</v>
      </c>
      <c r="U70" s="237">
        <v>290</v>
      </c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0.3</v>
      </c>
      <c r="AK70" s="340">
        <f>IF(ISERR(AL70/AJ70),S!D68,(AL70/AJ70))</f>
        <v>5733.3333333333339</v>
      </c>
      <c r="AL70" s="99">
        <f t="shared" ref="AL70:AL133" si="3">E70+G70+I70+K70+M70+O70+Q70+S70+U70+W70+Y70+AA70+AC70+AE70+AG70+AI70</f>
        <v>1720</v>
      </c>
    </row>
    <row r="71" spans="1:38">
      <c r="A71" s="91">
        <v>67</v>
      </c>
      <c r="B71" s="92" t="s">
        <v>78</v>
      </c>
      <c r="C71" s="100" t="s">
        <v>9</v>
      </c>
      <c r="D71" s="272">
        <v>0.1</v>
      </c>
      <c r="E71" s="98">
        <v>60</v>
      </c>
      <c r="F71" s="272">
        <v>0.1</v>
      </c>
      <c r="G71" s="94">
        <v>60</v>
      </c>
      <c r="H71" s="95"/>
      <c r="I71" s="94"/>
      <c r="J71" s="93"/>
      <c r="K71" s="94"/>
      <c r="L71" s="95"/>
      <c r="M71" s="94"/>
      <c r="N71" s="93">
        <v>0.5</v>
      </c>
      <c r="O71" s="94">
        <v>300</v>
      </c>
      <c r="P71" s="95"/>
      <c r="Q71" s="96"/>
      <c r="R71" s="95"/>
      <c r="S71" s="237"/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0.7</v>
      </c>
      <c r="AK71" s="340">
        <f>IF(ISERR(AL71/AJ71),S!D69,(AL71/AJ71))</f>
        <v>600</v>
      </c>
      <c r="AL71" s="99">
        <f t="shared" si="3"/>
        <v>420</v>
      </c>
    </row>
    <row r="72" spans="1:38">
      <c r="A72" s="91">
        <v>68</v>
      </c>
      <c r="B72" s="92" t="s">
        <v>79</v>
      </c>
      <c r="C72" s="100" t="s">
        <v>9</v>
      </c>
      <c r="D72" s="272">
        <v>2.5000000000000001E-2</v>
      </c>
      <c r="E72" s="98">
        <v>100</v>
      </c>
      <c r="F72" s="272">
        <v>2.5000000000000001E-2</v>
      </c>
      <c r="G72" s="94">
        <v>100</v>
      </c>
      <c r="H72" s="95"/>
      <c r="I72" s="94"/>
      <c r="J72" s="93"/>
      <c r="K72" s="94"/>
      <c r="L72" s="95">
        <v>2.5000000000000001E-2</v>
      </c>
      <c r="M72" s="94">
        <v>90</v>
      </c>
      <c r="N72" s="93">
        <v>0.05</v>
      </c>
      <c r="O72" s="94">
        <v>90</v>
      </c>
      <c r="P72" s="95"/>
      <c r="Q72" s="96"/>
      <c r="R72" s="95"/>
      <c r="S72" s="237"/>
      <c r="T72" s="227">
        <v>0.05</v>
      </c>
      <c r="U72" s="237">
        <v>90</v>
      </c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0.17499999999999999</v>
      </c>
      <c r="AK72" s="340">
        <f>IF(ISERR(AL72/AJ72),S!D70,(AL72/AJ72))</f>
        <v>2685.7142857142858</v>
      </c>
      <c r="AL72" s="99">
        <f t="shared" si="3"/>
        <v>470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8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>
        <v>0.25</v>
      </c>
      <c r="M74" s="94">
        <v>220</v>
      </c>
      <c r="N74" s="93"/>
      <c r="O74" s="94"/>
      <c r="P74" s="95"/>
      <c r="Q74" s="96"/>
      <c r="R74" s="95">
        <v>0.1</v>
      </c>
      <c r="S74" s="237">
        <v>85</v>
      </c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0.35</v>
      </c>
      <c r="AK74" s="340">
        <f>IF(ISERR(AL74/AJ74),S!D72,(AL74/AJ74))</f>
        <v>871.42857142857144</v>
      </c>
      <c r="AL74" s="99">
        <f t="shared" si="3"/>
        <v>305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>
        <v>0.2</v>
      </c>
      <c r="S75" s="237">
        <v>140</v>
      </c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0.2</v>
      </c>
      <c r="AK75" s="340">
        <f>IF(ISERR(AL75/AJ75),S!D73,(AL75/AJ75))</f>
        <v>700</v>
      </c>
      <c r="AL75" s="99">
        <f t="shared" si="3"/>
        <v>140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/>
      <c r="E77" s="98"/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>
        <v>0.2</v>
      </c>
      <c r="Q77" s="96">
        <v>380</v>
      </c>
      <c r="R77" s="95">
        <v>0.45</v>
      </c>
      <c r="S77" s="237">
        <v>800</v>
      </c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0.65</v>
      </c>
      <c r="AK77" s="340">
        <f>IF(ISERR(AL77/AJ77),S!D75,(AL77/AJ77))</f>
        <v>1815.3846153846152</v>
      </c>
      <c r="AL77" s="99">
        <f t="shared" si="3"/>
        <v>1180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3599.9999999999995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>
        <v>0.1</v>
      </c>
      <c r="G80" s="94">
        <v>60</v>
      </c>
      <c r="H80" s="95"/>
      <c r="I80" s="94"/>
      <c r="J80" s="93">
        <v>0.1</v>
      </c>
      <c r="K80" s="94">
        <v>60</v>
      </c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>
        <v>0.1</v>
      </c>
      <c r="W80" s="237">
        <v>60</v>
      </c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0.30000000000000004</v>
      </c>
      <c r="AK80" s="340">
        <f>IF(ISERR(AL80/AJ80),S!D78,(AL80/AJ80))</f>
        <v>599.99999999999989</v>
      </c>
      <c r="AL80" s="99">
        <f t="shared" si="3"/>
        <v>180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>
        <v>1</v>
      </c>
      <c r="E82" s="98">
        <v>180</v>
      </c>
      <c r="F82" s="272">
        <v>1</v>
      </c>
      <c r="G82" s="94">
        <v>180</v>
      </c>
      <c r="H82" s="95">
        <v>1</v>
      </c>
      <c r="I82" s="94">
        <v>180</v>
      </c>
      <c r="J82" s="93"/>
      <c r="K82" s="94"/>
      <c r="L82" s="95"/>
      <c r="M82" s="94"/>
      <c r="N82" s="93"/>
      <c r="O82" s="94"/>
      <c r="P82" s="95"/>
      <c r="Q82" s="96"/>
      <c r="R82" s="95"/>
      <c r="S82" s="237"/>
      <c r="T82" s="227">
        <v>1</v>
      </c>
      <c r="U82" s="237">
        <v>180</v>
      </c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4</v>
      </c>
      <c r="AK82" s="340">
        <f>IF(ISERR(AL82/AJ82),S!D80,(AL82/AJ82))</f>
        <v>180</v>
      </c>
      <c r="AL82" s="99">
        <f t="shared" si="3"/>
        <v>720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>
        <v>2.5000000000000001E-2</v>
      </c>
      <c r="M86" s="94">
        <v>90</v>
      </c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2.5000000000000001E-2</v>
      </c>
      <c r="AK86" s="340">
        <f>IF(ISERR(AL86/AJ86),S!D84,(AL86/AJ86))</f>
        <v>3600</v>
      </c>
      <c r="AL86" s="99">
        <f t="shared" si="3"/>
        <v>90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202</v>
      </c>
      <c r="AL87" s="99">
        <f t="shared" si="3"/>
        <v>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>
        <v>0.1</v>
      </c>
      <c r="I88" s="94">
        <v>180</v>
      </c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0.1</v>
      </c>
      <c r="AK88" s="340">
        <f>IF(ISERR(AL88/AJ88),S!D86,(AL88/AJ88))</f>
        <v>1800</v>
      </c>
      <c r="AL88" s="99">
        <f t="shared" si="3"/>
        <v>180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>
        <v>24</v>
      </c>
      <c r="G89" s="94">
        <v>1608</v>
      </c>
      <c r="H89" s="95"/>
      <c r="I89" s="94"/>
      <c r="J89" s="93">
        <v>24</v>
      </c>
      <c r="K89" s="94">
        <v>1608</v>
      </c>
      <c r="L89" s="95">
        <v>24</v>
      </c>
      <c r="M89" s="94">
        <v>1608</v>
      </c>
      <c r="N89" s="93">
        <v>24</v>
      </c>
      <c r="O89" s="94">
        <v>1608</v>
      </c>
      <c r="P89" s="95"/>
      <c r="Q89" s="96"/>
      <c r="R89" s="95"/>
      <c r="S89" s="237"/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96</v>
      </c>
      <c r="AK89" s="340">
        <f>IF(ISERR(AL89/AJ89),S!D87,(AL89/AJ89))</f>
        <v>67</v>
      </c>
      <c r="AL89" s="99">
        <f t="shared" si="3"/>
        <v>6432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>
        <v>20</v>
      </c>
      <c r="G90" s="94">
        <v>2000</v>
      </c>
      <c r="H90" s="95"/>
      <c r="I90" s="94"/>
      <c r="J90" s="93"/>
      <c r="K90" s="94"/>
      <c r="L90" s="95">
        <v>20</v>
      </c>
      <c r="M90" s="94">
        <v>2000</v>
      </c>
      <c r="N90" s="93"/>
      <c r="O90" s="94"/>
      <c r="P90" s="95"/>
      <c r="Q90" s="96"/>
      <c r="R90" s="95"/>
      <c r="S90" s="237"/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40</v>
      </c>
      <c r="AK90" s="340">
        <f>IF(ISERR(AL90/AJ90),S!D88,(AL90/AJ90))</f>
        <v>100</v>
      </c>
      <c r="AL90" s="99">
        <f t="shared" si="3"/>
        <v>4000</v>
      </c>
    </row>
    <row r="91" spans="1:38">
      <c r="A91" s="91">
        <v>87</v>
      </c>
      <c r="B91" s="92" t="s">
        <v>94</v>
      </c>
      <c r="C91" s="100" t="s">
        <v>31</v>
      </c>
      <c r="D91" s="272">
        <v>150</v>
      </c>
      <c r="E91" s="98">
        <v>1710</v>
      </c>
      <c r="F91" s="272">
        <v>240</v>
      </c>
      <c r="G91" s="94">
        <v>2712</v>
      </c>
      <c r="H91" s="95">
        <v>60</v>
      </c>
      <c r="I91" s="94">
        <v>678</v>
      </c>
      <c r="J91" s="93">
        <v>210</v>
      </c>
      <c r="K91" s="94">
        <v>2373</v>
      </c>
      <c r="L91" s="95">
        <v>330</v>
      </c>
      <c r="M91" s="94">
        <v>3729</v>
      </c>
      <c r="N91" s="93">
        <v>90</v>
      </c>
      <c r="O91" s="94">
        <v>1017</v>
      </c>
      <c r="P91" s="95">
        <v>40</v>
      </c>
      <c r="Q91" s="96">
        <v>452</v>
      </c>
      <c r="R91" s="95">
        <v>30</v>
      </c>
      <c r="S91" s="237">
        <v>339</v>
      </c>
      <c r="T91" s="227">
        <v>90</v>
      </c>
      <c r="U91" s="237">
        <v>1017</v>
      </c>
      <c r="V91" s="95">
        <v>60</v>
      </c>
      <c r="W91" s="237">
        <v>678</v>
      </c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1300</v>
      </c>
      <c r="AK91" s="340">
        <f>IF(ISERR(AL91/AJ91),S!D89,(AL91/AJ91))</f>
        <v>11.311538461538461</v>
      </c>
      <c r="AL91" s="99">
        <f t="shared" si="3"/>
        <v>14705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215.76719576719577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>
        <v>4</v>
      </c>
      <c r="E97" s="98">
        <v>340</v>
      </c>
      <c r="F97" s="272">
        <v>4</v>
      </c>
      <c r="G97" s="94">
        <v>340</v>
      </c>
      <c r="H97" s="95"/>
      <c r="I97" s="94"/>
      <c r="J97" s="93">
        <v>1</v>
      </c>
      <c r="K97" s="94">
        <v>150</v>
      </c>
      <c r="L97" s="95"/>
      <c r="M97" s="94"/>
      <c r="N97" s="93">
        <v>4</v>
      </c>
      <c r="O97" s="94">
        <v>340</v>
      </c>
      <c r="P97" s="95"/>
      <c r="Q97" s="96"/>
      <c r="R97" s="95"/>
      <c r="S97" s="237"/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13</v>
      </c>
      <c r="AK97" s="340">
        <f>IF(ISERR(AL97/AJ97),S!D95,(AL97/AJ97))</f>
        <v>90</v>
      </c>
      <c r="AL97" s="99">
        <f t="shared" si="3"/>
        <v>1170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520</v>
      </c>
      <c r="AL99" s="99">
        <f t="shared" si="3"/>
        <v>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/>
      <c r="I100" s="94"/>
      <c r="J100" s="93"/>
      <c r="K100" s="94"/>
      <c r="L100" s="95"/>
      <c r="M100" s="94"/>
      <c r="N100" s="93">
        <v>1</v>
      </c>
      <c r="O100" s="94">
        <v>175</v>
      </c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1</v>
      </c>
      <c r="AK100" s="340">
        <f>IF(ISERR(AL100/AJ100),S!D98,(AL100/AJ100))</f>
        <v>175</v>
      </c>
      <c r="AL100" s="99">
        <f t="shared" si="3"/>
        <v>175</v>
      </c>
    </row>
    <row r="101" spans="1:38">
      <c r="A101" s="91">
        <v>97</v>
      </c>
      <c r="B101" s="92" t="s">
        <v>102</v>
      </c>
      <c r="C101" s="100" t="s">
        <v>9</v>
      </c>
      <c r="D101" s="272">
        <v>0.45</v>
      </c>
      <c r="E101" s="98">
        <v>270</v>
      </c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0.45</v>
      </c>
      <c r="AK101" s="340">
        <f>IF(ISERR(AL101/AJ101),S!D99,(AL101/AJ101))</f>
        <v>600</v>
      </c>
      <c r="AL101" s="99">
        <f t="shared" si="3"/>
        <v>270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>
        <v>3</v>
      </c>
      <c r="K102" s="94">
        <v>525</v>
      </c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3</v>
      </c>
      <c r="AK102" s="340">
        <f>IF(ISERR(AL102/AJ102),S!D100,(AL102/AJ102))</f>
        <v>175</v>
      </c>
      <c r="AL102" s="99">
        <f t="shared" si="3"/>
        <v>525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>
        <v>2</v>
      </c>
      <c r="G104" s="94">
        <v>200</v>
      </c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>
        <v>3</v>
      </c>
      <c r="U104" s="237">
        <v>300</v>
      </c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5</v>
      </c>
      <c r="AK104" s="340">
        <f>IF(ISERR(AL104/AJ104),S!D102,(AL104/AJ104))</f>
        <v>100</v>
      </c>
      <c r="AL104" s="99">
        <f t="shared" si="3"/>
        <v>500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180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>
        <v>12</v>
      </c>
      <c r="I106" s="94">
        <v>1920</v>
      </c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12</v>
      </c>
      <c r="AK106" s="340">
        <f>IF(ISERR(AL106/AJ106),S!D104,(AL106/AJ106))</f>
        <v>160</v>
      </c>
      <c r="AL106" s="99">
        <f t="shared" si="3"/>
        <v>1920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168.33333333333334</v>
      </c>
      <c r="AL107" s="99">
        <f t="shared" si="3"/>
        <v>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161.11111111111111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>
        <v>1</v>
      </c>
      <c r="O109" s="94">
        <v>340</v>
      </c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1</v>
      </c>
      <c r="AK109" s="340">
        <f>IF(ISERR(AL109/AJ109),S!D107,(AL109/AJ109))</f>
        <v>340</v>
      </c>
      <c r="AL109" s="99">
        <f t="shared" si="3"/>
        <v>340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0</v>
      </c>
      <c r="AK111" s="340">
        <f>IF(ISERR(AL111/AJ111),S!D109,(AL111/AJ111))</f>
        <v>270.71428571428572</v>
      </c>
      <c r="AL111" s="99">
        <f t="shared" si="3"/>
        <v>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/>
      <c r="E114" s="98"/>
      <c r="F114" s="272"/>
      <c r="G114" s="94"/>
      <c r="H114" s="95"/>
      <c r="I114" s="94"/>
      <c r="J114" s="93">
        <v>0.5</v>
      </c>
      <c r="K114" s="94">
        <v>860</v>
      </c>
      <c r="L114" s="95"/>
      <c r="M114" s="94"/>
      <c r="N114" s="93">
        <v>0.25</v>
      </c>
      <c r="O114" s="94">
        <v>790</v>
      </c>
      <c r="P114" s="95"/>
      <c r="Q114" s="96"/>
      <c r="R114" s="95">
        <v>0.24</v>
      </c>
      <c r="S114" s="237">
        <v>425</v>
      </c>
      <c r="T114" s="227"/>
      <c r="U114" s="237"/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0.99</v>
      </c>
      <c r="AK114" s="340">
        <f>IF(ISERR(AL114/AJ114),S!D112,(AL114/AJ114))</f>
        <v>2095.9595959595958</v>
      </c>
      <c r="AL114" s="99">
        <f t="shared" si="3"/>
        <v>2075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3880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/>
      <c r="I118" s="94"/>
      <c r="J118" s="93"/>
      <c r="K118" s="94"/>
      <c r="L118" s="95">
        <v>288</v>
      </c>
      <c r="M118" s="94">
        <v>2540</v>
      </c>
      <c r="N118" s="93"/>
      <c r="O118" s="94"/>
      <c r="P118" s="95">
        <v>6</v>
      </c>
      <c r="Q118" s="96">
        <v>120</v>
      </c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294</v>
      </c>
      <c r="AK118" s="340">
        <f>IF(ISERR(AL118/AJ118),S!D116,(AL118/AJ118))</f>
        <v>9.0476190476190474</v>
      </c>
      <c r="AL118" s="99">
        <f t="shared" si="3"/>
        <v>2660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180</v>
      </c>
      <c r="AL120" s="99">
        <f t="shared" si="3"/>
        <v>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>
        <v>2</v>
      </c>
      <c r="M122" s="94">
        <v>290</v>
      </c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2</v>
      </c>
      <c r="AK122" s="340">
        <f>IF(ISERR(AL122/AJ122),S!D120,(AL122/AJ122))</f>
        <v>145</v>
      </c>
      <c r="AL122" s="99">
        <f t="shared" si="3"/>
        <v>290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0</v>
      </c>
      <c r="AK123" s="340">
        <f>IF(ISERR(AL123/AJ123),S!D121,(AL123/AJ123))</f>
        <v>110</v>
      </c>
      <c r="AL123" s="99">
        <f t="shared" si="3"/>
        <v>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6.583333333333333</v>
      </c>
      <c r="AL124" s="99">
        <f t="shared" si="3"/>
        <v>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>
        <v>0.32</v>
      </c>
      <c r="G125" s="94">
        <v>280</v>
      </c>
      <c r="H125" s="95"/>
      <c r="I125" s="94"/>
      <c r="J125" s="93"/>
      <c r="K125" s="94"/>
      <c r="L125" s="95">
        <v>1.5</v>
      </c>
      <c r="M125" s="94">
        <v>1425</v>
      </c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1.82</v>
      </c>
      <c r="AK125" s="340">
        <f>IF(ISERR(AL125/AJ125),S!D123,(AL125/AJ125))</f>
        <v>936.8131868131868</v>
      </c>
      <c r="AL125" s="99">
        <f t="shared" si="3"/>
        <v>1705</v>
      </c>
    </row>
    <row r="126" spans="1:38">
      <c r="A126" s="91">
        <v>122</v>
      </c>
      <c r="B126" s="92" t="s">
        <v>123</v>
      </c>
      <c r="C126" s="100" t="s">
        <v>31</v>
      </c>
      <c r="D126" s="272">
        <v>48</v>
      </c>
      <c r="E126" s="98">
        <v>480</v>
      </c>
      <c r="F126" s="272">
        <v>86</v>
      </c>
      <c r="G126" s="94">
        <v>860</v>
      </c>
      <c r="H126" s="95">
        <v>30</v>
      </c>
      <c r="I126" s="94">
        <v>300</v>
      </c>
      <c r="J126" s="93">
        <v>85</v>
      </c>
      <c r="K126" s="94">
        <v>850</v>
      </c>
      <c r="L126" s="95">
        <v>97</v>
      </c>
      <c r="M126" s="94">
        <v>970</v>
      </c>
      <c r="N126" s="93">
        <v>35</v>
      </c>
      <c r="O126" s="94">
        <v>350</v>
      </c>
      <c r="P126" s="95">
        <v>30</v>
      </c>
      <c r="Q126" s="96">
        <v>300</v>
      </c>
      <c r="R126" s="95">
        <v>35</v>
      </c>
      <c r="S126" s="237">
        <v>350</v>
      </c>
      <c r="T126" s="227">
        <v>40</v>
      </c>
      <c r="U126" s="237">
        <v>400</v>
      </c>
      <c r="V126" s="95">
        <v>26</v>
      </c>
      <c r="W126" s="237">
        <v>260</v>
      </c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512</v>
      </c>
      <c r="AK126" s="340">
        <f>IF(ISERR(AL126/AJ126),S!D124,(AL126/AJ126))</f>
        <v>10</v>
      </c>
      <c r="AL126" s="99">
        <f t="shared" si="3"/>
        <v>5120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>
        <v>5.6</v>
      </c>
      <c r="E128" s="98">
        <v>504</v>
      </c>
      <c r="F128" s="272"/>
      <c r="G128" s="94"/>
      <c r="H128" s="95">
        <v>10.199999999999999</v>
      </c>
      <c r="I128" s="94">
        <v>1224</v>
      </c>
      <c r="J128" s="93">
        <v>5.6</v>
      </c>
      <c r="K128" s="94">
        <v>616</v>
      </c>
      <c r="L128" s="95">
        <v>7.9</v>
      </c>
      <c r="M128" s="94">
        <v>869</v>
      </c>
      <c r="N128" s="93"/>
      <c r="O128" s="94"/>
      <c r="P128" s="95"/>
      <c r="Q128" s="96"/>
      <c r="R128" s="95">
        <v>0.95</v>
      </c>
      <c r="S128" s="237">
        <v>100</v>
      </c>
      <c r="T128" s="227"/>
      <c r="U128" s="237"/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30.25</v>
      </c>
      <c r="AK128" s="340">
        <f>IF(ISERR(AL128/AJ128),S!D126,(AL128/AJ128))</f>
        <v>109.52066115702479</v>
      </c>
      <c r="AL128" s="99">
        <f t="shared" si="3"/>
        <v>3313</v>
      </c>
    </row>
    <row r="129" spans="1:38">
      <c r="A129" s="91">
        <v>125</v>
      </c>
      <c r="B129" s="92" t="s">
        <v>261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363.28358208955223</v>
      </c>
      <c r="AL129" s="99">
        <f t="shared" si="3"/>
        <v>0</v>
      </c>
    </row>
    <row r="130" spans="1:38">
      <c r="A130" s="91">
        <v>126</v>
      </c>
      <c r="B130" s="92" t="s">
        <v>265</v>
      </c>
      <c r="C130" s="100" t="s">
        <v>9</v>
      </c>
      <c r="D130" s="272">
        <v>1</v>
      </c>
      <c r="E130" s="98">
        <v>380</v>
      </c>
      <c r="F130" s="272"/>
      <c r="G130" s="94"/>
      <c r="H130" s="95"/>
      <c r="I130" s="94"/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1</v>
      </c>
      <c r="AK130" s="340">
        <f>IF(ISERR(AL130/AJ130),S!D128,(AL130/AJ130))</f>
        <v>380</v>
      </c>
      <c r="AL130" s="99">
        <f t="shared" si="3"/>
        <v>380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>
        <v>1</v>
      </c>
      <c r="I131" s="94">
        <v>300</v>
      </c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1</v>
      </c>
      <c r="AK131" s="340">
        <f>IF(ISERR(AL131/AJ131),S!D129,(AL131/AJ131))</f>
        <v>300</v>
      </c>
      <c r="AL131" s="99">
        <f t="shared" si="3"/>
        <v>300</v>
      </c>
    </row>
    <row r="132" spans="1:38">
      <c r="A132" s="91">
        <v>128</v>
      </c>
      <c r="B132" s="92" t="s">
        <v>124</v>
      </c>
      <c r="C132" s="100" t="s">
        <v>9</v>
      </c>
      <c r="D132" s="272">
        <v>5</v>
      </c>
      <c r="E132" s="98">
        <v>550</v>
      </c>
      <c r="F132" s="272"/>
      <c r="G132" s="94"/>
      <c r="H132" s="95">
        <v>5</v>
      </c>
      <c r="I132" s="94">
        <v>500</v>
      </c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>
        <v>1</v>
      </c>
      <c r="W132" s="237">
        <v>100</v>
      </c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11</v>
      </c>
      <c r="AK132" s="340">
        <f>IF(ISERR(AL132/AJ132),S!D130,(AL132/AJ132))</f>
        <v>104.54545454545455</v>
      </c>
      <c r="AL132" s="99">
        <f t="shared" si="3"/>
        <v>1150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130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>
        <v>7.1</v>
      </c>
      <c r="E135" s="94">
        <v>1349</v>
      </c>
      <c r="F135" s="272"/>
      <c r="G135" s="94"/>
      <c r="H135" s="95"/>
      <c r="I135" s="94"/>
      <c r="J135" s="93">
        <v>6.3</v>
      </c>
      <c r="K135" s="94">
        <v>1165</v>
      </c>
      <c r="L135" s="95"/>
      <c r="M135" s="94"/>
      <c r="N135" s="93">
        <v>1.65</v>
      </c>
      <c r="O135" s="94">
        <v>297</v>
      </c>
      <c r="P135" s="95"/>
      <c r="Q135" s="96"/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15.049999999999999</v>
      </c>
      <c r="AK135" s="340">
        <f>IF(ISERR(AL135/AJ135),S!D133,(AL135/AJ135))</f>
        <v>186.77740863787378</v>
      </c>
      <c r="AL135" s="99">
        <f t="shared" si="5"/>
        <v>2811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>
        <v>15</v>
      </c>
      <c r="G136" s="94">
        <v>900</v>
      </c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15</v>
      </c>
      <c r="AK136" s="340">
        <f>IF(ISERR(AL136/AJ136),S!D134,(AL136/AJ136))</f>
        <v>60</v>
      </c>
      <c r="AL136" s="99">
        <f t="shared" si="5"/>
        <v>900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309.70384373030879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110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>
        <v>50</v>
      </c>
      <c r="M143" s="94">
        <v>925</v>
      </c>
      <c r="N143" s="93"/>
      <c r="O143" s="94"/>
      <c r="P143" s="95"/>
      <c r="Q143" s="96"/>
      <c r="R143" s="95">
        <v>26</v>
      </c>
      <c r="S143" s="237">
        <v>1300</v>
      </c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76</v>
      </c>
      <c r="AK143" s="340">
        <f>IF(ISERR(AL143/AJ143),S!D141,(AL143/AJ143))</f>
        <v>29.276315789473685</v>
      </c>
      <c r="AL143" s="99">
        <f t="shared" si="5"/>
        <v>2225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>
        <v>4</v>
      </c>
      <c r="S144" s="237">
        <v>280</v>
      </c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4</v>
      </c>
      <c r="AK144" s="340">
        <f>IF(ISERR(AL144/AJ144),S!D142,(AL144/AJ144))</f>
        <v>70</v>
      </c>
      <c r="AL144" s="99">
        <f t="shared" si="5"/>
        <v>280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/>
      <c r="G145" s="94"/>
      <c r="H145" s="95"/>
      <c r="I145" s="94"/>
      <c r="J145" s="93"/>
      <c r="K145" s="94"/>
      <c r="L145" s="95">
        <v>15</v>
      </c>
      <c r="M145" s="94">
        <v>16500</v>
      </c>
      <c r="N145" s="93"/>
      <c r="O145" s="94"/>
      <c r="P145" s="95"/>
      <c r="Q145" s="96"/>
      <c r="R145" s="95">
        <v>12</v>
      </c>
      <c r="S145" s="237">
        <v>13200</v>
      </c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27</v>
      </c>
      <c r="AK145" s="340">
        <f>IF(ISERR(AL145/AJ145),S!D143,(AL145/AJ145))</f>
        <v>1100</v>
      </c>
      <c r="AL145" s="99">
        <f t="shared" si="5"/>
        <v>29700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>
        <v>1</v>
      </c>
      <c r="K147" s="94">
        <v>700</v>
      </c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1</v>
      </c>
      <c r="AK147" s="340">
        <f>IF(ISERR(AL147/AJ147),S!D145,(AL147/AJ147))</f>
        <v>700</v>
      </c>
      <c r="AL147" s="99">
        <f t="shared" si="5"/>
        <v>700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1100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750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>
        <v>20</v>
      </c>
      <c r="E152" s="94">
        <v>4630</v>
      </c>
      <c r="F152" s="272">
        <v>26</v>
      </c>
      <c r="G152" s="94">
        <v>6015</v>
      </c>
      <c r="H152" s="95">
        <v>22</v>
      </c>
      <c r="I152" s="94">
        <v>5264</v>
      </c>
      <c r="J152" s="93">
        <v>27</v>
      </c>
      <c r="K152" s="94">
        <v>6129</v>
      </c>
      <c r="L152" s="95">
        <v>8</v>
      </c>
      <c r="M152" s="94">
        <v>1849</v>
      </c>
      <c r="N152" s="93">
        <v>15</v>
      </c>
      <c r="O152" s="94">
        <v>3483</v>
      </c>
      <c r="P152" s="95">
        <v>8</v>
      </c>
      <c r="Q152" s="96">
        <v>1822</v>
      </c>
      <c r="R152" s="95">
        <v>12</v>
      </c>
      <c r="S152" s="237">
        <v>2781</v>
      </c>
      <c r="T152" s="227">
        <v>14</v>
      </c>
      <c r="U152" s="237">
        <v>3267</v>
      </c>
      <c r="V152" s="95">
        <v>8</v>
      </c>
      <c r="W152" s="237">
        <v>1836</v>
      </c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160</v>
      </c>
      <c r="AK152" s="340">
        <f>IF(ISERR(AL152/AJ152),S!D150,(AL152/AJ152))</f>
        <v>231.72499999999999</v>
      </c>
      <c r="AL152" s="99">
        <f t="shared" si="5"/>
        <v>37076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>
        <v>2.1</v>
      </c>
      <c r="G154" s="94">
        <v>357</v>
      </c>
      <c r="H154" s="95">
        <v>2.4</v>
      </c>
      <c r="I154" s="94">
        <v>408</v>
      </c>
      <c r="J154" s="93"/>
      <c r="K154" s="94"/>
      <c r="L154" s="95">
        <v>1.9</v>
      </c>
      <c r="M154" s="94">
        <v>323</v>
      </c>
      <c r="N154" s="93"/>
      <c r="O154" s="94"/>
      <c r="P154" s="95"/>
      <c r="Q154" s="96"/>
      <c r="R154" s="95"/>
      <c r="S154" s="237"/>
      <c r="T154" s="227"/>
      <c r="U154" s="237"/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6.4</v>
      </c>
      <c r="AK154" s="340">
        <f>IF(ISERR(AL154/AJ154),S!D152,(AL154/AJ154))</f>
        <v>170</v>
      </c>
      <c r="AL154" s="99">
        <f t="shared" si="5"/>
        <v>1088</v>
      </c>
    </row>
    <row r="155" spans="1:38">
      <c r="A155" s="91">
        <v>151</v>
      </c>
      <c r="B155" s="92" t="s">
        <v>138</v>
      </c>
      <c r="C155" s="100" t="s">
        <v>9</v>
      </c>
      <c r="D155" s="272">
        <v>13.5</v>
      </c>
      <c r="E155" s="98">
        <v>5130</v>
      </c>
      <c r="F155" s="272"/>
      <c r="G155" s="94"/>
      <c r="H155" s="95"/>
      <c r="I155" s="94"/>
      <c r="J155" s="93"/>
      <c r="K155" s="94"/>
      <c r="L155" s="95">
        <v>8</v>
      </c>
      <c r="M155" s="94">
        <v>2960</v>
      </c>
      <c r="N155" s="93"/>
      <c r="O155" s="94"/>
      <c r="P155" s="95"/>
      <c r="Q155" s="96"/>
      <c r="R155" s="95">
        <v>5</v>
      </c>
      <c r="S155" s="237">
        <v>1700</v>
      </c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26.5</v>
      </c>
      <c r="AK155" s="340">
        <f>IF(ISERR(AL155/AJ155),S!D153,(AL155/AJ155))</f>
        <v>369.43396226415092</v>
      </c>
      <c r="AL155" s="99">
        <f t="shared" si="5"/>
        <v>9790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>
        <v>9.3000000000000007</v>
      </c>
      <c r="K156" s="94">
        <v>3255</v>
      </c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9.3000000000000007</v>
      </c>
      <c r="AK156" s="340">
        <f>IF(ISERR(AL156/AJ156),S!D154,(AL156/AJ156))</f>
        <v>350</v>
      </c>
      <c r="AL156" s="99">
        <f t="shared" si="5"/>
        <v>3255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2253.7623762376234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>
        <v>1</v>
      </c>
      <c r="O162" s="94">
        <v>370</v>
      </c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1</v>
      </c>
      <c r="AK162" s="340">
        <f>IF(ISERR(AL162/AJ162),S!D160,(AL162/AJ162))</f>
        <v>370</v>
      </c>
      <c r="AL162" s="99">
        <f t="shared" si="5"/>
        <v>370</v>
      </c>
    </row>
    <row r="163" spans="1:38">
      <c r="A163" s="91">
        <v>159</v>
      </c>
      <c r="B163" s="92" t="s">
        <v>145</v>
      </c>
      <c r="C163" s="100" t="s">
        <v>9</v>
      </c>
      <c r="D163" s="272"/>
      <c r="E163" s="98"/>
      <c r="F163" s="272"/>
      <c r="G163" s="94"/>
      <c r="H163" s="95"/>
      <c r="I163" s="94"/>
      <c r="J163" s="93">
        <v>2</v>
      </c>
      <c r="K163" s="94">
        <v>1200</v>
      </c>
      <c r="L163" s="95"/>
      <c r="M163" s="94"/>
      <c r="N163" s="93"/>
      <c r="O163" s="94"/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2</v>
      </c>
      <c r="AK163" s="340">
        <f>IF(ISERR(AL163/AJ163),S!D161,(AL163/AJ163))</f>
        <v>600</v>
      </c>
      <c r="AL163" s="99">
        <f t="shared" si="5"/>
        <v>1200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190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/>
      <c r="E170" s="98"/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/>
      <c r="S170" s="237"/>
      <c r="T170" s="227">
        <v>3</v>
      </c>
      <c r="U170" s="237">
        <v>1980</v>
      </c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3</v>
      </c>
      <c r="AK170" s="340">
        <f>IF(ISERR(AL170/AJ170),S!D168,(AL170/AJ170))</f>
        <v>660</v>
      </c>
      <c r="AL170" s="99">
        <f t="shared" si="5"/>
        <v>1980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>
        <v>8</v>
      </c>
      <c r="G171" s="94">
        <v>3040</v>
      </c>
      <c r="H171" s="95"/>
      <c r="I171" s="94"/>
      <c r="J171" s="93"/>
      <c r="K171" s="94"/>
      <c r="L171" s="95"/>
      <c r="M171" s="94"/>
      <c r="N171" s="93">
        <v>2</v>
      </c>
      <c r="O171" s="94">
        <v>800</v>
      </c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10</v>
      </c>
      <c r="AK171" s="340">
        <f>IF(ISERR(AL171/AJ171),S!D169,(AL171/AJ171))</f>
        <v>384</v>
      </c>
      <c r="AL171" s="99">
        <f t="shared" si="5"/>
        <v>3840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>
        <v>18</v>
      </c>
      <c r="I172" s="94">
        <v>7740</v>
      </c>
      <c r="J172" s="93"/>
      <c r="K172" s="94"/>
      <c r="L172" s="95"/>
      <c r="M172" s="94"/>
      <c r="N172" s="93"/>
      <c r="O172" s="94"/>
      <c r="P172" s="95"/>
      <c r="Q172" s="96"/>
      <c r="R172" s="95"/>
      <c r="S172" s="237"/>
      <c r="T172" s="227"/>
      <c r="U172" s="237"/>
      <c r="V172" s="95">
        <v>8</v>
      </c>
      <c r="W172" s="237">
        <v>3360</v>
      </c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26</v>
      </c>
      <c r="AK172" s="340">
        <f>IF(ISERR(AL172/AJ172),S!D170,(AL172/AJ172))</f>
        <v>426.92307692307691</v>
      </c>
      <c r="AL172" s="99">
        <f t="shared" si="5"/>
        <v>11100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630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>
        <v>15</v>
      </c>
      <c r="E179" s="98">
        <v>330</v>
      </c>
      <c r="F179" s="272">
        <v>10</v>
      </c>
      <c r="G179" s="94">
        <v>220</v>
      </c>
      <c r="H179" s="95">
        <v>12</v>
      </c>
      <c r="I179" s="94">
        <v>264</v>
      </c>
      <c r="J179" s="93">
        <v>5</v>
      </c>
      <c r="K179" s="94">
        <v>110</v>
      </c>
      <c r="L179" s="95">
        <v>10</v>
      </c>
      <c r="M179" s="94">
        <v>220</v>
      </c>
      <c r="N179" s="93">
        <v>15</v>
      </c>
      <c r="O179" s="94">
        <v>330</v>
      </c>
      <c r="P179" s="95">
        <v>5</v>
      </c>
      <c r="Q179" s="96">
        <v>110</v>
      </c>
      <c r="R179" s="95">
        <v>17</v>
      </c>
      <c r="S179" s="237">
        <v>374</v>
      </c>
      <c r="T179" s="227">
        <v>5</v>
      </c>
      <c r="U179" s="237">
        <v>110</v>
      </c>
      <c r="V179" s="95">
        <v>5</v>
      </c>
      <c r="W179" s="237">
        <v>110</v>
      </c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99</v>
      </c>
      <c r="AK179" s="340">
        <f>IF(ISERR(AL179/AJ179),S!D177,(AL179/AJ179))</f>
        <v>22</v>
      </c>
      <c r="AL179" s="99">
        <f t="shared" si="5"/>
        <v>2178</v>
      </c>
    </row>
    <row r="180" spans="1:38">
      <c r="A180" s="91">
        <v>176</v>
      </c>
      <c r="B180" s="92" t="s">
        <v>308</v>
      </c>
      <c r="C180" s="100" t="s">
        <v>9</v>
      </c>
      <c r="D180" s="272">
        <v>10</v>
      </c>
      <c r="E180" s="98">
        <v>850</v>
      </c>
      <c r="F180" s="272">
        <v>10</v>
      </c>
      <c r="G180" s="94">
        <v>980</v>
      </c>
      <c r="H180" s="95">
        <v>12</v>
      </c>
      <c r="I180" s="94">
        <v>1176</v>
      </c>
      <c r="J180" s="93">
        <v>10</v>
      </c>
      <c r="K180" s="94">
        <v>1000</v>
      </c>
      <c r="L180" s="95">
        <v>8</v>
      </c>
      <c r="M180" s="94">
        <v>928</v>
      </c>
      <c r="N180" s="93">
        <v>5</v>
      </c>
      <c r="O180" s="94">
        <v>580</v>
      </c>
      <c r="P180" s="95">
        <v>4</v>
      </c>
      <c r="Q180" s="96">
        <v>464</v>
      </c>
      <c r="R180" s="95">
        <v>5</v>
      </c>
      <c r="S180" s="237">
        <v>580</v>
      </c>
      <c r="T180" s="227">
        <v>5</v>
      </c>
      <c r="U180" s="237">
        <v>580</v>
      </c>
      <c r="V180" s="95">
        <v>5</v>
      </c>
      <c r="W180" s="237">
        <v>580</v>
      </c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74</v>
      </c>
      <c r="AK180" s="340">
        <f>IF(ISERR(AL180/AJ180),S!D178,(AL180/AJ180))</f>
        <v>104.29729729729729</v>
      </c>
      <c r="AL180" s="99">
        <f t="shared" si="5"/>
        <v>7718</v>
      </c>
    </row>
    <row r="181" spans="1:38">
      <c r="A181" s="91">
        <v>177</v>
      </c>
      <c r="B181" s="92" t="s">
        <v>157</v>
      </c>
      <c r="C181" s="100" t="s">
        <v>9</v>
      </c>
      <c r="D181" s="272">
        <v>1</v>
      </c>
      <c r="E181" s="98">
        <v>200</v>
      </c>
      <c r="F181" s="272">
        <v>2</v>
      </c>
      <c r="G181" s="94">
        <v>360</v>
      </c>
      <c r="H181" s="95">
        <v>1</v>
      </c>
      <c r="I181" s="94">
        <v>180</v>
      </c>
      <c r="J181" s="93">
        <v>1</v>
      </c>
      <c r="K181" s="94">
        <v>180</v>
      </c>
      <c r="L181" s="95">
        <v>1</v>
      </c>
      <c r="M181" s="94">
        <v>190</v>
      </c>
      <c r="N181" s="93">
        <v>1</v>
      </c>
      <c r="O181" s="94">
        <v>190</v>
      </c>
      <c r="P181" s="95">
        <v>0.5</v>
      </c>
      <c r="Q181" s="96">
        <v>100</v>
      </c>
      <c r="R181" s="95">
        <v>0.5</v>
      </c>
      <c r="S181" s="237">
        <v>90</v>
      </c>
      <c r="T181" s="227">
        <v>1</v>
      </c>
      <c r="U181" s="237">
        <v>180</v>
      </c>
      <c r="V181" s="95">
        <v>0.5</v>
      </c>
      <c r="W181" s="237">
        <v>90</v>
      </c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9.5</v>
      </c>
      <c r="AK181" s="340">
        <f>IF(ISERR(AL181/AJ181),S!D179,(AL181/AJ181))</f>
        <v>185.26315789473685</v>
      </c>
      <c r="AL181" s="99">
        <f t="shared" si="5"/>
        <v>1760</v>
      </c>
    </row>
    <row r="182" spans="1:38">
      <c r="A182" s="91">
        <v>178</v>
      </c>
      <c r="B182" s="92" t="s">
        <v>394</v>
      </c>
      <c r="C182" s="100" t="s">
        <v>9</v>
      </c>
      <c r="D182" s="272">
        <v>0.5</v>
      </c>
      <c r="E182" s="98">
        <v>80</v>
      </c>
      <c r="F182" s="272">
        <v>1</v>
      </c>
      <c r="G182" s="94">
        <v>160</v>
      </c>
      <c r="H182" s="95">
        <v>0.5</v>
      </c>
      <c r="I182" s="94">
        <v>80</v>
      </c>
      <c r="J182" s="93"/>
      <c r="K182" s="94"/>
      <c r="L182" s="95">
        <v>1</v>
      </c>
      <c r="M182" s="94">
        <v>180</v>
      </c>
      <c r="N182" s="93">
        <v>4</v>
      </c>
      <c r="O182" s="94">
        <v>520</v>
      </c>
      <c r="P182" s="95"/>
      <c r="Q182" s="96"/>
      <c r="R182" s="95">
        <v>0.5</v>
      </c>
      <c r="S182" s="237">
        <v>80</v>
      </c>
      <c r="T182" s="227">
        <v>1</v>
      </c>
      <c r="U182" s="237">
        <v>180</v>
      </c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8.5</v>
      </c>
      <c r="AK182" s="340">
        <f>IF(ISERR(AL182/AJ182),S!D180,(AL182/AJ182))</f>
        <v>150.58823529411765</v>
      </c>
      <c r="AL182" s="99">
        <f t="shared" si="5"/>
        <v>1280</v>
      </c>
    </row>
    <row r="183" spans="1:38">
      <c r="A183" s="91">
        <v>179</v>
      </c>
      <c r="B183" s="92" t="s">
        <v>317</v>
      </c>
      <c r="C183" s="100" t="s">
        <v>9</v>
      </c>
      <c r="D183" s="272">
        <v>1.5</v>
      </c>
      <c r="E183" s="98">
        <v>195</v>
      </c>
      <c r="F183" s="272">
        <v>2</v>
      </c>
      <c r="G183" s="94">
        <v>240</v>
      </c>
      <c r="H183" s="95">
        <v>3</v>
      </c>
      <c r="I183" s="94">
        <v>300</v>
      </c>
      <c r="J183" s="93">
        <v>2</v>
      </c>
      <c r="K183" s="94">
        <v>280</v>
      </c>
      <c r="L183" s="95">
        <v>2</v>
      </c>
      <c r="M183" s="94">
        <v>240</v>
      </c>
      <c r="N183" s="93">
        <v>2</v>
      </c>
      <c r="O183" s="94">
        <v>200</v>
      </c>
      <c r="P183" s="95">
        <v>0.5</v>
      </c>
      <c r="Q183" s="96">
        <v>60</v>
      </c>
      <c r="R183" s="95">
        <v>1</v>
      </c>
      <c r="S183" s="237">
        <v>120</v>
      </c>
      <c r="T183" s="227">
        <v>1</v>
      </c>
      <c r="U183" s="237">
        <v>150</v>
      </c>
      <c r="V183" s="95">
        <v>0.5</v>
      </c>
      <c r="W183" s="237">
        <v>60</v>
      </c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15.5</v>
      </c>
      <c r="AK183" s="340">
        <f>IF(ISERR(AL183/AJ183),S!D181,(AL183/AJ183))</f>
        <v>119.03225806451613</v>
      </c>
      <c r="AL183" s="99">
        <f t="shared" si="5"/>
        <v>1845</v>
      </c>
    </row>
    <row r="184" spans="1:38">
      <c r="A184" s="91">
        <v>180</v>
      </c>
      <c r="B184" s="92" t="s">
        <v>159</v>
      </c>
      <c r="C184" s="100" t="s">
        <v>31</v>
      </c>
      <c r="D184" s="272">
        <v>25</v>
      </c>
      <c r="E184" s="98">
        <v>200</v>
      </c>
      <c r="F184" s="272">
        <v>25</v>
      </c>
      <c r="G184" s="94">
        <v>250</v>
      </c>
      <c r="H184" s="95">
        <v>32</v>
      </c>
      <c r="I184" s="94">
        <v>320</v>
      </c>
      <c r="J184" s="93">
        <v>30</v>
      </c>
      <c r="K184" s="94">
        <v>240</v>
      </c>
      <c r="L184" s="95">
        <v>24</v>
      </c>
      <c r="M184" s="94">
        <v>192</v>
      </c>
      <c r="N184" s="93">
        <v>15</v>
      </c>
      <c r="O184" s="94">
        <v>150</v>
      </c>
      <c r="P184" s="95">
        <v>10</v>
      </c>
      <c r="Q184" s="96">
        <v>70</v>
      </c>
      <c r="R184" s="95">
        <v>12</v>
      </c>
      <c r="S184" s="237">
        <v>84</v>
      </c>
      <c r="T184" s="227">
        <v>15</v>
      </c>
      <c r="U184" s="237">
        <v>105</v>
      </c>
      <c r="V184" s="95">
        <v>15</v>
      </c>
      <c r="W184" s="237">
        <v>105</v>
      </c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203</v>
      </c>
      <c r="AK184" s="340">
        <f>IF(ISERR(AL184/AJ184),S!D182,(AL184/AJ184))</f>
        <v>8.4532019704433505</v>
      </c>
      <c r="AL184" s="99">
        <f t="shared" si="5"/>
        <v>1716</v>
      </c>
    </row>
    <row r="185" spans="1:38">
      <c r="A185" s="91">
        <v>181</v>
      </c>
      <c r="B185" s="92" t="s">
        <v>160</v>
      </c>
      <c r="C185" s="100" t="s">
        <v>9</v>
      </c>
      <c r="D185" s="272">
        <v>5</v>
      </c>
      <c r="E185" s="98">
        <v>250</v>
      </c>
      <c r="F185" s="272">
        <v>7</v>
      </c>
      <c r="G185" s="94">
        <v>385</v>
      </c>
      <c r="H185" s="95">
        <v>5</v>
      </c>
      <c r="I185" s="94">
        <v>225</v>
      </c>
      <c r="J185" s="93">
        <v>5</v>
      </c>
      <c r="K185" s="94">
        <v>250</v>
      </c>
      <c r="L185" s="95">
        <v>5</v>
      </c>
      <c r="M185" s="94">
        <v>250</v>
      </c>
      <c r="N185" s="93">
        <v>4</v>
      </c>
      <c r="O185" s="94">
        <v>220</v>
      </c>
      <c r="P185" s="95">
        <v>2</v>
      </c>
      <c r="Q185" s="96">
        <v>120</v>
      </c>
      <c r="R185" s="95">
        <v>3</v>
      </c>
      <c r="S185" s="237">
        <v>180</v>
      </c>
      <c r="T185" s="227">
        <v>3</v>
      </c>
      <c r="U185" s="237">
        <v>210</v>
      </c>
      <c r="V185" s="95">
        <v>3</v>
      </c>
      <c r="W185" s="237">
        <v>180</v>
      </c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42</v>
      </c>
      <c r="AK185" s="340">
        <f>IF(ISERR(AL185/AJ185),S!D183,(AL185/AJ185))</f>
        <v>54.047619047619051</v>
      </c>
      <c r="AL185" s="99">
        <f t="shared" si="5"/>
        <v>2270</v>
      </c>
    </row>
    <row r="186" spans="1:38">
      <c r="A186" s="91">
        <v>182</v>
      </c>
      <c r="B186" s="92" t="s">
        <v>161</v>
      </c>
      <c r="C186" s="100" t="s">
        <v>9</v>
      </c>
      <c r="D186" s="272">
        <v>1</v>
      </c>
      <c r="E186" s="98">
        <v>90</v>
      </c>
      <c r="F186" s="272">
        <v>2.5</v>
      </c>
      <c r="G186" s="94">
        <v>225</v>
      </c>
      <c r="H186" s="95">
        <v>3</v>
      </c>
      <c r="I186" s="94">
        <v>300</v>
      </c>
      <c r="J186" s="93">
        <v>2</v>
      </c>
      <c r="K186" s="94">
        <v>180</v>
      </c>
      <c r="L186" s="95">
        <v>2</v>
      </c>
      <c r="M186" s="94">
        <v>180</v>
      </c>
      <c r="N186" s="93">
        <v>5</v>
      </c>
      <c r="O186" s="94">
        <v>450</v>
      </c>
      <c r="P186" s="95">
        <v>1</v>
      </c>
      <c r="Q186" s="96">
        <v>100</v>
      </c>
      <c r="R186" s="95">
        <v>3.5</v>
      </c>
      <c r="S186" s="237">
        <v>470</v>
      </c>
      <c r="T186" s="227">
        <v>1</v>
      </c>
      <c r="U186" s="237">
        <v>90</v>
      </c>
      <c r="V186" s="95">
        <v>1</v>
      </c>
      <c r="W186" s="237">
        <v>90</v>
      </c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22</v>
      </c>
      <c r="AK186" s="340">
        <f>IF(ISERR(AL186/AJ186),S!D184,(AL186/AJ186))</f>
        <v>98.86363636363636</v>
      </c>
      <c r="AL186" s="99">
        <f t="shared" si="5"/>
        <v>2175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>
        <v>5</v>
      </c>
      <c r="G187" s="94">
        <v>275</v>
      </c>
      <c r="H187" s="95">
        <v>1</v>
      </c>
      <c r="I187" s="94">
        <v>60</v>
      </c>
      <c r="J187" s="93"/>
      <c r="K187" s="94"/>
      <c r="L187" s="95">
        <v>4</v>
      </c>
      <c r="M187" s="94">
        <v>240</v>
      </c>
      <c r="N187" s="93">
        <v>5</v>
      </c>
      <c r="O187" s="94">
        <v>300</v>
      </c>
      <c r="P187" s="95"/>
      <c r="Q187" s="96"/>
      <c r="R187" s="95">
        <v>0.5</v>
      </c>
      <c r="S187" s="237">
        <v>40</v>
      </c>
      <c r="T187" s="227">
        <v>10</v>
      </c>
      <c r="U187" s="237">
        <v>700</v>
      </c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25.5</v>
      </c>
      <c r="AK187" s="340">
        <f>IF(ISERR(AL187/AJ187),S!D185,(AL187/AJ187))</f>
        <v>63.333333333333336</v>
      </c>
      <c r="AL187" s="99">
        <f t="shared" si="5"/>
        <v>1615</v>
      </c>
    </row>
    <row r="188" spans="1:38">
      <c r="A188" s="91">
        <v>184</v>
      </c>
      <c r="B188" s="92" t="s">
        <v>268</v>
      </c>
      <c r="C188" s="100" t="s">
        <v>9</v>
      </c>
      <c r="D188" s="272"/>
      <c r="E188" s="98"/>
      <c r="F188" s="272"/>
      <c r="G188" s="94"/>
      <c r="H188" s="95"/>
      <c r="I188" s="94"/>
      <c r="J188" s="93"/>
      <c r="K188" s="94"/>
      <c r="L188" s="95"/>
      <c r="M188" s="94"/>
      <c r="N188" s="93">
        <v>6</v>
      </c>
      <c r="O188" s="94">
        <v>420</v>
      </c>
      <c r="P188" s="95"/>
      <c r="Q188" s="96"/>
      <c r="R188" s="95"/>
      <c r="S188" s="237"/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6</v>
      </c>
      <c r="AK188" s="340">
        <f>IF(ISERR(AL188/AJ188),S!D186,(AL188/AJ188))</f>
        <v>70</v>
      </c>
      <c r="AL188" s="99">
        <f t="shared" si="5"/>
        <v>420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>
        <v>22</v>
      </c>
      <c r="I189" s="94">
        <v>990</v>
      </c>
      <c r="J189" s="93"/>
      <c r="K189" s="94"/>
      <c r="L189" s="95"/>
      <c r="M189" s="94"/>
      <c r="N189" s="93">
        <v>6</v>
      </c>
      <c r="O189" s="94">
        <v>300</v>
      </c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28</v>
      </c>
      <c r="AK189" s="340">
        <f>IF(ISERR(AL189/AJ189),S!D187,(AL189/AJ189))</f>
        <v>46.071428571428569</v>
      </c>
      <c r="AL189" s="99">
        <f t="shared" si="5"/>
        <v>1290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>
        <v>70</v>
      </c>
      <c r="I190" s="94">
        <v>385</v>
      </c>
      <c r="J190" s="93"/>
      <c r="K190" s="94"/>
      <c r="L190" s="95"/>
      <c r="M190" s="94"/>
      <c r="N190" s="93"/>
      <c r="O190" s="94"/>
      <c r="P190" s="95"/>
      <c r="Q190" s="96"/>
      <c r="R190" s="95">
        <v>45</v>
      </c>
      <c r="S190" s="237">
        <v>270</v>
      </c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115</v>
      </c>
      <c r="AK190" s="340">
        <f>IF(ISERR(AL190/AJ190),S!D188,(AL190/AJ190))</f>
        <v>5.6956521739130439</v>
      </c>
      <c r="AL190" s="99">
        <f t="shared" si="5"/>
        <v>655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25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0</v>
      </c>
      <c r="AK192" s="340">
        <f>IF(ISERR(AL192/AJ192),S!D190,(AL192/AJ192))</f>
        <v>12</v>
      </c>
      <c r="AL192" s="99">
        <f t="shared" si="5"/>
        <v>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>
        <v>7</v>
      </c>
      <c r="W193" s="237">
        <v>210</v>
      </c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7</v>
      </c>
      <c r="AK193" s="340">
        <f>IF(ISERR(AL193/AJ193),S!D191,(AL193/AJ193))</f>
        <v>30</v>
      </c>
      <c r="AL193" s="99">
        <f t="shared" si="5"/>
        <v>210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>
        <v>20</v>
      </c>
      <c r="G195" s="94">
        <v>900</v>
      </c>
      <c r="H195" s="95"/>
      <c r="I195" s="94"/>
      <c r="J195" s="93"/>
      <c r="K195" s="94"/>
      <c r="L195" s="95">
        <v>8</v>
      </c>
      <c r="M195" s="94">
        <v>400</v>
      </c>
      <c r="N195" s="93"/>
      <c r="O195" s="94"/>
      <c r="P195" s="95"/>
      <c r="Q195" s="96"/>
      <c r="R195" s="95"/>
      <c r="S195" s="237"/>
      <c r="T195" s="227">
        <v>8</v>
      </c>
      <c r="U195" s="237">
        <v>360</v>
      </c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36</v>
      </c>
      <c r="AK195" s="340">
        <f>IF(ISERR(AL195/AJ195),S!D193,(AL195/AJ195))</f>
        <v>46.111111111111114</v>
      </c>
      <c r="AL195" s="99">
        <f t="shared" si="5"/>
        <v>1660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/>
      <c r="G196" s="94"/>
      <c r="H196" s="95">
        <v>3</v>
      </c>
      <c r="I196" s="94">
        <v>105</v>
      </c>
      <c r="J196" s="93">
        <v>30</v>
      </c>
      <c r="K196" s="94">
        <v>1050</v>
      </c>
      <c r="L196" s="95"/>
      <c r="M196" s="94"/>
      <c r="N196" s="93"/>
      <c r="O196" s="94"/>
      <c r="P196" s="95"/>
      <c r="Q196" s="96"/>
      <c r="R196" s="95">
        <v>2</v>
      </c>
      <c r="S196" s="237">
        <v>80</v>
      </c>
      <c r="T196" s="227"/>
      <c r="U196" s="237"/>
      <c r="V196" s="95">
        <v>12</v>
      </c>
      <c r="W196" s="237">
        <v>384</v>
      </c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47</v>
      </c>
      <c r="AK196" s="340">
        <f>IF(ISERR(AL196/AJ196),S!D194,(AL196/AJ196))</f>
        <v>34.446808510638299</v>
      </c>
      <c r="AL196" s="99">
        <f t="shared" si="5"/>
        <v>1619</v>
      </c>
    </row>
    <row r="197" spans="1:38">
      <c r="A197" s="91">
        <v>193</v>
      </c>
      <c r="B197" s="92" t="s">
        <v>318</v>
      </c>
      <c r="C197" s="100" t="s">
        <v>9</v>
      </c>
      <c r="D197" s="272">
        <v>7</v>
      </c>
      <c r="E197" s="98">
        <v>140</v>
      </c>
      <c r="F197" s="272"/>
      <c r="G197" s="94"/>
      <c r="H197" s="95">
        <v>5</v>
      </c>
      <c r="I197" s="94">
        <v>80</v>
      </c>
      <c r="J197" s="93"/>
      <c r="K197" s="94"/>
      <c r="L197" s="95">
        <v>8</v>
      </c>
      <c r="M197" s="94">
        <v>160</v>
      </c>
      <c r="N197" s="93"/>
      <c r="O197" s="94"/>
      <c r="P197" s="95"/>
      <c r="Q197" s="96"/>
      <c r="R197" s="95">
        <v>5</v>
      </c>
      <c r="S197" s="237">
        <v>100</v>
      </c>
      <c r="T197" s="227"/>
      <c r="U197" s="237"/>
      <c r="V197" s="95">
        <v>8</v>
      </c>
      <c r="W197" s="237">
        <v>160</v>
      </c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33</v>
      </c>
      <c r="AK197" s="340">
        <f>IF(ISERR(AL197/AJ197),S!D195,(AL197/AJ197))</f>
        <v>19.393939393939394</v>
      </c>
      <c r="AL197" s="99">
        <f t="shared" si="5"/>
        <v>640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110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269</v>
      </c>
      <c r="C199" s="100" t="s">
        <v>9</v>
      </c>
      <c r="D199" s="272">
        <v>1</v>
      </c>
      <c r="E199" s="98">
        <v>120</v>
      </c>
      <c r="F199" s="272">
        <v>2</v>
      </c>
      <c r="G199" s="94">
        <v>220</v>
      </c>
      <c r="H199" s="95">
        <v>3</v>
      </c>
      <c r="I199" s="94">
        <v>330</v>
      </c>
      <c r="J199" s="93">
        <v>2</v>
      </c>
      <c r="K199" s="94">
        <v>220</v>
      </c>
      <c r="L199" s="95">
        <v>2</v>
      </c>
      <c r="M199" s="94">
        <v>220</v>
      </c>
      <c r="N199" s="93">
        <v>2</v>
      </c>
      <c r="O199" s="94">
        <v>240</v>
      </c>
      <c r="P199" s="95">
        <v>1</v>
      </c>
      <c r="Q199" s="96">
        <v>120</v>
      </c>
      <c r="R199" s="95">
        <v>2</v>
      </c>
      <c r="S199" s="237">
        <v>240</v>
      </c>
      <c r="T199" s="227">
        <v>1</v>
      </c>
      <c r="U199" s="237">
        <v>120</v>
      </c>
      <c r="V199" s="95">
        <v>1</v>
      </c>
      <c r="W199" s="237">
        <v>120</v>
      </c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17</v>
      </c>
      <c r="AK199" s="340">
        <f>IF(ISERR(AL199/AJ199),S!D197,(AL199/AJ199))</f>
        <v>114.70588235294117</v>
      </c>
      <c r="AL199" s="99">
        <f t="shared" si="7"/>
        <v>1950</v>
      </c>
    </row>
    <row r="200" spans="1:38">
      <c r="A200" s="91">
        <v>196</v>
      </c>
      <c r="B200" s="92" t="s">
        <v>270</v>
      </c>
      <c r="C200" s="100" t="s">
        <v>9</v>
      </c>
      <c r="D200" s="272">
        <v>0.5</v>
      </c>
      <c r="E200" s="98">
        <v>60</v>
      </c>
      <c r="F200" s="272">
        <v>1</v>
      </c>
      <c r="G200" s="94">
        <v>100</v>
      </c>
      <c r="H200" s="95">
        <v>1</v>
      </c>
      <c r="I200" s="94">
        <v>120</v>
      </c>
      <c r="J200" s="93">
        <v>1</v>
      </c>
      <c r="K200" s="94">
        <v>120</v>
      </c>
      <c r="L200" s="95">
        <v>2</v>
      </c>
      <c r="M200" s="94">
        <v>300</v>
      </c>
      <c r="N200" s="93">
        <v>2</v>
      </c>
      <c r="O200" s="94">
        <v>280</v>
      </c>
      <c r="P200" s="95">
        <v>0.5</v>
      </c>
      <c r="Q200" s="96">
        <v>60</v>
      </c>
      <c r="R200" s="95">
        <v>0.5</v>
      </c>
      <c r="S200" s="237">
        <v>80</v>
      </c>
      <c r="T200" s="227">
        <v>0.5</v>
      </c>
      <c r="U200" s="237">
        <v>90</v>
      </c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9</v>
      </c>
      <c r="AK200" s="340">
        <f>IF(ISERR(AL200/AJ200),S!D198,(AL200/AJ200))</f>
        <v>134.44444444444446</v>
      </c>
      <c r="AL200" s="99">
        <f t="shared" si="7"/>
        <v>1210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>
        <v>0.5</v>
      </c>
      <c r="W201" s="237">
        <v>130</v>
      </c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0.5</v>
      </c>
      <c r="AK201" s="340">
        <f>IF(ISERR(AL201/AJ201),S!D199,(AL201/AJ201))</f>
        <v>260</v>
      </c>
      <c r="AL201" s="99">
        <f t="shared" si="7"/>
        <v>130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>
        <v>10</v>
      </c>
      <c r="G204" s="94">
        <v>500</v>
      </c>
      <c r="H204" s="95"/>
      <c r="I204" s="94"/>
      <c r="J204" s="93"/>
      <c r="K204" s="94"/>
      <c r="L204" s="95"/>
      <c r="M204" s="94"/>
      <c r="N204" s="93">
        <v>10</v>
      </c>
      <c r="O204" s="94">
        <v>700</v>
      </c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20</v>
      </c>
      <c r="AK204" s="340">
        <f>IF(ISERR(AL204/AJ204),S!D202,(AL204/AJ204))</f>
        <v>60</v>
      </c>
      <c r="AL204" s="99">
        <f t="shared" si="7"/>
        <v>1200</v>
      </c>
    </row>
    <row r="205" spans="1:38">
      <c r="A205" s="91">
        <v>201</v>
      </c>
      <c r="B205" s="92" t="s">
        <v>171</v>
      </c>
      <c r="C205" s="100" t="s">
        <v>9</v>
      </c>
      <c r="D205" s="272">
        <v>10</v>
      </c>
      <c r="E205" s="98">
        <v>500</v>
      </c>
      <c r="F205" s="272"/>
      <c r="G205" s="94"/>
      <c r="H205" s="95"/>
      <c r="I205" s="94"/>
      <c r="J205" s="93">
        <v>10</v>
      </c>
      <c r="K205" s="94">
        <v>400</v>
      </c>
      <c r="L205" s="95">
        <v>10</v>
      </c>
      <c r="M205" s="94">
        <v>400</v>
      </c>
      <c r="N205" s="93"/>
      <c r="O205" s="94"/>
      <c r="P205" s="95"/>
      <c r="Q205" s="96"/>
      <c r="R205" s="95">
        <v>5</v>
      </c>
      <c r="S205" s="237">
        <v>200</v>
      </c>
      <c r="T205" s="227">
        <v>3</v>
      </c>
      <c r="U205" s="237">
        <v>120</v>
      </c>
      <c r="V205" s="95">
        <v>5</v>
      </c>
      <c r="W205" s="237">
        <v>250</v>
      </c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43</v>
      </c>
      <c r="AK205" s="340">
        <f>IF(ISERR(AL205/AJ205),S!D203,(AL205/AJ205))</f>
        <v>43.488372093023258</v>
      </c>
      <c r="AL205" s="99">
        <f t="shared" si="7"/>
        <v>1870</v>
      </c>
    </row>
    <row r="206" spans="1:38">
      <c r="A206" s="91">
        <v>202</v>
      </c>
      <c r="B206" s="92" t="s">
        <v>172</v>
      </c>
      <c r="C206" s="100" t="s">
        <v>9</v>
      </c>
      <c r="D206" s="272">
        <v>7</v>
      </c>
      <c r="E206" s="98">
        <v>455</v>
      </c>
      <c r="F206" s="272"/>
      <c r="G206" s="94"/>
      <c r="H206" s="95">
        <v>3</v>
      </c>
      <c r="I206" s="94">
        <v>195</v>
      </c>
      <c r="J206" s="93"/>
      <c r="K206" s="94"/>
      <c r="L206" s="95">
        <v>5</v>
      </c>
      <c r="M206" s="94">
        <v>200</v>
      </c>
      <c r="N206" s="93">
        <v>10</v>
      </c>
      <c r="O206" s="94">
        <v>500</v>
      </c>
      <c r="P206" s="95"/>
      <c r="Q206" s="96"/>
      <c r="R206" s="95">
        <v>3</v>
      </c>
      <c r="S206" s="237">
        <v>135</v>
      </c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28</v>
      </c>
      <c r="AK206" s="340">
        <f>IF(ISERR(AL206/AJ206),S!D204,(AL206/AJ206))</f>
        <v>53.035714285714285</v>
      </c>
      <c r="AL206" s="99">
        <f t="shared" si="7"/>
        <v>1485</v>
      </c>
    </row>
    <row r="207" spans="1:38">
      <c r="A207" s="91">
        <v>203</v>
      </c>
      <c r="B207" s="92" t="s">
        <v>173</v>
      </c>
      <c r="C207" s="100" t="s">
        <v>9</v>
      </c>
      <c r="D207" s="272">
        <v>4</v>
      </c>
      <c r="E207" s="98">
        <v>200</v>
      </c>
      <c r="F207" s="272"/>
      <c r="G207" s="94"/>
      <c r="H207" s="95">
        <v>2</v>
      </c>
      <c r="I207" s="94">
        <v>50</v>
      </c>
      <c r="J207" s="93"/>
      <c r="K207" s="94"/>
      <c r="L207" s="95">
        <v>5</v>
      </c>
      <c r="M207" s="94">
        <v>200</v>
      </c>
      <c r="N207" s="93">
        <v>10</v>
      </c>
      <c r="O207" s="94">
        <v>450</v>
      </c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21</v>
      </c>
      <c r="AK207" s="340">
        <f>IF(ISERR(AL207/AJ207),S!D205,(AL207/AJ207))</f>
        <v>42.857142857142854</v>
      </c>
      <c r="AL207" s="99">
        <f t="shared" si="7"/>
        <v>900</v>
      </c>
    </row>
    <row r="208" spans="1:38">
      <c r="A208" s="91">
        <v>204</v>
      </c>
      <c r="B208" s="92" t="s">
        <v>174</v>
      </c>
      <c r="C208" s="100" t="s">
        <v>9</v>
      </c>
      <c r="D208" s="272">
        <v>2</v>
      </c>
      <c r="E208" s="98">
        <v>100</v>
      </c>
      <c r="F208" s="272"/>
      <c r="G208" s="94"/>
      <c r="H208" s="95">
        <v>2</v>
      </c>
      <c r="I208" s="94">
        <v>60</v>
      </c>
      <c r="J208" s="93">
        <v>10</v>
      </c>
      <c r="K208" s="94">
        <v>350</v>
      </c>
      <c r="L208" s="95">
        <v>3</v>
      </c>
      <c r="M208" s="94">
        <v>135</v>
      </c>
      <c r="N208" s="93">
        <v>10</v>
      </c>
      <c r="O208" s="94">
        <v>350</v>
      </c>
      <c r="P208" s="95"/>
      <c r="Q208" s="96"/>
      <c r="R208" s="95">
        <v>3</v>
      </c>
      <c r="S208" s="237">
        <v>105</v>
      </c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30</v>
      </c>
      <c r="AK208" s="340">
        <f>IF(ISERR(AL208/AJ208),S!D206,(AL208/AJ208))</f>
        <v>36.666666666666664</v>
      </c>
      <c r="AL208" s="99">
        <f t="shared" si="7"/>
        <v>1100</v>
      </c>
    </row>
    <row r="209" spans="1:38">
      <c r="A209" s="91">
        <v>205</v>
      </c>
      <c r="B209" s="92" t="s">
        <v>175</v>
      </c>
      <c r="C209" s="100" t="s">
        <v>9</v>
      </c>
      <c r="D209" s="272">
        <v>10</v>
      </c>
      <c r="E209" s="98">
        <v>600</v>
      </c>
      <c r="F209" s="272"/>
      <c r="G209" s="94"/>
      <c r="H209" s="95">
        <v>10</v>
      </c>
      <c r="I209" s="94">
        <v>600</v>
      </c>
      <c r="J209" s="93"/>
      <c r="K209" s="94"/>
      <c r="L209" s="95"/>
      <c r="M209" s="94"/>
      <c r="N209" s="93"/>
      <c r="O209" s="94"/>
      <c r="P209" s="95">
        <v>5</v>
      </c>
      <c r="Q209" s="96">
        <v>250</v>
      </c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25</v>
      </c>
      <c r="AK209" s="340">
        <f>IF(ISERR(AL209/AJ209),S!D207,(AL209/AJ209))</f>
        <v>58</v>
      </c>
      <c r="AL209" s="99">
        <f t="shared" si="7"/>
        <v>1450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/>
      <c r="G211" s="94"/>
      <c r="H211" s="95"/>
      <c r="I211" s="94"/>
      <c r="J211" s="93"/>
      <c r="K211" s="94"/>
      <c r="L211" s="95"/>
      <c r="M211" s="94"/>
      <c r="N211" s="93">
        <v>3</v>
      </c>
      <c r="O211" s="94">
        <v>120</v>
      </c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3</v>
      </c>
      <c r="AK211" s="340">
        <f>IF(ISERR(AL211/AJ211),S!D209,(AL211/AJ211))</f>
        <v>40</v>
      </c>
      <c r="AL211" s="99">
        <f t="shared" si="7"/>
        <v>120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>
        <v>4</v>
      </c>
      <c r="E216" s="98">
        <v>360</v>
      </c>
      <c r="F216" s="272">
        <v>3</v>
      </c>
      <c r="G216" s="94">
        <v>300</v>
      </c>
      <c r="H216" s="95">
        <v>2</v>
      </c>
      <c r="I216" s="94">
        <v>200</v>
      </c>
      <c r="J216" s="93">
        <v>2</v>
      </c>
      <c r="K216" s="94">
        <v>200</v>
      </c>
      <c r="L216" s="95">
        <v>5</v>
      </c>
      <c r="M216" s="94">
        <v>600</v>
      </c>
      <c r="N216" s="93">
        <v>10</v>
      </c>
      <c r="O216" s="94">
        <v>1000</v>
      </c>
      <c r="P216" s="95"/>
      <c r="Q216" s="96"/>
      <c r="R216" s="95"/>
      <c r="S216" s="237"/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26</v>
      </c>
      <c r="AK216" s="340">
        <f>IF(ISERR(AL216/AJ216),S!D214,(AL216/AJ216))</f>
        <v>102.30769230769231</v>
      </c>
      <c r="AL216" s="99">
        <f t="shared" si="7"/>
        <v>2660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495</v>
      </c>
      <c r="AL230" s="99">
        <f t="shared" si="7"/>
        <v>0</v>
      </c>
    </row>
    <row r="231" spans="1:38">
      <c r="A231" s="91">
        <v>227</v>
      </c>
      <c r="B231" s="92" t="s">
        <v>506</v>
      </c>
      <c r="C231" s="100" t="s">
        <v>9</v>
      </c>
      <c r="D231" s="272"/>
      <c r="E231" s="98"/>
      <c r="F231" s="272"/>
      <c r="G231" s="94"/>
      <c r="H231" s="95">
        <v>1</v>
      </c>
      <c r="I231" s="94">
        <v>680</v>
      </c>
      <c r="J231" s="93"/>
      <c r="K231" s="94"/>
      <c r="L231" s="95"/>
      <c r="M231" s="94"/>
      <c r="N231" s="93"/>
      <c r="O231" s="94"/>
      <c r="P231" s="95"/>
      <c r="Q231" s="96"/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1</v>
      </c>
      <c r="AK231" s="340">
        <f>IF(ISERR(AL231/AJ231),S!D229,(AL231/AJ231))</f>
        <v>680</v>
      </c>
      <c r="AL231" s="99">
        <f t="shared" si="7"/>
        <v>680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>
        <v>56</v>
      </c>
      <c r="M232" s="94">
        <v>43600</v>
      </c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56</v>
      </c>
      <c r="AK232" s="340">
        <f>IF(ISERR(AL232/AJ232),S!D230,(AL232/AJ232))</f>
        <v>778.57142857142856</v>
      </c>
      <c r="AL232" s="99">
        <f t="shared" si="7"/>
        <v>43600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>
        <v>4000</v>
      </c>
      <c r="M233" s="94">
        <v>5600</v>
      </c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4000</v>
      </c>
      <c r="AK233" s="340">
        <f>IF(ISERR(AL233/AJ233),S!D231,(AL233/AJ233))</f>
        <v>1.4</v>
      </c>
      <c r="AL233" s="99">
        <f t="shared" si="7"/>
        <v>5600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>
        <v>70</v>
      </c>
      <c r="G234" s="94">
        <v>2100</v>
      </c>
      <c r="H234" s="95">
        <v>90</v>
      </c>
      <c r="I234" s="94">
        <v>2196</v>
      </c>
      <c r="J234" s="93">
        <v>90</v>
      </c>
      <c r="K234" s="94">
        <v>2250</v>
      </c>
      <c r="L234" s="95"/>
      <c r="M234" s="94"/>
      <c r="N234" s="93">
        <v>90</v>
      </c>
      <c r="O234" s="94">
        <v>2196</v>
      </c>
      <c r="P234" s="95"/>
      <c r="Q234" s="96"/>
      <c r="R234" s="95"/>
      <c r="S234" s="237"/>
      <c r="T234" s="227">
        <v>90</v>
      </c>
      <c r="U234" s="237">
        <v>2196</v>
      </c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430</v>
      </c>
      <c r="AK234" s="340">
        <f>IF(ISERR(AL234/AJ234),S!D232,(AL234/AJ234))</f>
        <v>25.437209302325581</v>
      </c>
      <c r="AL234" s="99">
        <f t="shared" si="7"/>
        <v>10938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500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280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>
        <v>215</v>
      </c>
      <c r="E245" s="98">
        <v>1935</v>
      </c>
      <c r="F245" s="272">
        <v>206</v>
      </c>
      <c r="G245" s="94">
        <v>2060</v>
      </c>
      <c r="H245" s="95"/>
      <c r="I245" s="94"/>
      <c r="J245" s="93">
        <v>224</v>
      </c>
      <c r="K245" s="94">
        <v>2016</v>
      </c>
      <c r="L245" s="95">
        <v>224</v>
      </c>
      <c r="M245" s="94">
        <v>2240</v>
      </c>
      <c r="N245" s="93">
        <v>94</v>
      </c>
      <c r="O245" s="94">
        <v>846</v>
      </c>
      <c r="P245" s="95"/>
      <c r="Q245" s="96"/>
      <c r="R245" s="95">
        <v>88</v>
      </c>
      <c r="S245" s="237">
        <v>792</v>
      </c>
      <c r="T245" s="227">
        <v>112</v>
      </c>
      <c r="U245" s="237">
        <v>1008</v>
      </c>
      <c r="V245" s="95">
        <v>67</v>
      </c>
      <c r="W245" s="237">
        <v>670</v>
      </c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1230</v>
      </c>
      <c r="AK245" s="340">
        <f>IF(ISERR(AL245/AJ245),S!D243,(AL245/AJ245))</f>
        <v>9.4040650406504067</v>
      </c>
      <c r="AL245" s="99">
        <f t="shared" si="7"/>
        <v>11567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>
        <v>20</v>
      </c>
      <c r="W247" s="237">
        <v>7000</v>
      </c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20</v>
      </c>
      <c r="AK247" s="340">
        <f>IF(ISERR(AL247/AJ247),S!D245,(AL247/AJ247))</f>
        <v>350</v>
      </c>
      <c r="AL247" s="99">
        <f t="shared" si="7"/>
        <v>7000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2.358490566037736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চিকেন বার্গার, ওয়ানটাইম মাস্ক, ওয়ানটাইম হ্যান্ড গ্লভস...)</v>
      </c>
      <c r="C249" s="357" t="s">
        <v>10</v>
      </c>
      <c r="D249" s="359">
        <f>M!C11</f>
        <v>680</v>
      </c>
      <c r="E249" s="360">
        <f>D249</f>
        <v>680</v>
      </c>
      <c r="F249" s="359">
        <f>M!C23</f>
        <v>0</v>
      </c>
      <c r="G249" s="360">
        <f>F249</f>
        <v>0</v>
      </c>
      <c r="H249" s="359">
        <f>M!C34</f>
        <v>0</v>
      </c>
      <c r="I249" s="360">
        <f>H249</f>
        <v>0</v>
      </c>
      <c r="J249" s="359">
        <f>M!C47</f>
        <v>0</v>
      </c>
      <c r="K249" s="360">
        <f>J249</f>
        <v>0</v>
      </c>
      <c r="L249" s="359">
        <f>M!C58</f>
        <v>650</v>
      </c>
      <c r="M249" s="360">
        <f>M!C58</f>
        <v>650</v>
      </c>
      <c r="N249" s="359">
        <f>M!C69</f>
        <v>1240</v>
      </c>
      <c r="O249" s="360">
        <f>N249</f>
        <v>1240</v>
      </c>
      <c r="P249" s="359">
        <f>M!C83</f>
        <v>780</v>
      </c>
      <c r="Q249" s="360">
        <f>P249</f>
        <v>780</v>
      </c>
      <c r="R249" s="359">
        <f>M!C99</f>
        <v>470</v>
      </c>
      <c r="S249" s="360">
        <f>R249</f>
        <v>470</v>
      </c>
      <c r="T249" s="359">
        <f>M!C115</f>
        <v>0</v>
      </c>
      <c r="U249" s="360">
        <f>T249</f>
        <v>0</v>
      </c>
      <c r="V249" s="359">
        <f>M!C131</f>
        <v>510</v>
      </c>
      <c r="W249" s="360">
        <f>V249</f>
        <v>510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4330</v>
      </c>
      <c r="AK249" s="360">
        <f>IF(ISERR(AL249/AJ249),S!D247,(AL249/AJ249))</f>
        <v>1</v>
      </c>
      <c r="AL249" s="361">
        <f t="shared" si="7"/>
        <v>4330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/>
      <c r="M250" s="94"/>
      <c r="N250" s="93"/>
      <c r="O250" s="94"/>
      <c r="P250" s="95"/>
      <c r="Q250" s="96"/>
      <c r="R250" s="95"/>
      <c r="S250" s="237"/>
      <c r="T250" s="227"/>
      <c r="U250" s="237"/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0</v>
      </c>
      <c r="AK250" s="340">
        <f>IF(ISERR(AL250/AJ250),S!D248,(AL250/AJ250))</f>
        <v>1</v>
      </c>
      <c r="AL250" s="99">
        <f t="shared" si="7"/>
        <v>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1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>
        <v>130</v>
      </c>
      <c r="E252" s="98">
        <v>130</v>
      </c>
      <c r="F252" s="272">
        <v>160</v>
      </c>
      <c r="G252" s="94">
        <v>160</v>
      </c>
      <c r="H252" s="95">
        <v>180</v>
      </c>
      <c r="I252" s="94">
        <v>180</v>
      </c>
      <c r="J252" s="93">
        <v>100</v>
      </c>
      <c r="K252" s="94">
        <v>100</v>
      </c>
      <c r="L252" s="95">
        <v>80</v>
      </c>
      <c r="M252" s="94">
        <v>80</v>
      </c>
      <c r="N252" s="93">
        <v>40</v>
      </c>
      <c r="O252" s="94">
        <v>40</v>
      </c>
      <c r="P252" s="95"/>
      <c r="Q252" s="96"/>
      <c r="R252" s="95">
        <v>50</v>
      </c>
      <c r="S252" s="237">
        <v>50</v>
      </c>
      <c r="T252" s="227">
        <v>60</v>
      </c>
      <c r="U252" s="237">
        <v>60</v>
      </c>
      <c r="V252" s="95">
        <v>80</v>
      </c>
      <c r="W252" s="237">
        <v>80</v>
      </c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880</v>
      </c>
      <c r="AK252" s="340">
        <f>IF(ISERR(AL252/AJ252),S!D250,(AL252/AJ252))</f>
        <v>1</v>
      </c>
      <c r="AL252" s="99">
        <f t="shared" si="7"/>
        <v>880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>
        <v>400</v>
      </c>
      <c r="E253" s="98">
        <v>400</v>
      </c>
      <c r="F253" s="272">
        <v>470</v>
      </c>
      <c r="G253" s="94">
        <v>470</v>
      </c>
      <c r="H253" s="95">
        <v>500</v>
      </c>
      <c r="I253" s="94">
        <v>500</v>
      </c>
      <c r="J253" s="93">
        <v>500</v>
      </c>
      <c r="K253" s="94">
        <v>500</v>
      </c>
      <c r="L253" s="95">
        <v>630</v>
      </c>
      <c r="M253" s="94">
        <v>630</v>
      </c>
      <c r="N253" s="93">
        <v>550</v>
      </c>
      <c r="O253" s="94">
        <v>550</v>
      </c>
      <c r="P253" s="95">
        <v>100</v>
      </c>
      <c r="Q253" s="96">
        <v>100</v>
      </c>
      <c r="R253" s="95">
        <v>370</v>
      </c>
      <c r="S253" s="237">
        <v>370</v>
      </c>
      <c r="T253" s="227">
        <v>160</v>
      </c>
      <c r="U253" s="237">
        <v>160</v>
      </c>
      <c r="V253" s="95">
        <v>260</v>
      </c>
      <c r="W253" s="237">
        <v>260</v>
      </c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3940</v>
      </c>
      <c r="AK253" s="340">
        <f>IF(ISERR(AL253/AJ253),S!D251,(AL253/AJ253))</f>
        <v>1</v>
      </c>
      <c r="AL253" s="99">
        <f t="shared" si="7"/>
        <v>3940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>
        <v>1200</v>
      </c>
      <c r="E254" s="113">
        <v>1200</v>
      </c>
      <c r="F254" s="272">
        <v>3800</v>
      </c>
      <c r="G254" s="94">
        <v>3800</v>
      </c>
      <c r="H254" s="95">
        <v>4200</v>
      </c>
      <c r="I254" s="94">
        <v>4200</v>
      </c>
      <c r="J254" s="93">
        <v>5400</v>
      </c>
      <c r="K254" s="94">
        <v>5400</v>
      </c>
      <c r="L254" s="95">
        <v>4200</v>
      </c>
      <c r="M254" s="94">
        <v>4200</v>
      </c>
      <c r="N254" s="93">
        <v>3800</v>
      </c>
      <c r="O254" s="94">
        <v>3800</v>
      </c>
      <c r="P254" s="95">
        <v>1400</v>
      </c>
      <c r="Q254" s="96">
        <v>1400</v>
      </c>
      <c r="R254" s="240">
        <v>2000</v>
      </c>
      <c r="S254" s="239">
        <v>2000</v>
      </c>
      <c r="T254" s="236">
        <v>2200</v>
      </c>
      <c r="U254" s="238">
        <v>2200</v>
      </c>
      <c r="V254" s="95">
        <v>3200</v>
      </c>
      <c r="W254" s="237">
        <v>3200</v>
      </c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31400</v>
      </c>
      <c r="AK254" s="340">
        <f>IF(ISERR(AL254/AJ254),S!D252,(AL254/AJ254))</f>
        <v>1</v>
      </c>
      <c r="AL254" s="99">
        <f t="shared" si="7"/>
        <v>31400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403349</v>
      </c>
      <c r="AM256" s="110"/>
      <c r="AN256" s="110"/>
      <c r="AO256" s="100"/>
    </row>
    <row r="257" spans="18:41">
      <c r="R257" s="465"/>
      <c r="S257" s="465"/>
      <c r="T257" s="465"/>
      <c r="U257" s="465"/>
      <c r="V257" s="465"/>
      <c r="W257" s="465"/>
      <c r="X257" s="465"/>
      <c r="Y257" s="465"/>
      <c r="Z257" s="465"/>
      <c r="AA257" s="465"/>
      <c r="AB257" s="465"/>
      <c r="AC257" s="465"/>
      <c r="AD257" s="465"/>
      <c r="AE257" s="465"/>
      <c r="AF257" s="465"/>
      <c r="AG257" s="465"/>
      <c r="AH257" s="465"/>
      <c r="AI257" s="465"/>
      <c r="AJ257" s="465"/>
      <c r="AK257" s="465"/>
      <c r="AL257" s="466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F2:G2"/>
    <mergeCell ref="F3:G3"/>
    <mergeCell ref="H2:I2"/>
    <mergeCell ref="H3:I3"/>
    <mergeCell ref="A2:A4"/>
    <mergeCell ref="B2:B4"/>
    <mergeCell ref="C2:C4"/>
    <mergeCell ref="D2:E2"/>
    <mergeCell ref="D3:E3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L33" activePane="bottomRight" state="frozen"/>
      <selection pane="topRight" activeCell="L1" sqref="L1"/>
      <selection pane="bottomLeft" activeCell="A3" sqref="A3"/>
      <selection pane="bottomRight" activeCell="B7" sqref="B7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4330</v>
      </c>
    </row>
    <row r="2" spans="1:29">
      <c r="D2" s="500" t="s">
        <v>535</v>
      </c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00"/>
      <c r="Y2" s="500"/>
      <c r="Z2" s="500"/>
      <c r="AA2" s="500"/>
      <c r="AB2" s="500"/>
      <c r="AC2" s="500"/>
    </row>
    <row r="3" spans="1:29">
      <c r="A3" s="11"/>
      <c r="B3" s="211">
        <f>P!D3</f>
        <v>45962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 t="s">
        <v>479</v>
      </c>
      <c r="C5" s="16">
        <v>680</v>
      </c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680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45963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/>
      <c r="C16" s="16"/>
      <c r="D16"/>
      <c r="E16"/>
      <c r="F16"/>
      <c r="G16"/>
      <c r="H16"/>
    </row>
    <row r="17" spans="1:8">
      <c r="A17" s="21">
        <v>2</v>
      </c>
      <c r="B17" s="11"/>
      <c r="C17" s="16"/>
      <c r="D17"/>
      <c r="E17"/>
      <c r="F17"/>
      <c r="G17"/>
      <c r="H17"/>
    </row>
    <row r="18" spans="1:8">
      <c r="A18" s="21">
        <v>3</v>
      </c>
      <c r="B18" s="11"/>
      <c r="C18" s="16"/>
      <c r="D18"/>
      <c r="E18"/>
      <c r="F18"/>
      <c r="G18"/>
      <c r="H18"/>
    </row>
    <row r="19" spans="1:8">
      <c r="A19" s="21">
        <v>4</v>
      </c>
      <c r="B19" s="11"/>
      <c r="C19" s="16"/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45964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/>
      <c r="C28" s="16"/>
      <c r="D28"/>
      <c r="E28"/>
      <c r="F28"/>
      <c r="G28"/>
      <c r="H28"/>
    </row>
    <row r="29" spans="1:8">
      <c r="A29" s="21">
        <v>2</v>
      </c>
      <c r="B29" s="11"/>
      <c r="C29" s="16"/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0</v>
      </c>
      <c r="D34"/>
      <c r="E34"/>
      <c r="F34"/>
      <c r="G34"/>
      <c r="H34"/>
    </row>
    <row r="35" spans="1:35">
      <c r="A35"/>
      <c r="B35"/>
      <c r="C35"/>
      <c r="D35"/>
      <c r="E35" s="499"/>
      <c r="F35" s="499"/>
      <c r="G35" s="499"/>
      <c r="H35" s="499"/>
      <c r="I35" s="499"/>
      <c r="J35" s="499"/>
      <c r="K35" s="499"/>
      <c r="L35" s="499"/>
      <c r="M35" s="499"/>
      <c r="N35" s="499"/>
      <c r="O35" s="499"/>
      <c r="P35" s="499"/>
      <c r="Q35" s="499"/>
      <c r="R35" s="499"/>
      <c r="S35" s="499"/>
      <c r="T35" s="499"/>
      <c r="U35" s="499"/>
      <c r="V35" s="499"/>
      <c r="W35" s="499"/>
      <c r="X35" s="499"/>
      <c r="Y35" s="499"/>
      <c r="Z35" s="499"/>
      <c r="AA35" s="499"/>
      <c r="AB35" s="499"/>
      <c r="AC35" s="499"/>
      <c r="AD35" s="499"/>
      <c r="AE35" s="499"/>
      <c r="AF35" s="499"/>
      <c r="AG35" s="499"/>
      <c r="AH35" s="499"/>
      <c r="AI35" s="499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45965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45966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 t="s">
        <v>507</v>
      </c>
      <c r="C52" s="16">
        <v>650</v>
      </c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650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45967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 t="s">
        <v>508</v>
      </c>
      <c r="C63" s="16">
        <v>650</v>
      </c>
      <c r="D63"/>
      <c r="E63"/>
      <c r="F63"/>
      <c r="G63"/>
      <c r="H63"/>
    </row>
    <row r="64" spans="1:8">
      <c r="A64" s="21">
        <v>2</v>
      </c>
      <c r="B64" s="11" t="s">
        <v>509</v>
      </c>
      <c r="C64" s="16">
        <v>250</v>
      </c>
      <c r="D64"/>
      <c r="E64"/>
      <c r="F64"/>
      <c r="G64"/>
      <c r="H64"/>
    </row>
    <row r="65" spans="1:8">
      <c r="A65" s="21">
        <v>3</v>
      </c>
      <c r="B65" s="11" t="s">
        <v>479</v>
      </c>
      <c r="C65" s="16">
        <v>340</v>
      </c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1240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45968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 t="s">
        <v>510</v>
      </c>
      <c r="C74" s="16">
        <v>60</v>
      </c>
      <c r="D74"/>
      <c r="E74"/>
      <c r="F74"/>
      <c r="G74"/>
      <c r="H74"/>
    </row>
    <row r="75" spans="1:8">
      <c r="A75" s="21">
        <v>2</v>
      </c>
      <c r="B75" s="11" t="s">
        <v>511</v>
      </c>
      <c r="C75" s="16">
        <v>600</v>
      </c>
      <c r="D75">
        <v>600</v>
      </c>
      <c r="E75"/>
      <c r="F75"/>
      <c r="G75"/>
      <c r="H75"/>
    </row>
    <row r="76" spans="1:8">
      <c r="A76" s="21">
        <v>3</v>
      </c>
      <c r="B76" s="11" t="s">
        <v>512</v>
      </c>
      <c r="C76" s="16">
        <v>120</v>
      </c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780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 t="s">
        <v>513</v>
      </c>
      <c r="C88" s="16">
        <v>50</v>
      </c>
      <c r="D88"/>
      <c r="E88"/>
      <c r="F88"/>
      <c r="G88"/>
      <c r="H88"/>
    </row>
    <row r="89" spans="1:8">
      <c r="A89" s="21">
        <v>2</v>
      </c>
      <c r="B89" s="11" t="s">
        <v>503</v>
      </c>
      <c r="C89" s="16">
        <v>420</v>
      </c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470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45970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/>
      <c r="C104" s="16"/>
      <c r="D104"/>
      <c r="E104"/>
      <c r="F104"/>
      <c r="G104"/>
      <c r="H104"/>
    </row>
    <row r="105" spans="1:8">
      <c r="A105" s="21">
        <v>2</v>
      </c>
      <c r="B105" s="11"/>
      <c r="C105" s="16"/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45971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 t="s">
        <v>479</v>
      </c>
      <c r="C120" s="16">
        <v>510</v>
      </c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510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45972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45973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45974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45975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45976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45977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1" t="s">
        <v>235</v>
      </c>
      <c r="B1" s="501"/>
      <c r="C1" s="501"/>
      <c r="H1" s="127">
        <f>P!D3</f>
        <v>45962</v>
      </c>
    </row>
    <row r="2" spans="1:8" ht="27.75" customHeight="1">
      <c r="A2" s="502" t="s">
        <v>473</v>
      </c>
      <c r="B2" s="503"/>
      <c r="C2" s="504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1</v>
      </c>
      <c r="B4" s="355" t="s">
        <v>474</v>
      </c>
      <c r="C4" s="169">
        <v>8975</v>
      </c>
      <c r="D4" s="130">
        <f>C4</f>
        <v>8975</v>
      </c>
      <c r="E4" s="132">
        <f>SUM($D$3:D4)</f>
        <v>8975</v>
      </c>
      <c r="F4" s="133">
        <f>A4</f>
        <v>1</v>
      </c>
    </row>
    <row r="5" spans="1:8">
      <c r="A5" s="153">
        <f>SUBTOTAL(103,B$4:B5)</f>
        <v>2</v>
      </c>
      <c r="B5" s="355" t="s">
        <v>482</v>
      </c>
      <c r="C5" s="169">
        <v>2783</v>
      </c>
      <c r="D5" s="130">
        <f t="shared" ref="D5:D12" si="0">C5</f>
        <v>2783</v>
      </c>
      <c r="E5" s="132">
        <f>SUM($D$3:D5)</f>
        <v>11758</v>
      </c>
      <c r="F5" s="133">
        <f t="shared" ref="F5:F48" si="1">A5</f>
        <v>2</v>
      </c>
    </row>
    <row r="6" spans="1:8">
      <c r="A6" s="153">
        <f>SUBTOTAL(103,B$4:B6)</f>
        <v>3</v>
      </c>
      <c r="B6" s="355" t="s">
        <v>476</v>
      </c>
      <c r="C6" s="169">
        <v>4630</v>
      </c>
      <c r="D6" s="130">
        <f t="shared" si="0"/>
        <v>4630</v>
      </c>
      <c r="E6" s="132">
        <f>SUM($D$3:D6)</f>
        <v>16388</v>
      </c>
      <c r="F6" s="133">
        <f t="shared" si="1"/>
        <v>3</v>
      </c>
    </row>
    <row r="7" spans="1:8">
      <c r="A7" s="153">
        <f>SUBTOTAL(103,B$4:B7)</f>
        <v>4</v>
      </c>
      <c r="B7" s="355" t="s">
        <v>477</v>
      </c>
      <c r="C7" s="169">
        <v>10620</v>
      </c>
      <c r="D7" s="130">
        <f t="shared" si="0"/>
        <v>10620</v>
      </c>
      <c r="E7" s="132">
        <f>SUM($D$3:D7)</f>
        <v>27008</v>
      </c>
      <c r="F7" s="133">
        <f t="shared" si="1"/>
        <v>4</v>
      </c>
    </row>
    <row r="8" spans="1:8">
      <c r="A8" s="153">
        <f>SUBTOTAL(103,B$4:B8)</f>
        <v>5</v>
      </c>
      <c r="B8" s="355" t="s">
        <v>123</v>
      </c>
      <c r="C8" s="169">
        <v>150</v>
      </c>
      <c r="D8" s="130">
        <f t="shared" si="0"/>
        <v>150</v>
      </c>
      <c r="E8" s="132">
        <f>SUM($D$3:D8)</f>
        <v>27158</v>
      </c>
      <c r="F8" s="133">
        <f t="shared" si="1"/>
        <v>5</v>
      </c>
    </row>
    <row r="9" spans="1:8">
      <c r="A9" s="153">
        <f>SUBTOTAL(103,B$4:B9)</f>
        <v>6</v>
      </c>
      <c r="B9" s="355" t="s">
        <v>478</v>
      </c>
      <c r="C9" s="169">
        <v>1935</v>
      </c>
      <c r="D9" s="130">
        <f t="shared" si="0"/>
        <v>1935</v>
      </c>
      <c r="E9" s="132">
        <f>SUM($D$3:D9)</f>
        <v>29093</v>
      </c>
      <c r="F9" s="133">
        <f t="shared" si="1"/>
        <v>6</v>
      </c>
    </row>
    <row r="10" spans="1:8">
      <c r="A10" s="153">
        <f>SUBTOTAL(103,B$4:B10)</f>
        <v>7</v>
      </c>
      <c r="B10" s="355" t="s">
        <v>479</v>
      </c>
      <c r="C10" s="169">
        <v>680</v>
      </c>
      <c r="D10" s="130">
        <f t="shared" si="0"/>
        <v>680</v>
      </c>
      <c r="E10" s="132">
        <f>SUM($D$3:D10)</f>
        <v>29773</v>
      </c>
      <c r="F10" s="133">
        <f t="shared" si="1"/>
        <v>7</v>
      </c>
    </row>
    <row r="11" spans="1:8">
      <c r="A11" s="153">
        <f>SUBTOTAL(103,B$4:B11)</f>
        <v>8</v>
      </c>
      <c r="B11" s="355" t="s">
        <v>480</v>
      </c>
      <c r="C11" s="169">
        <v>1200</v>
      </c>
      <c r="D11" s="130">
        <f t="shared" si="0"/>
        <v>1200</v>
      </c>
      <c r="E11" s="132">
        <f>SUM($D$3:D11)</f>
        <v>30973</v>
      </c>
      <c r="F11" s="133">
        <f t="shared" si="1"/>
        <v>8</v>
      </c>
    </row>
    <row r="12" spans="1:8" hidden="1">
      <c r="A12" s="153">
        <f>SUBTOTAL(103,B$4:B12)</f>
        <v>8</v>
      </c>
      <c r="B12" s="126"/>
      <c r="C12" s="169"/>
      <c r="D12" s="130">
        <f t="shared" si="0"/>
        <v>0</v>
      </c>
      <c r="E12" s="132">
        <f>SUM($D$3:D12)</f>
        <v>30973</v>
      </c>
      <c r="F12" s="133" t="s">
        <v>306</v>
      </c>
    </row>
    <row r="13" spans="1:8" hidden="1">
      <c r="A13" s="153">
        <f>SUBTOTAL(103,B$4:B13)</f>
        <v>8</v>
      </c>
      <c r="B13" s="126"/>
      <c r="C13" s="169"/>
      <c r="D13" s="130">
        <f t="shared" ref="D13:D48" si="2">C13</f>
        <v>0</v>
      </c>
      <c r="E13" s="132">
        <f>SUM($D$3:D13)</f>
        <v>30973</v>
      </c>
      <c r="F13" s="133">
        <f t="shared" si="1"/>
        <v>8</v>
      </c>
    </row>
    <row r="14" spans="1:8" hidden="1">
      <c r="A14" s="153">
        <f>SUBTOTAL(103,B$4:B14)</f>
        <v>8</v>
      </c>
      <c r="B14" s="126"/>
      <c r="C14" s="169"/>
      <c r="D14" s="130">
        <f t="shared" si="2"/>
        <v>0</v>
      </c>
      <c r="E14" s="132">
        <f>SUM($D$3:D14)</f>
        <v>30973</v>
      </c>
      <c r="F14" s="133">
        <f t="shared" si="1"/>
        <v>8</v>
      </c>
    </row>
    <row r="15" spans="1:8" hidden="1">
      <c r="A15" s="153">
        <f>SUBTOTAL(103,B$4:B15)</f>
        <v>8</v>
      </c>
      <c r="B15" s="170"/>
      <c r="C15" s="136"/>
      <c r="D15" s="130">
        <f t="shared" si="2"/>
        <v>0</v>
      </c>
      <c r="E15" s="132">
        <f>SUM($D$3:D15)</f>
        <v>30973</v>
      </c>
      <c r="F15" s="133">
        <f t="shared" si="1"/>
        <v>8</v>
      </c>
    </row>
    <row r="16" spans="1:8" hidden="1">
      <c r="A16" s="153">
        <f>SUBTOTAL(103,B$4:B16)</f>
        <v>8</v>
      </c>
      <c r="B16" s="126"/>
      <c r="C16" s="169"/>
      <c r="D16" s="130">
        <f t="shared" si="2"/>
        <v>0</v>
      </c>
      <c r="E16" s="132">
        <f>SUM($D$3:D16)</f>
        <v>30973</v>
      </c>
      <c r="F16" s="133">
        <f t="shared" si="1"/>
        <v>8</v>
      </c>
    </row>
    <row r="17" spans="1:6" hidden="1">
      <c r="A17" s="153">
        <f>SUBTOTAL(103,B$4:B17)</f>
        <v>8</v>
      </c>
      <c r="B17" s="170"/>
      <c r="C17" s="169"/>
      <c r="D17" s="130">
        <f t="shared" si="2"/>
        <v>0</v>
      </c>
      <c r="E17" s="132">
        <f>SUM($D$3:D17)</f>
        <v>30973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30">
        <f t="shared" si="2"/>
        <v>0</v>
      </c>
      <c r="E18" s="132">
        <f>SUM($D$3:D18)</f>
        <v>30973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32">
        <f>SUM($D$3:D19)</f>
        <v>30973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32">
        <f>SUM($D$3:D20)</f>
        <v>30973</v>
      </c>
      <c r="F20" s="133">
        <f t="shared" si="1"/>
        <v>8</v>
      </c>
    </row>
    <row r="21" spans="1:6" hidden="1">
      <c r="A21" s="153">
        <f>SUBTOTAL(103,B$4:B21)</f>
        <v>8</v>
      </c>
      <c r="B21" s="281"/>
      <c r="C21" s="169"/>
      <c r="D21" s="130">
        <f t="shared" si="2"/>
        <v>0</v>
      </c>
      <c r="E21" s="132">
        <f>SUM($D$3:D21)</f>
        <v>30973</v>
      </c>
      <c r="F21" s="133">
        <f t="shared" si="1"/>
        <v>8</v>
      </c>
    </row>
    <row r="22" spans="1:6" hidden="1">
      <c r="A22" s="153">
        <f>SUBTOTAL(103,B$4:B22)</f>
        <v>8</v>
      </c>
      <c r="B22" s="281"/>
      <c r="C22" s="169"/>
      <c r="D22" s="130">
        <f t="shared" si="2"/>
        <v>0</v>
      </c>
      <c r="E22" s="132">
        <f>SUM($D$3:D22)</f>
        <v>30973</v>
      </c>
      <c r="F22" s="133">
        <f t="shared" si="1"/>
        <v>8</v>
      </c>
    </row>
    <row r="23" spans="1:6" hidden="1">
      <c r="A23" s="153">
        <f>SUBTOTAL(103,B$4:B23)</f>
        <v>8</v>
      </c>
      <c r="B23" s="281"/>
      <c r="C23" s="169"/>
      <c r="D23" s="130">
        <f t="shared" si="2"/>
        <v>0</v>
      </c>
      <c r="E23" s="132">
        <f>SUM($D$3:D23)</f>
        <v>30973</v>
      </c>
      <c r="F23" s="133">
        <f t="shared" si="1"/>
        <v>8</v>
      </c>
    </row>
    <row r="24" spans="1:6" hidden="1">
      <c r="A24" s="153">
        <f>SUBTOTAL(103,B$4:B24)</f>
        <v>8</v>
      </c>
      <c r="B24" s="281"/>
      <c r="C24" s="169"/>
      <c r="D24" s="130">
        <f t="shared" si="2"/>
        <v>0</v>
      </c>
      <c r="E24" s="132">
        <f>SUM($D$3:D24)</f>
        <v>30973</v>
      </c>
      <c r="F24" s="133">
        <f t="shared" si="1"/>
        <v>8</v>
      </c>
    </row>
    <row r="25" spans="1:6" hidden="1">
      <c r="A25" s="153">
        <f>SUBTOTAL(103,B$4:B25)</f>
        <v>8</v>
      </c>
      <c r="B25" s="281"/>
      <c r="C25" s="169"/>
      <c r="D25" s="130">
        <f t="shared" si="2"/>
        <v>0</v>
      </c>
      <c r="E25" s="132">
        <f>SUM($D$3:D25)</f>
        <v>30973</v>
      </c>
      <c r="F25" s="133">
        <f t="shared" si="1"/>
        <v>8</v>
      </c>
    </row>
    <row r="26" spans="1:6" hidden="1">
      <c r="A26" s="153">
        <f>SUBTOTAL(103,B$4:B26)</f>
        <v>8</v>
      </c>
      <c r="B26" s="281"/>
      <c r="C26" s="169"/>
      <c r="D26" s="130">
        <f t="shared" si="2"/>
        <v>0</v>
      </c>
      <c r="E26" s="132">
        <f>SUM($D$3:D26)</f>
        <v>30973</v>
      </c>
      <c r="F26" s="133">
        <f t="shared" si="1"/>
        <v>8</v>
      </c>
    </row>
    <row r="27" spans="1:6" hidden="1">
      <c r="A27" s="153">
        <f>SUBTOTAL(103,B$4:B27)</f>
        <v>8</v>
      </c>
      <c r="B27" s="281"/>
      <c r="C27" s="169"/>
      <c r="D27" s="130">
        <f t="shared" si="2"/>
        <v>0</v>
      </c>
      <c r="E27" s="132">
        <f>SUM($D$3:D27)</f>
        <v>30973</v>
      </c>
      <c r="F27" s="133">
        <f t="shared" si="1"/>
        <v>8</v>
      </c>
    </row>
    <row r="28" spans="1:6" hidden="1">
      <c r="A28" s="153">
        <f>SUBTOTAL(103,B$4:B28)</f>
        <v>8</v>
      </c>
      <c r="B28" s="281"/>
      <c r="C28" s="169"/>
      <c r="D28" s="130">
        <f t="shared" si="2"/>
        <v>0</v>
      </c>
      <c r="E28" s="132">
        <f>SUM($D$3:D28)</f>
        <v>30973</v>
      </c>
      <c r="F28" s="133">
        <f t="shared" si="1"/>
        <v>8</v>
      </c>
    </row>
    <row r="29" spans="1:6" hidden="1">
      <c r="A29" s="153">
        <f>SUBTOTAL(103,B$4:B29)</f>
        <v>8</v>
      </c>
      <c r="B29" s="281"/>
      <c r="C29" s="169"/>
      <c r="D29" s="130">
        <f t="shared" si="2"/>
        <v>0</v>
      </c>
      <c r="E29" s="132">
        <f>SUM($D$3:D29)</f>
        <v>30973</v>
      </c>
      <c r="F29" s="133">
        <f t="shared" si="1"/>
        <v>8</v>
      </c>
    </row>
    <row r="30" spans="1:6" hidden="1">
      <c r="A30" s="153">
        <f>SUBTOTAL(103,B$4:B30)</f>
        <v>8</v>
      </c>
      <c r="B30" s="281"/>
      <c r="C30" s="169"/>
      <c r="D30" s="130">
        <f t="shared" si="2"/>
        <v>0</v>
      </c>
      <c r="E30" s="132">
        <f>SUM($D$3:D30)</f>
        <v>30973</v>
      </c>
      <c r="F30" s="133">
        <f t="shared" si="1"/>
        <v>8</v>
      </c>
    </row>
    <row r="31" spans="1:6" hidden="1">
      <c r="A31" s="153">
        <f>SUBTOTAL(103,B$4:B31)</f>
        <v>8</v>
      </c>
      <c r="B31" s="281"/>
      <c r="C31" s="169"/>
      <c r="D31" s="130">
        <f t="shared" si="2"/>
        <v>0</v>
      </c>
      <c r="E31" s="132">
        <f>SUM($D$3:D31)</f>
        <v>30973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32">
        <f>SUM($D$3:D32)</f>
        <v>30973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32">
        <f>SUM($D$3:D33)</f>
        <v>30973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32">
        <f>SUM($D$3:D34)</f>
        <v>30973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32">
        <f>SUM($D$3:D35)</f>
        <v>30973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32">
        <f>SUM($D$3:D36)</f>
        <v>30973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32">
        <f>SUM($D$3:D37)</f>
        <v>30973</v>
      </c>
      <c r="F37" s="133">
        <f t="shared" si="1"/>
        <v>8</v>
      </c>
    </row>
    <row r="38" spans="1:6" hidden="1">
      <c r="A38" s="153">
        <f>SUBTOTAL(103,B$4:B38)</f>
        <v>8</v>
      </c>
      <c r="B38" s="281"/>
      <c r="C38" s="169"/>
      <c r="D38" s="130">
        <f t="shared" si="2"/>
        <v>0</v>
      </c>
      <c r="E38" s="132">
        <f>SUM($D$3:D38)</f>
        <v>30973</v>
      </c>
      <c r="F38" s="133">
        <f t="shared" si="1"/>
        <v>8</v>
      </c>
    </row>
    <row r="39" spans="1:6" hidden="1">
      <c r="A39" s="153">
        <f>SUBTOTAL(103,B$4:B39)</f>
        <v>8</v>
      </c>
      <c r="B39" s="281"/>
      <c r="C39" s="169"/>
      <c r="D39" s="130">
        <f t="shared" si="2"/>
        <v>0</v>
      </c>
      <c r="E39" s="132">
        <f>SUM($D$3:D39)</f>
        <v>30973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32">
        <f>SUM($D$3:D40)</f>
        <v>30973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32">
        <f>SUM($D$3:D41)</f>
        <v>30973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32">
        <f>SUM($D$3:D42)</f>
        <v>30973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32">
        <f>SUM($D$3:D43)</f>
        <v>30973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32">
        <f>SUM($D$3:D44)</f>
        <v>30973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32">
        <f>SUM($D$3:D45)</f>
        <v>30973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32">
        <f>SUM($D$3:D46)</f>
        <v>30973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32">
        <f>SUM($D$3:D47)</f>
        <v>30973</v>
      </c>
      <c r="F47" s="133">
        <f t="shared" si="1"/>
        <v>8</v>
      </c>
    </row>
    <row r="48" spans="1:6" hidden="1">
      <c r="A48" s="153">
        <f>SUBTOTAL(103,B$4:B48)</f>
        <v>8</v>
      </c>
      <c r="B48" s="126"/>
      <c r="C48" s="169"/>
      <c r="D48" s="130">
        <f t="shared" si="2"/>
        <v>0</v>
      </c>
      <c r="E48" s="132">
        <f>SUM($D$3:D48)</f>
        <v>30973</v>
      </c>
      <c r="F48" s="133">
        <f t="shared" si="1"/>
        <v>8</v>
      </c>
    </row>
    <row r="49" spans="1:5">
      <c r="A49" s="134"/>
      <c r="B49" s="135" t="s">
        <v>233</v>
      </c>
      <c r="C49" s="136">
        <f>SUM(C4:C48)</f>
        <v>30973</v>
      </c>
      <c r="D49" s="137"/>
      <c r="E49" s="138"/>
    </row>
    <row r="50" spans="1:5">
      <c r="A50" s="505" t="s">
        <v>516</v>
      </c>
      <c r="B50" s="506"/>
      <c r="C50" s="507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115" zoomScaleNormal="11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6" sqref="B6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1" t="s">
        <v>235</v>
      </c>
      <c r="B1" s="501"/>
      <c r="C1" s="501"/>
      <c r="F1" s="127">
        <f>P!F3</f>
        <v>45963</v>
      </c>
    </row>
    <row r="2" spans="1:8" ht="31.5" customHeight="1">
      <c r="A2" s="508" t="s">
        <v>481</v>
      </c>
      <c r="B2" s="508"/>
      <c r="C2" s="508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1</v>
      </c>
      <c r="B4" s="273" t="s">
        <v>474</v>
      </c>
      <c r="C4" s="169">
        <v>20375</v>
      </c>
      <c r="D4" s="178">
        <f>C4</f>
        <v>20375</v>
      </c>
      <c r="E4" s="169">
        <f>SUM($D$3:D4)</f>
        <v>20375</v>
      </c>
      <c r="F4" s="133">
        <f>A4</f>
        <v>1</v>
      </c>
      <c r="G4"/>
      <c r="H4"/>
    </row>
    <row r="5" spans="1:8" ht="19.5">
      <c r="A5" s="153">
        <f>SUBTOTAL(103,B$4:B5)</f>
        <v>2</v>
      </c>
      <c r="B5" s="273" t="s">
        <v>477</v>
      </c>
      <c r="C5" s="169">
        <v>9445</v>
      </c>
      <c r="D5" s="178">
        <f t="shared" ref="D5:D50" si="0">C5</f>
        <v>9445</v>
      </c>
      <c r="E5" s="169">
        <f>SUM($D$3:D5)</f>
        <v>29820</v>
      </c>
      <c r="F5" s="133">
        <f t="shared" ref="F5:F50" si="1">A5</f>
        <v>2</v>
      </c>
      <c r="G5"/>
      <c r="H5"/>
    </row>
    <row r="6" spans="1:8" ht="19.5">
      <c r="A6" s="153">
        <f>SUBTOTAL(103,B$4:B6)</f>
        <v>3</v>
      </c>
      <c r="B6" s="273" t="s">
        <v>476</v>
      </c>
      <c r="C6" s="169">
        <v>6372</v>
      </c>
      <c r="D6" s="178">
        <f t="shared" si="0"/>
        <v>6372</v>
      </c>
      <c r="E6" s="169">
        <f>SUM($D$3:D6)</f>
        <v>36192</v>
      </c>
      <c r="F6" s="133">
        <f t="shared" si="1"/>
        <v>3</v>
      </c>
      <c r="G6"/>
      <c r="H6"/>
    </row>
    <row r="7" spans="1:8" ht="19.5">
      <c r="A7" s="153">
        <f>SUBTOTAL(103,B$4:B7)</f>
        <v>4</v>
      </c>
      <c r="B7" s="273" t="s">
        <v>483</v>
      </c>
      <c r="C7" s="169">
        <v>1180</v>
      </c>
      <c r="D7" s="178">
        <f t="shared" si="0"/>
        <v>1180</v>
      </c>
      <c r="E7" s="169">
        <f>SUM($D$3:D7)</f>
        <v>37372</v>
      </c>
      <c r="F7" s="133">
        <f t="shared" si="1"/>
        <v>4</v>
      </c>
      <c r="G7"/>
      <c r="H7"/>
    </row>
    <row r="8" spans="1:8" ht="19.5">
      <c r="A8" s="153">
        <f>SUBTOTAL(103,B$4:B8)</f>
        <v>5</v>
      </c>
      <c r="B8" s="273" t="s">
        <v>484</v>
      </c>
      <c r="C8" s="169">
        <v>2100</v>
      </c>
      <c r="D8" s="178">
        <f t="shared" si="0"/>
        <v>2100</v>
      </c>
      <c r="E8" s="169">
        <f>SUM($D$3:D8)</f>
        <v>39472</v>
      </c>
      <c r="F8" s="133">
        <f t="shared" si="1"/>
        <v>5</v>
      </c>
      <c r="G8"/>
      <c r="H8"/>
    </row>
    <row r="9" spans="1:8" ht="19.5">
      <c r="A9" s="153">
        <f>SUBTOTAL(103,B$4:B9)</f>
        <v>6</v>
      </c>
      <c r="B9" s="273" t="s">
        <v>485</v>
      </c>
      <c r="C9" s="169">
        <v>2060</v>
      </c>
      <c r="D9" s="178">
        <f t="shared" si="0"/>
        <v>2060</v>
      </c>
      <c r="E9" s="169">
        <f>SUM($D$3:D9)</f>
        <v>41532</v>
      </c>
      <c r="F9" s="133">
        <f t="shared" si="1"/>
        <v>6</v>
      </c>
      <c r="G9"/>
      <c r="H9"/>
    </row>
    <row r="10" spans="1:8" ht="19.5">
      <c r="A10" s="153">
        <f>SUBTOTAL(103,B$4:B10)</f>
        <v>7</v>
      </c>
      <c r="B10" s="273" t="s">
        <v>480</v>
      </c>
      <c r="C10" s="169">
        <v>3800</v>
      </c>
      <c r="D10" s="178">
        <f t="shared" si="0"/>
        <v>3800</v>
      </c>
      <c r="E10" s="169">
        <f>SUM($D$3:D10)</f>
        <v>45332</v>
      </c>
      <c r="F10" s="133">
        <f t="shared" si="1"/>
        <v>7</v>
      </c>
      <c r="G10"/>
      <c r="H10"/>
    </row>
    <row r="11" spans="1:8" ht="19.5" hidden="1">
      <c r="A11" s="153">
        <f>SUBTOTAL(103,B$4:B11)</f>
        <v>7</v>
      </c>
      <c r="B11" s="255"/>
      <c r="C11" s="169"/>
      <c r="D11" s="178">
        <f t="shared" si="0"/>
        <v>0</v>
      </c>
      <c r="E11" s="169">
        <f>SUM($D$3:D11)</f>
        <v>45332</v>
      </c>
      <c r="F11" s="133">
        <f t="shared" si="1"/>
        <v>7</v>
      </c>
    </row>
    <row r="12" spans="1:8" ht="19.5" hidden="1">
      <c r="A12" s="153">
        <f>SUBTOTAL(103,B$4:B12)</f>
        <v>7</v>
      </c>
      <c r="B12" s="255"/>
      <c r="C12" s="169"/>
      <c r="D12" s="178">
        <f t="shared" si="0"/>
        <v>0</v>
      </c>
      <c r="E12" s="169">
        <f>SUM($D$3:D12)</f>
        <v>45332</v>
      </c>
      <c r="F12" s="133">
        <f t="shared" si="1"/>
        <v>7</v>
      </c>
    </row>
    <row r="13" spans="1:8" ht="19.5" hidden="1">
      <c r="A13" s="153">
        <f>SUBTOTAL(103,B$4:B13)</f>
        <v>7</v>
      </c>
      <c r="B13" s="255"/>
      <c r="C13" s="169"/>
      <c r="D13" s="178">
        <f t="shared" si="0"/>
        <v>0</v>
      </c>
      <c r="E13" s="169">
        <f>SUM($D$3:D13)</f>
        <v>45332</v>
      </c>
      <c r="F13" s="133">
        <f t="shared" si="1"/>
        <v>7</v>
      </c>
    </row>
    <row r="14" spans="1:8" ht="19.5" hidden="1">
      <c r="A14" s="153">
        <f>SUBTOTAL(103,B$4:B14)</f>
        <v>7</v>
      </c>
      <c r="B14" s="171"/>
      <c r="C14" s="169"/>
      <c r="D14" s="178">
        <f t="shared" si="0"/>
        <v>0</v>
      </c>
      <c r="E14" s="169">
        <f>SUM($D$3:D14)</f>
        <v>45332</v>
      </c>
      <c r="F14" s="133">
        <f t="shared" si="1"/>
        <v>7</v>
      </c>
    </row>
    <row r="15" spans="1:8" ht="19.5" hidden="1">
      <c r="A15" s="153">
        <f>SUBTOTAL(103,B$4:B15)</f>
        <v>7</v>
      </c>
      <c r="B15" s="171"/>
      <c r="C15" s="169"/>
      <c r="D15" s="178">
        <f t="shared" si="0"/>
        <v>0</v>
      </c>
      <c r="E15" s="169">
        <f>SUM($D$3:D15)</f>
        <v>45332</v>
      </c>
      <c r="F15" s="133">
        <f t="shared" si="1"/>
        <v>7</v>
      </c>
    </row>
    <row r="16" spans="1:8" ht="19.5" hidden="1">
      <c r="A16" s="153">
        <f>SUBTOTAL(103,B$4:B16)</f>
        <v>7</v>
      </c>
      <c r="B16" s="171"/>
      <c r="C16" s="169"/>
      <c r="D16" s="178">
        <f t="shared" si="0"/>
        <v>0</v>
      </c>
      <c r="E16" s="169">
        <f>SUM($D$3:D16)</f>
        <v>45332</v>
      </c>
      <c r="F16" s="133">
        <f t="shared" si="1"/>
        <v>7</v>
      </c>
    </row>
    <row r="17" spans="1:6" ht="18.75" hidden="1" customHeight="1">
      <c r="A17" s="153">
        <f>SUBTOTAL(103,B$4:B17)</f>
        <v>7</v>
      </c>
      <c r="B17" s="171"/>
      <c r="C17" s="169"/>
      <c r="D17" s="178">
        <f t="shared" si="0"/>
        <v>0</v>
      </c>
      <c r="E17" s="169">
        <f>SUM($D$3:D17)</f>
        <v>45332</v>
      </c>
      <c r="F17" s="133">
        <f t="shared" si="1"/>
        <v>7</v>
      </c>
    </row>
    <row r="18" spans="1:6" ht="19.5" hidden="1">
      <c r="A18" s="153">
        <f>SUBTOTAL(103,B$4:B18)</f>
        <v>7</v>
      </c>
      <c r="B18" s="169"/>
      <c r="C18" s="169"/>
      <c r="D18" s="178">
        <f t="shared" si="0"/>
        <v>0</v>
      </c>
      <c r="E18" s="169">
        <f>SUM($D$3:D18)</f>
        <v>45332</v>
      </c>
      <c r="F18" s="133">
        <f t="shared" si="1"/>
        <v>7</v>
      </c>
    </row>
    <row r="19" spans="1:6" ht="19.5" hidden="1">
      <c r="A19" s="153">
        <f>SUBTOTAL(103,B$4:B19)</f>
        <v>7</v>
      </c>
      <c r="B19" s="171"/>
      <c r="C19" s="169"/>
      <c r="D19" s="178">
        <f t="shared" si="0"/>
        <v>0</v>
      </c>
      <c r="E19" s="169">
        <f>SUM($D$3:D19)</f>
        <v>45332</v>
      </c>
      <c r="F19" s="133">
        <f t="shared" si="1"/>
        <v>7</v>
      </c>
    </row>
    <row r="20" spans="1:6" ht="19.5" hidden="1">
      <c r="A20" s="153">
        <f>SUBTOTAL(103,B$4:B20)</f>
        <v>7</v>
      </c>
      <c r="B20" s="165"/>
      <c r="C20" s="169"/>
      <c r="D20" s="178">
        <f t="shared" si="0"/>
        <v>0</v>
      </c>
      <c r="E20" s="169">
        <f>SUM($D$3:D20)</f>
        <v>45332</v>
      </c>
      <c r="F20" s="133">
        <f t="shared" si="1"/>
        <v>7</v>
      </c>
    </row>
    <row r="21" spans="1:6" ht="19.5" hidden="1">
      <c r="A21" s="153">
        <f>SUBTOTAL(103,B$4:B21)</f>
        <v>7</v>
      </c>
      <c r="B21" s="171"/>
      <c r="C21" s="169"/>
      <c r="D21" s="178">
        <f t="shared" si="0"/>
        <v>0</v>
      </c>
      <c r="E21" s="169">
        <f>SUM($D$3:D21)</f>
        <v>45332</v>
      </c>
      <c r="F21" s="133">
        <f t="shared" si="1"/>
        <v>7</v>
      </c>
    </row>
    <row r="22" spans="1:6" ht="19.5" hidden="1">
      <c r="A22" s="153">
        <f>SUBTOTAL(103,B$4:B22)</f>
        <v>7</v>
      </c>
      <c r="B22" s="171"/>
      <c r="C22" s="169"/>
      <c r="D22" s="178">
        <f t="shared" si="0"/>
        <v>0</v>
      </c>
      <c r="E22" s="169">
        <f>SUM($D$3:D22)</f>
        <v>45332</v>
      </c>
      <c r="F22" s="133">
        <f t="shared" si="1"/>
        <v>7</v>
      </c>
    </row>
    <row r="23" spans="1:6" ht="19.5" hidden="1">
      <c r="A23" s="153">
        <f>SUBTOTAL(103,B$4:B23)</f>
        <v>7</v>
      </c>
      <c r="B23" s="171"/>
      <c r="C23" s="169"/>
      <c r="D23" s="178">
        <f t="shared" si="0"/>
        <v>0</v>
      </c>
      <c r="E23" s="169">
        <f>SUM($D$3:D23)</f>
        <v>45332</v>
      </c>
      <c r="F23" s="133">
        <f t="shared" si="1"/>
        <v>7</v>
      </c>
    </row>
    <row r="24" spans="1:6" ht="19.5" hidden="1">
      <c r="A24" s="153">
        <f>SUBTOTAL(103,B$4:B24)</f>
        <v>7</v>
      </c>
      <c r="B24" s="171"/>
      <c r="C24" s="169"/>
      <c r="D24" s="178">
        <f t="shared" si="0"/>
        <v>0</v>
      </c>
      <c r="E24" s="169">
        <f>SUM($D$3:D24)</f>
        <v>45332</v>
      </c>
      <c r="F24" s="133">
        <f t="shared" si="1"/>
        <v>7</v>
      </c>
    </row>
    <row r="25" spans="1:6" ht="19.5" hidden="1">
      <c r="A25" s="153">
        <f>SUBTOTAL(103,B$4:B25)</f>
        <v>7</v>
      </c>
      <c r="B25" s="171"/>
      <c r="C25" s="169"/>
      <c r="D25" s="178">
        <f t="shared" si="0"/>
        <v>0</v>
      </c>
      <c r="E25" s="169">
        <f>SUM($D$3:D25)</f>
        <v>45332</v>
      </c>
      <c r="F25" s="133">
        <f t="shared" si="1"/>
        <v>7</v>
      </c>
    </row>
    <row r="26" spans="1:6" ht="19.5" hidden="1">
      <c r="A26" s="153">
        <f>SUBTOTAL(103,B$4:B26)</f>
        <v>7</v>
      </c>
      <c r="B26" s="171"/>
      <c r="C26" s="169"/>
      <c r="D26" s="178">
        <f t="shared" si="0"/>
        <v>0</v>
      </c>
      <c r="E26" s="169">
        <f>SUM($D$3:D26)</f>
        <v>45332</v>
      </c>
      <c r="F26" s="133">
        <f t="shared" si="1"/>
        <v>7</v>
      </c>
    </row>
    <row r="27" spans="1:6" ht="19.5" hidden="1">
      <c r="A27" s="153">
        <f>SUBTOTAL(103,B$4:B27)</f>
        <v>7</v>
      </c>
      <c r="B27" s="171"/>
      <c r="C27" s="169"/>
      <c r="D27" s="178">
        <f t="shared" si="0"/>
        <v>0</v>
      </c>
      <c r="E27" s="169">
        <f>SUM($D$3:D27)</f>
        <v>45332</v>
      </c>
      <c r="F27" s="133">
        <f t="shared" si="1"/>
        <v>7</v>
      </c>
    </row>
    <row r="28" spans="1:6" ht="19.5" hidden="1">
      <c r="A28" s="153">
        <f>SUBTOTAL(103,B$4:B28)</f>
        <v>7</v>
      </c>
      <c r="B28" s="171"/>
      <c r="C28" s="169"/>
      <c r="D28" s="178">
        <f t="shared" si="0"/>
        <v>0</v>
      </c>
      <c r="E28" s="169">
        <f>SUM($D$3:D28)</f>
        <v>45332</v>
      </c>
      <c r="F28" s="133">
        <f t="shared" si="1"/>
        <v>7</v>
      </c>
    </row>
    <row r="29" spans="1:6" ht="19.5" hidden="1">
      <c r="A29" s="153">
        <f>SUBTOTAL(103,B$4:B29)</f>
        <v>7</v>
      </c>
      <c r="B29" s="171"/>
      <c r="C29" s="169"/>
      <c r="D29" s="178">
        <f t="shared" si="0"/>
        <v>0</v>
      </c>
      <c r="E29" s="169">
        <f>SUM($D$3:D29)</f>
        <v>45332</v>
      </c>
      <c r="F29" s="133">
        <f t="shared" si="1"/>
        <v>7</v>
      </c>
    </row>
    <row r="30" spans="1:6" ht="19.5" hidden="1">
      <c r="A30" s="153">
        <f>SUBTOTAL(103,B$4:B30)</f>
        <v>7</v>
      </c>
      <c r="B30" s="171"/>
      <c r="C30" s="169"/>
      <c r="D30" s="178">
        <f t="shared" si="0"/>
        <v>0</v>
      </c>
      <c r="E30" s="169">
        <f>SUM($D$3:D30)</f>
        <v>45332</v>
      </c>
      <c r="F30" s="133">
        <f t="shared" si="1"/>
        <v>7</v>
      </c>
    </row>
    <row r="31" spans="1:6" ht="19.5" hidden="1">
      <c r="A31" s="153">
        <f>SUBTOTAL(103,B$4:B31)</f>
        <v>7</v>
      </c>
      <c r="B31" s="171"/>
      <c r="C31" s="169"/>
      <c r="D31" s="178">
        <f t="shared" si="0"/>
        <v>0</v>
      </c>
      <c r="E31" s="169">
        <f>SUM($D$3:D31)</f>
        <v>45332</v>
      </c>
      <c r="F31" s="133">
        <f t="shared" si="1"/>
        <v>7</v>
      </c>
    </row>
    <row r="32" spans="1:6" ht="19.5" hidden="1">
      <c r="A32" s="153">
        <f>SUBTOTAL(103,B$4:B32)</f>
        <v>7</v>
      </c>
      <c r="B32" s="171"/>
      <c r="C32" s="169"/>
      <c r="D32" s="178">
        <f t="shared" si="0"/>
        <v>0</v>
      </c>
      <c r="E32" s="169">
        <f>SUM($D$3:D32)</f>
        <v>45332</v>
      </c>
      <c r="F32" s="133">
        <f t="shared" si="1"/>
        <v>7</v>
      </c>
    </row>
    <row r="33" spans="1:6" ht="19.5" hidden="1">
      <c r="A33" s="153">
        <f>SUBTOTAL(103,B$4:B33)</f>
        <v>7</v>
      </c>
      <c r="B33" s="171"/>
      <c r="C33" s="169"/>
      <c r="D33" s="178">
        <f t="shared" si="0"/>
        <v>0</v>
      </c>
      <c r="E33" s="169">
        <f>SUM($D$3:D33)</f>
        <v>45332</v>
      </c>
      <c r="F33" s="133">
        <f t="shared" si="1"/>
        <v>7</v>
      </c>
    </row>
    <row r="34" spans="1:6" ht="19.5" hidden="1">
      <c r="A34" s="153">
        <f>SUBTOTAL(103,B$4:B34)</f>
        <v>7</v>
      </c>
      <c r="B34" s="171"/>
      <c r="C34" s="169"/>
      <c r="D34" s="178">
        <f t="shared" si="0"/>
        <v>0</v>
      </c>
      <c r="E34" s="169">
        <f>SUM($D$3:D34)</f>
        <v>45332</v>
      </c>
      <c r="F34" s="133">
        <f t="shared" si="1"/>
        <v>7</v>
      </c>
    </row>
    <row r="35" spans="1:6" ht="19.5" hidden="1">
      <c r="A35" s="153">
        <f>SUBTOTAL(103,B$4:B35)</f>
        <v>7</v>
      </c>
      <c r="B35" s="171"/>
      <c r="C35" s="169"/>
      <c r="D35" s="178">
        <f t="shared" si="0"/>
        <v>0</v>
      </c>
      <c r="E35" s="169">
        <f>SUM($D$3:D35)</f>
        <v>45332</v>
      </c>
      <c r="F35" s="133">
        <f t="shared" si="1"/>
        <v>7</v>
      </c>
    </row>
    <row r="36" spans="1:6" ht="19.5" hidden="1">
      <c r="A36" s="153">
        <f>SUBTOTAL(103,B$4:B36)</f>
        <v>7</v>
      </c>
      <c r="B36" s="171"/>
      <c r="C36" s="169"/>
      <c r="D36" s="178">
        <f t="shared" si="0"/>
        <v>0</v>
      </c>
      <c r="E36" s="169">
        <f>SUM($D$3:D36)</f>
        <v>45332</v>
      </c>
      <c r="F36" s="133">
        <f t="shared" si="1"/>
        <v>7</v>
      </c>
    </row>
    <row r="37" spans="1:6" ht="19.5" hidden="1">
      <c r="A37" s="153">
        <f>SUBTOTAL(103,B$4:B37)</f>
        <v>7</v>
      </c>
      <c r="B37" s="171"/>
      <c r="C37" s="169"/>
      <c r="D37" s="178">
        <f t="shared" si="0"/>
        <v>0</v>
      </c>
      <c r="E37" s="169">
        <f>SUM($D$3:D37)</f>
        <v>45332</v>
      </c>
      <c r="F37" s="133">
        <f t="shared" si="1"/>
        <v>7</v>
      </c>
    </row>
    <row r="38" spans="1:6" ht="19.5" hidden="1">
      <c r="A38" s="153">
        <f>SUBTOTAL(103,B$4:B38)</f>
        <v>7</v>
      </c>
      <c r="B38" s="171"/>
      <c r="C38" s="169"/>
      <c r="D38" s="178">
        <f t="shared" si="0"/>
        <v>0</v>
      </c>
      <c r="E38" s="169">
        <f>SUM($D$3:D38)</f>
        <v>45332</v>
      </c>
      <c r="F38" s="133">
        <f t="shared" si="1"/>
        <v>7</v>
      </c>
    </row>
    <row r="39" spans="1:6" ht="19.5" hidden="1">
      <c r="A39" s="153">
        <f>SUBTOTAL(103,B$4:B39)</f>
        <v>7</v>
      </c>
      <c r="B39" s="171"/>
      <c r="C39" s="169"/>
      <c r="D39" s="178">
        <f t="shared" si="0"/>
        <v>0</v>
      </c>
      <c r="E39" s="169">
        <f>SUM($D$3:D39)</f>
        <v>45332</v>
      </c>
      <c r="F39" s="133">
        <f t="shared" si="1"/>
        <v>7</v>
      </c>
    </row>
    <row r="40" spans="1:6" ht="19.5" hidden="1">
      <c r="A40" s="153">
        <f>SUBTOTAL(103,B$4:B40)</f>
        <v>7</v>
      </c>
      <c r="B40" s="171"/>
      <c r="C40" s="169"/>
      <c r="D40" s="178">
        <f t="shared" si="0"/>
        <v>0</v>
      </c>
      <c r="E40" s="169">
        <f>SUM($D$3:D40)</f>
        <v>45332</v>
      </c>
      <c r="F40" s="133">
        <f t="shared" si="1"/>
        <v>7</v>
      </c>
    </row>
    <row r="41" spans="1:6" ht="19.5" hidden="1">
      <c r="A41" s="153">
        <f>SUBTOTAL(103,B$4:B41)</f>
        <v>7</v>
      </c>
      <c r="B41" s="171"/>
      <c r="C41" s="169"/>
      <c r="D41" s="178">
        <f t="shared" si="0"/>
        <v>0</v>
      </c>
      <c r="E41" s="169">
        <f>SUM($D$3:D41)</f>
        <v>45332</v>
      </c>
      <c r="F41" s="133">
        <f t="shared" si="1"/>
        <v>7</v>
      </c>
    </row>
    <row r="42" spans="1:6" ht="19.5" hidden="1">
      <c r="A42" s="153">
        <f>SUBTOTAL(103,B$4:B42)</f>
        <v>7</v>
      </c>
      <c r="B42" s="171"/>
      <c r="C42" s="169"/>
      <c r="D42" s="178">
        <f t="shared" si="0"/>
        <v>0</v>
      </c>
      <c r="E42" s="169">
        <f>SUM($D$3:D42)</f>
        <v>45332</v>
      </c>
      <c r="F42" s="133">
        <f t="shared" si="1"/>
        <v>7</v>
      </c>
    </row>
    <row r="43" spans="1:6" ht="19.5" hidden="1">
      <c r="A43" s="153">
        <f>SUBTOTAL(103,B$4:B43)</f>
        <v>7</v>
      </c>
      <c r="B43" s="171"/>
      <c r="C43" s="169"/>
      <c r="D43" s="178">
        <f t="shared" si="0"/>
        <v>0</v>
      </c>
      <c r="E43" s="169">
        <f>SUM($D$3:D43)</f>
        <v>45332</v>
      </c>
      <c r="F43" s="133">
        <f t="shared" si="1"/>
        <v>7</v>
      </c>
    </row>
    <row r="44" spans="1:6" ht="19.5" hidden="1">
      <c r="A44" s="153">
        <f>SUBTOTAL(103,B$4:B44)</f>
        <v>7</v>
      </c>
      <c r="B44" s="171"/>
      <c r="C44" s="169"/>
      <c r="D44" s="178">
        <f t="shared" si="0"/>
        <v>0</v>
      </c>
      <c r="E44" s="169">
        <f>SUM($D$3:D44)</f>
        <v>45332</v>
      </c>
      <c r="F44" s="133">
        <f t="shared" si="1"/>
        <v>7</v>
      </c>
    </row>
    <row r="45" spans="1:6" ht="19.5" hidden="1">
      <c r="A45" s="153">
        <f>SUBTOTAL(103,B$4:B45)</f>
        <v>7</v>
      </c>
      <c r="B45" s="171"/>
      <c r="C45" s="169"/>
      <c r="D45" s="178">
        <f t="shared" si="0"/>
        <v>0</v>
      </c>
      <c r="E45" s="169">
        <f>SUM($D$3:D45)</f>
        <v>45332</v>
      </c>
      <c r="F45" s="133">
        <f t="shared" si="1"/>
        <v>7</v>
      </c>
    </row>
    <row r="46" spans="1:6" ht="19.5" hidden="1">
      <c r="A46" s="153">
        <f>SUBTOTAL(103,B$4:B46)</f>
        <v>7</v>
      </c>
      <c r="B46" s="171"/>
      <c r="C46" s="169"/>
      <c r="D46" s="178">
        <f t="shared" si="0"/>
        <v>0</v>
      </c>
      <c r="E46" s="169">
        <f>SUM($D$3:D46)</f>
        <v>45332</v>
      </c>
      <c r="F46" s="133">
        <f t="shared" si="1"/>
        <v>7</v>
      </c>
    </row>
    <row r="47" spans="1:6" ht="19.5" hidden="1">
      <c r="A47" s="153">
        <f>SUBTOTAL(103,B$4:B47)</f>
        <v>7</v>
      </c>
      <c r="B47" s="171"/>
      <c r="C47" s="169"/>
      <c r="D47" s="178">
        <f t="shared" si="0"/>
        <v>0</v>
      </c>
      <c r="E47" s="169">
        <f>SUM($D$3:D47)</f>
        <v>45332</v>
      </c>
      <c r="F47" s="133">
        <f t="shared" si="1"/>
        <v>7</v>
      </c>
    </row>
    <row r="48" spans="1:6" ht="19.5" hidden="1">
      <c r="A48" s="153">
        <f>SUBTOTAL(103,B$4:B48)</f>
        <v>7</v>
      </c>
      <c r="B48" s="171"/>
      <c r="C48" s="169"/>
      <c r="D48" s="178">
        <f t="shared" si="0"/>
        <v>0</v>
      </c>
      <c r="E48" s="169">
        <f>SUM($D$3:D48)</f>
        <v>45332</v>
      </c>
      <c r="F48" s="133">
        <f t="shared" si="1"/>
        <v>7</v>
      </c>
    </row>
    <row r="49" spans="1:6" ht="19.5" hidden="1">
      <c r="A49" s="153">
        <f>SUBTOTAL(103,B$4:B49)</f>
        <v>7</v>
      </c>
      <c r="B49" s="171"/>
      <c r="C49" s="169"/>
      <c r="D49" s="178">
        <f t="shared" si="0"/>
        <v>0</v>
      </c>
      <c r="E49" s="169">
        <f>SUM($D$3:D49)</f>
        <v>45332</v>
      </c>
      <c r="F49" s="133">
        <f t="shared" si="1"/>
        <v>7</v>
      </c>
    </row>
    <row r="50" spans="1:6" ht="19.5" hidden="1">
      <c r="A50" s="153">
        <f>SUBTOTAL(103,B$4:B50)</f>
        <v>7</v>
      </c>
      <c r="B50" s="171"/>
      <c r="C50" s="169"/>
      <c r="D50" s="178">
        <f t="shared" si="0"/>
        <v>0</v>
      </c>
      <c r="E50" s="169">
        <f>SUM($D$3:D50)</f>
        <v>45332</v>
      </c>
      <c r="F50" s="133">
        <f t="shared" si="1"/>
        <v>7</v>
      </c>
    </row>
    <row r="51" spans="1:6" ht="19.5">
      <c r="A51" s="144"/>
      <c r="B51" s="135" t="s">
        <v>233</v>
      </c>
      <c r="C51" s="136">
        <f>SUM(C4:C50)</f>
        <v>45332</v>
      </c>
      <c r="D51" s="179"/>
      <c r="E51" s="175"/>
    </row>
    <row r="52" spans="1:6" ht="19.5">
      <c r="A52" s="509" t="s">
        <v>517</v>
      </c>
      <c r="B52" s="509"/>
      <c r="C52" s="509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="115" zoomScaleNormal="11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1" t="s">
        <v>235</v>
      </c>
      <c r="B1" s="501"/>
      <c r="C1" s="501"/>
      <c r="F1" s="127">
        <f>P!H3</f>
        <v>45964</v>
      </c>
    </row>
    <row r="2" spans="1:7" ht="31.5" customHeight="1">
      <c r="A2" s="502" t="s">
        <v>486</v>
      </c>
      <c r="B2" s="503"/>
      <c r="C2" s="504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1</v>
      </c>
      <c r="B4" s="273" t="s">
        <v>474</v>
      </c>
      <c r="C4" s="169">
        <v>7178</v>
      </c>
      <c r="D4" s="130">
        <f>C4</f>
        <v>7178</v>
      </c>
      <c r="E4" s="143">
        <f>SUM($D$3:D4)</f>
        <v>7178</v>
      </c>
      <c r="F4" s="133">
        <f>A4</f>
        <v>1</v>
      </c>
    </row>
    <row r="5" spans="1:7">
      <c r="A5" s="153">
        <f>SUBTOTAL(103,B$4:B5)</f>
        <v>2</v>
      </c>
      <c r="B5" s="273" t="s">
        <v>477</v>
      </c>
      <c r="C5" s="169">
        <v>14640</v>
      </c>
      <c r="D5" s="130">
        <f>C5</f>
        <v>14640</v>
      </c>
      <c r="E5" s="143">
        <f>SUM($D$3:D5)</f>
        <v>21818</v>
      </c>
      <c r="F5" s="133">
        <f t="shared" ref="F5:F25" si="0">A5</f>
        <v>2</v>
      </c>
    </row>
    <row r="6" spans="1:7">
      <c r="A6" s="153">
        <f>SUBTOTAL(103,B$4:B6)</f>
        <v>3</v>
      </c>
      <c r="B6" s="273" t="s">
        <v>487</v>
      </c>
      <c r="C6" s="169">
        <v>5672</v>
      </c>
      <c r="D6" s="130">
        <f t="shared" ref="D6:D10" si="1">C6</f>
        <v>5672</v>
      </c>
      <c r="E6" s="143">
        <f>SUM($D$3:D6)</f>
        <v>27490</v>
      </c>
      <c r="F6" s="133">
        <f t="shared" si="0"/>
        <v>3</v>
      </c>
    </row>
    <row r="7" spans="1:7">
      <c r="A7" s="153">
        <f>SUBTOTAL(103,B$4:B7)</f>
        <v>4</v>
      </c>
      <c r="B7" s="273" t="s">
        <v>488</v>
      </c>
      <c r="C7" s="169">
        <v>680</v>
      </c>
      <c r="D7" s="130">
        <f t="shared" si="1"/>
        <v>680</v>
      </c>
      <c r="E7" s="143">
        <f>SUM($D$3:D7)</f>
        <v>28170</v>
      </c>
      <c r="F7" s="133">
        <f t="shared" si="0"/>
        <v>4</v>
      </c>
    </row>
    <row r="8" spans="1:7">
      <c r="A8" s="153">
        <f>SUBTOTAL(103,B$4:B8)</f>
        <v>5</v>
      </c>
      <c r="B8" s="273" t="s">
        <v>482</v>
      </c>
      <c r="C8" s="169">
        <v>2024</v>
      </c>
      <c r="D8" s="130">
        <f t="shared" si="1"/>
        <v>2024</v>
      </c>
      <c r="E8" s="143">
        <f>SUM($D$3:D8)</f>
        <v>30194</v>
      </c>
      <c r="F8" s="133">
        <f t="shared" si="0"/>
        <v>5</v>
      </c>
    </row>
    <row r="9" spans="1:7">
      <c r="A9" s="153">
        <f>SUBTOTAL(103,B$4:B9)</f>
        <v>6</v>
      </c>
      <c r="B9" s="273" t="s">
        <v>489</v>
      </c>
      <c r="C9" s="169">
        <v>2196</v>
      </c>
      <c r="D9" s="130">
        <f t="shared" si="1"/>
        <v>2196</v>
      </c>
      <c r="E9" s="143">
        <f>SUM($D$3:D9)</f>
        <v>32390</v>
      </c>
      <c r="F9" s="133">
        <f t="shared" si="0"/>
        <v>6</v>
      </c>
      <c r="G9" s="23">
        <v>180</v>
      </c>
    </row>
    <row r="10" spans="1:7">
      <c r="A10" s="153">
        <f>SUBTOTAL(103,B$4:B10)</f>
        <v>7</v>
      </c>
      <c r="B10" s="273" t="s">
        <v>480</v>
      </c>
      <c r="C10" s="169">
        <v>4200</v>
      </c>
      <c r="D10" s="130">
        <f t="shared" si="1"/>
        <v>4200</v>
      </c>
      <c r="E10" s="143">
        <f>SUM($D$3:D10)</f>
        <v>36590</v>
      </c>
      <c r="F10" s="133">
        <f t="shared" si="0"/>
        <v>7</v>
      </c>
      <c r="G10" s="23">
        <v>4284</v>
      </c>
    </row>
    <row r="11" spans="1:7" hidden="1">
      <c r="A11" s="153">
        <f>SUBTOTAL(103,B$4:B11)</f>
        <v>7</v>
      </c>
      <c r="B11" s="273"/>
      <c r="C11" s="169"/>
      <c r="D11" s="130">
        <f t="shared" ref="D11:D50" si="2">C11</f>
        <v>0</v>
      </c>
      <c r="E11" s="143">
        <f>SUM($D$3:D11)</f>
        <v>36590</v>
      </c>
      <c r="F11" s="133">
        <f t="shared" si="0"/>
        <v>7</v>
      </c>
      <c r="G11" s="23">
        <v>62000</v>
      </c>
    </row>
    <row r="12" spans="1:7" hidden="1">
      <c r="A12" s="153">
        <f>SUBTOTAL(103,B$4:B12)</f>
        <v>7</v>
      </c>
      <c r="B12" s="273"/>
      <c r="C12" s="169"/>
      <c r="D12" s="130">
        <f t="shared" si="2"/>
        <v>0</v>
      </c>
      <c r="E12" s="143">
        <f>SUM($D$3:D12)</f>
        <v>36590</v>
      </c>
      <c r="F12" s="133">
        <f t="shared" si="0"/>
        <v>7</v>
      </c>
      <c r="G12" s="23">
        <v>747</v>
      </c>
    </row>
    <row r="13" spans="1:7" hidden="1">
      <c r="A13" s="153">
        <f>SUBTOTAL(103,B$4:B13)</f>
        <v>7</v>
      </c>
      <c r="B13" s="170"/>
      <c r="C13" s="136"/>
      <c r="D13" s="130">
        <f t="shared" si="2"/>
        <v>0</v>
      </c>
      <c r="E13" s="143">
        <f>SUM($D$3:D13)</f>
        <v>36590</v>
      </c>
      <c r="F13" s="133">
        <f t="shared" si="0"/>
        <v>7</v>
      </c>
      <c r="G13" s="23">
        <v>0</v>
      </c>
    </row>
    <row r="14" spans="1:7" hidden="1">
      <c r="A14" s="153">
        <f>SUBTOTAL(103,B$4:B14)</f>
        <v>7</v>
      </c>
      <c r="B14" s="126"/>
      <c r="C14" s="169"/>
      <c r="D14" s="130">
        <f t="shared" si="2"/>
        <v>0</v>
      </c>
      <c r="E14" s="143">
        <f>SUM($D$3:D14)</f>
        <v>36590</v>
      </c>
      <c r="F14" s="133">
        <f t="shared" si="0"/>
        <v>7</v>
      </c>
    </row>
    <row r="15" spans="1:7" hidden="1">
      <c r="A15" s="153">
        <f>SUBTOTAL(103,B$4:B15)</f>
        <v>7</v>
      </c>
      <c r="B15" s="126"/>
      <c r="C15" s="169"/>
      <c r="D15" s="130">
        <f t="shared" si="2"/>
        <v>0</v>
      </c>
      <c r="E15" s="143">
        <f>SUM($D$3:D15)</f>
        <v>36590</v>
      </c>
      <c r="F15" s="133">
        <f t="shared" si="0"/>
        <v>7</v>
      </c>
    </row>
    <row r="16" spans="1:7" hidden="1">
      <c r="A16" s="153">
        <f>SUBTOTAL(103,B$4:B16)</f>
        <v>7</v>
      </c>
      <c r="B16" s="126"/>
      <c r="C16" s="169"/>
      <c r="D16" s="130">
        <f t="shared" si="2"/>
        <v>0</v>
      </c>
      <c r="E16" s="143">
        <f>SUM($D$3:D16)</f>
        <v>36590</v>
      </c>
      <c r="F16" s="133">
        <f t="shared" si="0"/>
        <v>7</v>
      </c>
    </row>
    <row r="17" spans="1:6" hidden="1">
      <c r="A17" s="153">
        <f>SUBTOTAL(103,B$4:B17)</f>
        <v>7</v>
      </c>
      <c r="B17" s="126"/>
      <c r="C17" s="169"/>
      <c r="D17" s="130">
        <f t="shared" si="2"/>
        <v>0</v>
      </c>
      <c r="E17" s="143">
        <f>SUM($D$3:D17)</f>
        <v>36590</v>
      </c>
      <c r="F17" s="133">
        <f t="shared" si="0"/>
        <v>7</v>
      </c>
    </row>
    <row r="18" spans="1:6" hidden="1">
      <c r="A18" s="153">
        <f>SUBTOTAL(103,B$4:B18)</f>
        <v>7</v>
      </c>
      <c r="B18" s="170"/>
      <c r="C18" s="136"/>
      <c r="D18" s="130">
        <f t="shared" si="2"/>
        <v>0</v>
      </c>
      <c r="E18" s="143">
        <f>SUM($D$3:D18)</f>
        <v>36590</v>
      </c>
      <c r="F18" s="133">
        <f t="shared" si="0"/>
        <v>7</v>
      </c>
    </row>
    <row r="19" spans="1:6" hidden="1">
      <c r="A19" s="153">
        <f>SUBTOTAL(103,B$4:B19)</f>
        <v>7</v>
      </c>
      <c r="B19" s="126"/>
      <c r="C19" s="169"/>
      <c r="D19" s="130">
        <f t="shared" si="2"/>
        <v>0</v>
      </c>
      <c r="E19" s="143">
        <f>SUM($D$3:D19)</f>
        <v>36590</v>
      </c>
      <c r="F19" s="133">
        <f t="shared" si="0"/>
        <v>7</v>
      </c>
    </row>
    <row r="20" spans="1:6" hidden="1">
      <c r="A20" s="153">
        <f>SUBTOTAL(103,B$4:B20)</f>
        <v>7</v>
      </c>
      <c r="B20" s="126"/>
      <c r="C20" s="169"/>
      <c r="D20" s="130">
        <f t="shared" si="2"/>
        <v>0</v>
      </c>
      <c r="E20" s="143">
        <f>SUM($D$3:D20)</f>
        <v>36590</v>
      </c>
      <c r="F20" s="133">
        <f t="shared" si="0"/>
        <v>7</v>
      </c>
    </row>
    <row r="21" spans="1:6" hidden="1">
      <c r="A21" s="153">
        <f>SUBTOTAL(103,B$4:B21)</f>
        <v>7</v>
      </c>
      <c r="B21" s="126"/>
      <c r="C21" s="169"/>
      <c r="D21" s="130">
        <f t="shared" si="2"/>
        <v>0</v>
      </c>
      <c r="E21" s="143">
        <f>SUM($D$3:D21)</f>
        <v>36590</v>
      </c>
      <c r="F21" s="133">
        <f t="shared" si="0"/>
        <v>7</v>
      </c>
    </row>
    <row r="22" spans="1:6" hidden="1">
      <c r="A22" s="153">
        <f>SUBTOTAL(103,B$4:B22)</f>
        <v>7</v>
      </c>
      <c r="B22" s="126"/>
      <c r="C22" s="169"/>
      <c r="D22" s="130">
        <f t="shared" si="2"/>
        <v>0</v>
      </c>
      <c r="E22" s="143">
        <f>SUM($D$3:D22)</f>
        <v>36590</v>
      </c>
      <c r="F22" s="133">
        <f t="shared" si="0"/>
        <v>7</v>
      </c>
    </row>
    <row r="23" spans="1:6" hidden="1">
      <c r="A23" s="153">
        <f>SUBTOTAL(103,B$4:B23)</f>
        <v>7</v>
      </c>
      <c r="B23" s="126"/>
      <c r="C23" s="169"/>
      <c r="D23" s="130">
        <f t="shared" si="2"/>
        <v>0</v>
      </c>
      <c r="E23" s="143">
        <f>SUM($D$3:D23)</f>
        <v>36590</v>
      </c>
      <c r="F23" s="133">
        <f t="shared" si="0"/>
        <v>7</v>
      </c>
    </row>
    <row r="24" spans="1:6" hidden="1">
      <c r="A24" s="153">
        <f>SUBTOTAL(103,B$4:B24)</f>
        <v>7</v>
      </c>
      <c r="B24" s="126"/>
      <c r="C24" s="169"/>
      <c r="D24" s="130">
        <f t="shared" si="2"/>
        <v>0</v>
      </c>
      <c r="E24" s="143">
        <f>SUM($D$3:D24)</f>
        <v>36590</v>
      </c>
      <c r="F24" s="133">
        <f t="shared" si="0"/>
        <v>7</v>
      </c>
    </row>
    <row r="25" spans="1:6" hidden="1">
      <c r="A25" s="153">
        <f>SUBTOTAL(103,B$4:B25)</f>
        <v>7</v>
      </c>
      <c r="B25" s="126"/>
      <c r="C25" s="169"/>
      <c r="D25" s="130">
        <f t="shared" si="2"/>
        <v>0</v>
      </c>
      <c r="E25" s="143">
        <f>SUM($D$3:D25)</f>
        <v>36590</v>
      </c>
      <c r="F25" s="133">
        <f t="shared" si="0"/>
        <v>7</v>
      </c>
    </row>
    <row r="26" spans="1:6" hidden="1">
      <c r="A26" s="153">
        <f>SUBTOTAL(103,B$4:B26)</f>
        <v>7</v>
      </c>
      <c r="B26" s="356"/>
      <c r="C26" s="169"/>
      <c r="D26" s="130">
        <f t="shared" si="2"/>
        <v>0</v>
      </c>
      <c r="E26" s="143">
        <f>SUM($D$3:D26)</f>
        <v>36590</v>
      </c>
      <c r="F26" s="133">
        <f>A26</f>
        <v>7</v>
      </c>
    </row>
    <row r="27" spans="1:6" hidden="1">
      <c r="A27" s="153">
        <f>SUBTOTAL(103,B$4:B27)</f>
        <v>7</v>
      </c>
      <c r="B27" s="363"/>
      <c r="C27" s="169"/>
      <c r="D27" s="130">
        <f t="shared" si="2"/>
        <v>0</v>
      </c>
      <c r="E27" s="143">
        <f>SUM($D$3:D27)</f>
        <v>36590</v>
      </c>
      <c r="F27" s="133">
        <f>A27</f>
        <v>7</v>
      </c>
    </row>
    <row r="28" spans="1:6" hidden="1">
      <c r="A28" s="153">
        <f>SUBTOTAL(103,B$4:B28)</f>
        <v>7</v>
      </c>
      <c r="B28" s="364"/>
      <c r="C28" s="169"/>
      <c r="D28" s="130">
        <f t="shared" si="2"/>
        <v>0</v>
      </c>
      <c r="E28" s="143">
        <f>SUM($D$3:D28)</f>
        <v>36590</v>
      </c>
      <c r="F28" s="133">
        <f t="shared" ref="F28:F49" si="3">A28</f>
        <v>7</v>
      </c>
    </row>
    <row r="29" spans="1:6" hidden="1">
      <c r="A29" s="153">
        <f>SUBTOTAL(103,B$4:B29)</f>
        <v>7</v>
      </c>
      <c r="B29" s="364"/>
      <c r="C29" s="169"/>
      <c r="D29" s="130">
        <f t="shared" si="2"/>
        <v>0</v>
      </c>
      <c r="E29" s="143">
        <f>SUM($D$3:D29)</f>
        <v>36590</v>
      </c>
      <c r="F29" s="133">
        <f t="shared" si="3"/>
        <v>7</v>
      </c>
    </row>
    <row r="30" spans="1:6" hidden="1">
      <c r="A30" s="153">
        <f>SUBTOTAL(103,B$4:B30)</f>
        <v>7</v>
      </c>
      <c r="B30" s="364"/>
      <c r="C30" s="169"/>
      <c r="D30" s="130">
        <f t="shared" si="2"/>
        <v>0</v>
      </c>
      <c r="E30" s="143">
        <f>SUM($D$3:D30)</f>
        <v>36590</v>
      </c>
      <c r="F30" s="133">
        <f t="shared" si="3"/>
        <v>7</v>
      </c>
    </row>
    <row r="31" spans="1:6" hidden="1">
      <c r="A31" s="153">
        <f>SUBTOTAL(103,B$4:B31)</f>
        <v>7</v>
      </c>
      <c r="B31" s="364"/>
      <c r="C31" s="169"/>
      <c r="D31" s="130">
        <f t="shared" si="2"/>
        <v>0</v>
      </c>
      <c r="E31" s="143">
        <f>SUM($D$3:D31)</f>
        <v>36590</v>
      </c>
      <c r="F31" s="133">
        <f t="shared" si="3"/>
        <v>7</v>
      </c>
    </row>
    <row r="32" spans="1:6" hidden="1">
      <c r="A32" s="153">
        <f>SUBTOTAL(103,B$4:B32)</f>
        <v>7</v>
      </c>
      <c r="B32" s="364"/>
      <c r="C32" s="169"/>
      <c r="D32" s="130">
        <f t="shared" si="2"/>
        <v>0</v>
      </c>
      <c r="E32" s="143">
        <f>SUM($D$3:D32)</f>
        <v>36590</v>
      </c>
      <c r="F32" s="133">
        <f t="shared" si="3"/>
        <v>7</v>
      </c>
    </row>
    <row r="33" spans="1:6" hidden="1">
      <c r="A33" s="153">
        <f>SUBTOTAL(103,B$4:B33)</f>
        <v>7</v>
      </c>
      <c r="B33" s="364"/>
      <c r="C33" s="169"/>
      <c r="D33" s="130">
        <f t="shared" si="2"/>
        <v>0</v>
      </c>
      <c r="E33" s="143">
        <f>SUM($D$3:D33)</f>
        <v>36590</v>
      </c>
      <c r="F33" s="133">
        <f t="shared" si="3"/>
        <v>7</v>
      </c>
    </row>
    <row r="34" spans="1:6" hidden="1">
      <c r="A34" s="153">
        <f>SUBTOTAL(103,B$4:B34)</f>
        <v>7</v>
      </c>
      <c r="B34" s="364"/>
      <c r="C34" s="169"/>
      <c r="D34" s="130">
        <f t="shared" si="2"/>
        <v>0</v>
      </c>
      <c r="E34" s="143">
        <f>SUM($D$3:D34)</f>
        <v>36590</v>
      </c>
      <c r="F34" s="133">
        <f t="shared" si="3"/>
        <v>7</v>
      </c>
    </row>
    <row r="35" spans="1:6" hidden="1">
      <c r="A35" s="153">
        <f>SUBTOTAL(103,B$4:B35)</f>
        <v>7</v>
      </c>
      <c r="B35" s="364"/>
      <c r="C35" s="169"/>
      <c r="D35" s="130">
        <f t="shared" si="2"/>
        <v>0</v>
      </c>
      <c r="E35" s="143">
        <f>SUM($D$3:D35)</f>
        <v>36590</v>
      </c>
      <c r="F35" s="133">
        <f t="shared" si="3"/>
        <v>7</v>
      </c>
    </row>
    <row r="36" spans="1:6" hidden="1">
      <c r="A36" s="153">
        <f>SUBTOTAL(103,B$4:B36)</f>
        <v>7</v>
      </c>
      <c r="B36" s="364"/>
      <c r="C36" s="169"/>
      <c r="D36" s="130">
        <f t="shared" si="2"/>
        <v>0</v>
      </c>
      <c r="E36" s="143">
        <f>SUM($D$3:D36)</f>
        <v>36590</v>
      </c>
      <c r="F36" s="133">
        <f t="shared" si="3"/>
        <v>7</v>
      </c>
    </row>
    <row r="37" spans="1:6" hidden="1">
      <c r="A37" s="153">
        <f>SUBTOTAL(103,B$4:B37)</f>
        <v>7</v>
      </c>
      <c r="B37" s="364"/>
      <c r="C37" s="169"/>
      <c r="D37" s="130">
        <f t="shared" si="2"/>
        <v>0</v>
      </c>
      <c r="E37" s="143">
        <f>SUM($D$3:D37)</f>
        <v>36590</v>
      </c>
      <c r="F37" s="133">
        <f t="shared" si="3"/>
        <v>7</v>
      </c>
    </row>
    <row r="38" spans="1:6" hidden="1">
      <c r="A38" s="153">
        <f>SUBTOTAL(103,B$4:B38)</f>
        <v>7</v>
      </c>
      <c r="B38" s="364"/>
      <c r="C38" s="169"/>
      <c r="D38" s="130">
        <f t="shared" si="2"/>
        <v>0</v>
      </c>
      <c r="E38" s="143">
        <f>SUM($D$3:D38)</f>
        <v>36590</v>
      </c>
      <c r="F38" s="133">
        <f t="shared" si="3"/>
        <v>7</v>
      </c>
    </row>
    <row r="39" spans="1:6" hidden="1">
      <c r="A39" s="153">
        <f>SUBTOTAL(103,B$4:B39)</f>
        <v>7</v>
      </c>
      <c r="B39" s="364"/>
      <c r="C39" s="169"/>
      <c r="D39" s="130">
        <f t="shared" si="2"/>
        <v>0</v>
      </c>
      <c r="E39" s="143">
        <f>SUM($D$3:D39)</f>
        <v>36590</v>
      </c>
      <c r="F39" s="133">
        <f t="shared" si="3"/>
        <v>7</v>
      </c>
    </row>
    <row r="40" spans="1:6" hidden="1">
      <c r="A40" s="153">
        <f>SUBTOTAL(103,B$4:B40)</f>
        <v>7</v>
      </c>
      <c r="B40" s="364"/>
      <c r="C40" s="169"/>
      <c r="D40" s="130">
        <f t="shared" si="2"/>
        <v>0</v>
      </c>
      <c r="E40" s="143">
        <f>SUM($D$3:D40)</f>
        <v>36590</v>
      </c>
      <c r="F40" s="133">
        <f t="shared" si="3"/>
        <v>7</v>
      </c>
    </row>
    <row r="41" spans="1:6" hidden="1">
      <c r="A41" s="153">
        <f>SUBTOTAL(103,B$4:B41)</f>
        <v>7</v>
      </c>
      <c r="B41" s="364"/>
      <c r="C41" s="169"/>
      <c r="D41" s="130">
        <f t="shared" si="2"/>
        <v>0</v>
      </c>
      <c r="E41" s="143">
        <f>SUM($D$3:D41)</f>
        <v>36590</v>
      </c>
      <c r="F41" s="133">
        <f t="shared" si="3"/>
        <v>7</v>
      </c>
    </row>
    <row r="42" spans="1:6" hidden="1">
      <c r="A42" s="153">
        <f>SUBTOTAL(103,B$4:B42)</f>
        <v>7</v>
      </c>
      <c r="B42" s="364"/>
      <c r="C42" s="169"/>
      <c r="D42" s="130">
        <f t="shared" si="2"/>
        <v>0</v>
      </c>
      <c r="E42" s="143">
        <f>SUM($D$3:D42)</f>
        <v>36590</v>
      </c>
      <c r="F42" s="133">
        <f t="shared" si="3"/>
        <v>7</v>
      </c>
    </row>
    <row r="43" spans="1:6" hidden="1">
      <c r="A43" s="153">
        <f>SUBTOTAL(103,B$4:B43)</f>
        <v>7</v>
      </c>
      <c r="B43" s="364"/>
      <c r="C43" s="169"/>
      <c r="D43" s="130">
        <f t="shared" si="2"/>
        <v>0</v>
      </c>
      <c r="E43" s="143">
        <f>SUM($D$3:D43)</f>
        <v>36590</v>
      </c>
      <c r="F43" s="133">
        <f t="shared" si="3"/>
        <v>7</v>
      </c>
    </row>
    <row r="44" spans="1:6" hidden="1">
      <c r="A44" s="153">
        <f>SUBTOTAL(103,B$4:B44)</f>
        <v>7</v>
      </c>
      <c r="B44" s="364"/>
      <c r="C44" s="169"/>
      <c r="D44" s="130">
        <f t="shared" si="2"/>
        <v>0</v>
      </c>
      <c r="E44" s="143">
        <f>SUM($D$3:D44)</f>
        <v>36590</v>
      </c>
      <c r="F44" s="133">
        <f t="shared" si="3"/>
        <v>7</v>
      </c>
    </row>
    <row r="45" spans="1:6" hidden="1">
      <c r="A45" s="153">
        <f>SUBTOTAL(103,B$4:B45)</f>
        <v>7</v>
      </c>
      <c r="B45" s="364"/>
      <c r="C45" s="169"/>
      <c r="D45" s="130">
        <f t="shared" si="2"/>
        <v>0</v>
      </c>
      <c r="E45" s="143">
        <f>SUM($D$3:D45)</f>
        <v>36590</v>
      </c>
      <c r="F45" s="133">
        <f t="shared" si="3"/>
        <v>7</v>
      </c>
    </row>
    <row r="46" spans="1:6" hidden="1">
      <c r="A46" s="153">
        <f>SUBTOTAL(103,B$4:B46)</f>
        <v>7</v>
      </c>
      <c r="B46" s="364"/>
      <c r="C46" s="169"/>
      <c r="D46" s="130">
        <f t="shared" si="2"/>
        <v>0</v>
      </c>
      <c r="E46" s="143">
        <f>SUM($D$3:D46)</f>
        <v>36590</v>
      </c>
      <c r="F46" s="133">
        <f t="shared" si="3"/>
        <v>7</v>
      </c>
    </row>
    <row r="47" spans="1:6" hidden="1">
      <c r="A47" s="153">
        <f>SUBTOTAL(103,B$4:B47)</f>
        <v>7</v>
      </c>
      <c r="B47" s="364"/>
      <c r="C47" s="169"/>
      <c r="D47" s="130">
        <f t="shared" si="2"/>
        <v>0</v>
      </c>
      <c r="E47" s="143">
        <f>SUM($D$3:D47)</f>
        <v>36590</v>
      </c>
      <c r="F47" s="133">
        <f t="shared" si="3"/>
        <v>7</v>
      </c>
    </row>
    <row r="48" spans="1:6" hidden="1">
      <c r="A48" s="153">
        <f>SUBTOTAL(103,B$4:B48)</f>
        <v>7</v>
      </c>
      <c r="B48" s="364"/>
      <c r="C48" s="169"/>
      <c r="D48" s="130">
        <f t="shared" si="2"/>
        <v>0</v>
      </c>
      <c r="E48" s="143">
        <f>SUM($D$3:D48)</f>
        <v>36590</v>
      </c>
      <c r="F48" s="133">
        <f t="shared" si="3"/>
        <v>7</v>
      </c>
    </row>
    <row r="49" spans="1:6" hidden="1">
      <c r="A49" s="153">
        <f>SUBTOTAL(103,B$4:B49)</f>
        <v>7</v>
      </c>
      <c r="B49" s="364"/>
      <c r="C49" s="169"/>
      <c r="D49" s="130">
        <f t="shared" si="2"/>
        <v>0</v>
      </c>
      <c r="E49" s="143">
        <f>SUM($D$3:D49)</f>
        <v>36590</v>
      </c>
      <c r="F49" s="133">
        <f t="shared" si="3"/>
        <v>7</v>
      </c>
    </row>
    <row r="50" spans="1:6" hidden="1">
      <c r="A50" s="153">
        <f>SUBTOTAL(103,B$4:B50)</f>
        <v>7</v>
      </c>
      <c r="B50" s="126"/>
      <c r="C50" s="169"/>
      <c r="D50" s="130">
        <f t="shared" si="2"/>
        <v>0</v>
      </c>
      <c r="E50" s="143">
        <f>SUM($D$3:D50)</f>
        <v>36590</v>
      </c>
      <c r="F50" s="133">
        <f>A50</f>
        <v>7</v>
      </c>
    </row>
    <row r="51" spans="1:6">
      <c r="A51" s="144"/>
      <c r="B51" s="135" t="s">
        <v>233</v>
      </c>
      <c r="C51" s="136">
        <f>SUM(C4:C50)</f>
        <v>36590</v>
      </c>
    </row>
    <row r="52" spans="1:6">
      <c r="A52" s="505" t="s">
        <v>518</v>
      </c>
      <c r="B52" s="506"/>
      <c r="C52" s="507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52" sqref="A52:C52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6" t="s">
        <v>235</v>
      </c>
      <c r="B1" s="436"/>
      <c r="C1" s="436"/>
      <c r="F1" s="127">
        <f>P!J3</f>
        <v>45965</v>
      </c>
    </row>
    <row r="2" spans="1:6" ht="33" customHeight="1">
      <c r="A2" s="508" t="s">
        <v>491</v>
      </c>
      <c r="B2" s="508"/>
      <c r="C2" s="508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1</v>
      </c>
      <c r="B4" s="126" t="s">
        <v>474</v>
      </c>
      <c r="C4" s="169">
        <v>22611</v>
      </c>
      <c r="D4" s="130">
        <f>C4</f>
        <v>22611</v>
      </c>
      <c r="E4" s="150">
        <f>SUM($D$3:D4)</f>
        <v>22611</v>
      </c>
      <c r="F4" s="151">
        <f>A4</f>
        <v>1</v>
      </c>
    </row>
    <row r="5" spans="1:6" ht="19.5">
      <c r="A5" s="153">
        <f>SUBTOTAL(103,B$4:B5)</f>
        <v>2</v>
      </c>
      <c r="B5" s="126" t="s">
        <v>477</v>
      </c>
      <c r="C5" s="169">
        <v>10305</v>
      </c>
      <c r="D5" s="130">
        <f t="shared" ref="D5:D50" si="0">C5</f>
        <v>10305</v>
      </c>
      <c r="E5" s="150">
        <f>SUM($D$3:D5)</f>
        <v>32916</v>
      </c>
      <c r="F5" s="151">
        <f t="shared" ref="F5:F49" si="1">A5</f>
        <v>2</v>
      </c>
    </row>
    <row r="6" spans="1:6" ht="19.5">
      <c r="A6" s="153">
        <f>SUBTOTAL(103,B$4:B6)</f>
        <v>3</v>
      </c>
      <c r="B6" s="126" t="s">
        <v>490</v>
      </c>
      <c r="C6" s="169">
        <v>700</v>
      </c>
      <c r="D6" s="130">
        <f t="shared" si="0"/>
        <v>700</v>
      </c>
      <c r="E6" s="150">
        <f>SUM($D$3:D6)</f>
        <v>33616</v>
      </c>
      <c r="F6" s="151">
        <f t="shared" si="1"/>
        <v>3</v>
      </c>
    </row>
    <row r="7" spans="1:6" ht="19.5">
      <c r="A7" s="153">
        <f>SUBTOTAL(103,B$4:B7)</f>
        <v>4</v>
      </c>
      <c r="B7" s="356" t="s">
        <v>476</v>
      </c>
      <c r="C7" s="169">
        <v>6129</v>
      </c>
      <c r="D7" s="130">
        <f t="shared" si="0"/>
        <v>6129</v>
      </c>
      <c r="E7" s="150">
        <f>SUM($D$3:D7)</f>
        <v>39745</v>
      </c>
      <c r="F7" s="151">
        <f t="shared" si="1"/>
        <v>4</v>
      </c>
    </row>
    <row r="8" spans="1:6" ht="19.5">
      <c r="A8" s="153">
        <f>SUBTOTAL(103,B$4:B8)</f>
        <v>5</v>
      </c>
      <c r="B8" s="126" t="s">
        <v>489</v>
      </c>
      <c r="C8" s="169">
        <v>2250</v>
      </c>
      <c r="D8" s="130">
        <f>C8</f>
        <v>2250</v>
      </c>
      <c r="E8" s="150">
        <f>SUM($D$3:D8)</f>
        <v>41995</v>
      </c>
      <c r="F8" s="151">
        <f t="shared" si="1"/>
        <v>5</v>
      </c>
    </row>
    <row r="9" spans="1:6" ht="19.5">
      <c r="A9" s="153">
        <f>SUBTOTAL(103,B$4:B9)</f>
        <v>6</v>
      </c>
      <c r="B9" s="126" t="s">
        <v>482</v>
      </c>
      <c r="C9" s="169">
        <v>1781</v>
      </c>
      <c r="D9" s="130">
        <f t="shared" si="0"/>
        <v>1781</v>
      </c>
      <c r="E9" s="150">
        <f>SUM($D$3:D9)</f>
        <v>43776</v>
      </c>
      <c r="F9" s="151">
        <f t="shared" si="1"/>
        <v>6</v>
      </c>
    </row>
    <row r="10" spans="1:6" ht="19.5">
      <c r="A10" s="153">
        <f>SUBTOTAL(103,B$4:B10)</f>
        <v>7</v>
      </c>
      <c r="B10" s="126" t="s">
        <v>478</v>
      </c>
      <c r="C10" s="169">
        <v>2016</v>
      </c>
      <c r="D10" s="130">
        <f t="shared" si="0"/>
        <v>2016</v>
      </c>
      <c r="E10" s="150">
        <f>SUM($D$3:D10)</f>
        <v>45792</v>
      </c>
      <c r="F10" s="151">
        <f t="shared" si="1"/>
        <v>7</v>
      </c>
    </row>
    <row r="11" spans="1:6" ht="19.5">
      <c r="A11" s="153">
        <f>SUBTOTAL(103,B$4:B11)</f>
        <v>8</v>
      </c>
      <c r="B11" s="126" t="s">
        <v>480</v>
      </c>
      <c r="C11" s="169">
        <v>5400</v>
      </c>
      <c r="D11" s="130">
        <f t="shared" si="0"/>
        <v>5400</v>
      </c>
      <c r="E11" s="150">
        <f>SUM($D$3:D11)</f>
        <v>51192</v>
      </c>
      <c r="F11" s="151">
        <f t="shared" si="1"/>
        <v>8</v>
      </c>
    </row>
    <row r="12" spans="1:6" ht="19.5" hidden="1">
      <c r="A12" s="153">
        <f>SUBTOTAL(103,B$4:B12)</f>
        <v>8</v>
      </c>
      <c r="B12" s="126"/>
      <c r="C12" s="169"/>
      <c r="D12" s="130">
        <f t="shared" si="0"/>
        <v>0</v>
      </c>
      <c r="E12" s="150">
        <f>SUM($D$3:D12)</f>
        <v>51192</v>
      </c>
      <c r="F12" s="151">
        <f t="shared" si="1"/>
        <v>8</v>
      </c>
    </row>
    <row r="13" spans="1:6" ht="19.5" hidden="1">
      <c r="A13" s="153">
        <f>SUBTOTAL(103,B$4:B13)</f>
        <v>8</v>
      </c>
      <c r="B13" s="126"/>
      <c r="C13" s="169"/>
      <c r="D13" s="130">
        <f t="shared" si="0"/>
        <v>0</v>
      </c>
      <c r="E13" s="150">
        <f>SUM($D$3:D13)</f>
        <v>51192</v>
      </c>
      <c r="F13" s="151">
        <f t="shared" si="1"/>
        <v>8</v>
      </c>
    </row>
    <row r="14" spans="1:6" ht="19.5" hidden="1">
      <c r="A14" s="153">
        <f>SUBTOTAL(103,B$4:B14)</f>
        <v>8</v>
      </c>
      <c r="B14" s="126"/>
      <c r="C14" s="169"/>
      <c r="D14" s="130">
        <f t="shared" si="0"/>
        <v>0</v>
      </c>
      <c r="E14" s="150">
        <f>SUM($D$3:D14)</f>
        <v>51192</v>
      </c>
      <c r="F14" s="151">
        <f t="shared" si="1"/>
        <v>8</v>
      </c>
    </row>
    <row r="15" spans="1:6" ht="19.5" hidden="1">
      <c r="A15" s="153">
        <f>SUBTOTAL(103,B$4:B15)</f>
        <v>8</v>
      </c>
      <c r="B15" s="126"/>
      <c r="C15" s="169"/>
      <c r="D15" s="130">
        <f t="shared" si="0"/>
        <v>0</v>
      </c>
      <c r="E15" s="150">
        <f>SUM($D$3:D15)</f>
        <v>51192</v>
      </c>
      <c r="F15" s="151">
        <f t="shared" si="1"/>
        <v>8</v>
      </c>
    </row>
    <row r="16" spans="1:6" ht="19.5" hidden="1">
      <c r="A16" s="153">
        <f>SUBTOTAL(103,B$4:B16)</f>
        <v>8</v>
      </c>
      <c r="B16" s="126"/>
      <c r="C16" s="169"/>
      <c r="D16" s="130">
        <f t="shared" si="0"/>
        <v>0</v>
      </c>
      <c r="E16" s="150">
        <f>SUM($D$3:D16)</f>
        <v>51192</v>
      </c>
      <c r="F16" s="151">
        <f t="shared" si="1"/>
        <v>8</v>
      </c>
    </row>
    <row r="17" spans="1:6" ht="19.5" hidden="1">
      <c r="A17" s="153">
        <f>SUBTOTAL(103,B$4:B17)</f>
        <v>8</v>
      </c>
      <c r="B17" s="126"/>
      <c r="C17" s="169"/>
      <c r="D17" s="130">
        <f t="shared" si="0"/>
        <v>0</v>
      </c>
      <c r="E17" s="150">
        <f>SUM($D$3:D17)</f>
        <v>51192</v>
      </c>
      <c r="F17" s="151">
        <f t="shared" si="1"/>
        <v>8</v>
      </c>
    </row>
    <row r="18" spans="1:6" ht="19.5" hidden="1">
      <c r="A18" s="153">
        <f>SUBTOTAL(103,B$4:B18)</f>
        <v>8</v>
      </c>
      <c r="B18" s="126"/>
      <c r="C18" s="169"/>
      <c r="D18" s="130">
        <f t="shared" si="0"/>
        <v>0</v>
      </c>
      <c r="E18" s="150">
        <f>SUM($D$3:D18)</f>
        <v>51192</v>
      </c>
      <c r="F18" s="151">
        <f t="shared" si="1"/>
        <v>8</v>
      </c>
    </row>
    <row r="19" spans="1:6" ht="19.5" hidden="1">
      <c r="A19" s="153">
        <f>SUBTOTAL(103,B$4:B19)</f>
        <v>8</v>
      </c>
      <c r="B19" s="126"/>
      <c r="C19" s="169"/>
      <c r="D19" s="130">
        <f t="shared" si="0"/>
        <v>0</v>
      </c>
      <c r="E19" s="150">
        <f>SUM($D$3:D19)</f>
        <v>51192</v>
      </c>
      <c r="F19" s="151">
        <f t="shared" si="1"/>
        <v>8</v>
      </c>
    </row>
    <row r="20" spans="1:6" ht="19.5" hidden="1">
      <c r="A20" s="153">
        <f>SUBTOTAL(103,B$4:B20)</f>
        <v>8</v>
      </c>
      <c r="B20" s="126"/>
      <c r="C20" s="169"/>
      <c r="D20" s="130">
        <f t="shared" si="0"/>
        <v>0</v>
      </c>
      <c r="E20" s="150">
        <f>SUM($D$3:D20)</f>
        <v>51192</v>
      </c>
      <c r="F20" s="151">
        <f t="shared" si="1"/>
        <v>8</v>
      </c>
    </row>
    <row r="21" spans="1:6" ht="19.5" hidden="1">
      <c r="A21" s="153">
        <f>SUBTOTAL(103,B$4:B21)</f>
        <v>8</v>
      </c>
      <c r="B21" s="126"/>
      <c r="C21" s="169"/>
      <c r="D21" s="130">
        <f t="shared" si="0"/>
        <v>0</v>
      </c>
      <c r="E21" s="150">
        <f>SUM($D$3:D21)</f>
        <v>51192</v>
      </c>
      <c r="F21" s="151">
        <f t="shared" si="1"/>
        <v>8</v>
      </c>
    </row>
    <row r="22" spans="1:6" ht="19.5" hidden="1">
      <c r="A22" s="153">
        <f>SUBTOTAL(103,B$4:B22)</f>
        <v>8</v>
      </c>
      <c r="B22" s="170"/>
      <c r="C22" s="169"/>
      <c r="D22" s="130">
        <f t="shared" si="0"/>
        <v>0</v>
      </c>
      <c r="E22" s="150">
        <f>SUM($D$3:D22)</f>
        <v>51192</v>
      </c>
      <c r="F22" s="151">
        <f t="shared" si="1"/>
        <v>8</v>
      </c>
    </row>
    <row r="23" spans="1:6" ht="19.5" hidden="1">
      <c r="A23" s="153">
        <f>SUBTOTAL(103,B$4:B23)</f>
        <v>8</v>
      </c>
      <c r="B23" s="126"/>
      <c r="C23" s="169"/>
      <c r="D23" s="130">
        <f t="shared" si="0"/>
        <v>0</v>
      </c>
      <c r="E23" s="150">
        <f>SUM($D$3:D23)</f>
        <v>51192</v>
      </c>
      <c r="F23" s="151">
        <f t="shared" si="1"/>
        <v>8</v>
      </c>
    </row>
    <row r="24" spans="1:6" ht="19.5" hidden="1">
      <c r="A24" s="153">
        <f>SUBTOTAL(103,B$4:B24)</f>
        <v>8</v>
      </c>
      <c r="B24" s="201"/>
      <c r="C24" s="169"/>
      <c r="D24" s="130">
        <f t="shared" si="0"/>
        <v>0</v>
      </c>
      <c r="E24" s="150">
        <f>SUM($D$3:D24)</f>
        <v>51192</v>
      </c>
      <c r="F24" s="151">
        <f t="shared" si="1"/>
        <v>8</v>
      </c>
    </row>
    <row r="25" spans="1:6" ht="19.5" hidden="1">
      <c r="A25" s="153">
        <f>SUBTOTAL(103,B$4:B25)</f>
        <v>8</v>
      </c>
      <c r="B25" s="201"/>
      <c r="C25" s="169"/>
      <c r="D25" s="130">
        <f t="shared" si="0"/>
        <v>0</v>
      </c>
      <c r="E25" s="150">
        <f>SUM($D$3:D25)</f>
        <v>51192</v>
      </c>
      <c r="F25" s="151">
        <f t="shared" si="1"/>
        <v>8</v>
      </c>
    </row>
    <row r="26" spans="1:6" ht="19.5" hidden="1">
      <c r="A26" s="153">
        <f>SUBTOTAL(103,B$4:B26)</f>
        <v>8</v>
      </c>
      <c r="B26" s="201"/>
      <c r="C26" s="169"/>
      <c r="D26" s="130">
        <f t="shared" si="0"/>
        <v>0</v>
      </c>
      <c r="E26" s="150">
        <f>SUM($D$3:D26)</f>
        <v>51192</v>
      </c>
      <c r="F26" s="151">
        <f t="shared" si="1"/>
        <v>8</v>
      </c>
    </row>
    <row r="27" spans="1:6" ht="19.5" hidden="1">
      <c r="A27" s="153">
        <f>SUBTOTAL(103,B$4:B27)</f>
        <v>8</v>
      </c>
      <c r="B27" s="126"/>
      <c r="C27" s="169"/>
      <c r="D27" s="130">
        <f t="shared" si="0"/>
        <v>0</v>
      </c>
      <c r="E27" s="150">
        <f>SUM($D$3:D27)</f>
        <v>51192</v>
      </c>
      <c r="F27" s="151">
        <f t="shared" si="1"/>
        <v>8</v>
      </c>
    </row>
    <row r="28" spans="1:6" ht="19.5" hidden="1">
      <c r="A28" s="153">
        <f>SUBTOTAL(103,B$4:B28)</f>
        <v>8</v>
      </c>
      <c r="B28" s="203"/>
      <c r="C28" s="169"/>
      <c r="D28" s="130">
        <f t="shared" si="0"/>
        <v>0</v>
      </c>
      <c r="E28" s="150">
        <f>SUM($D$3:D28)</f>
        <v>51192</v>
      </c>
      <c r="F28" s="151">
        <f t="shared" si="1"/>
        <v>8</v>
      </c>
    </row>
    <row r="29" spans="1:6" ht="19.5" hidden="1">
      <c r="A29" s="153">
        <f>SUBTOTAL(103,B$4:B29)</f>
        <v>8</v>
      </c>
      <c r="B29" s="364"/>
      <c r="C29" s="169"/>
      <c r="D29" s="130">
        <f t="shared" si="0"/>
        <v>0</v>
      </c>
      <c r="E29" s="150">
        <f>SUM($D$3:D29)</f>
        <v>51192</v>
      </c>
      <c r="F29" s="151">
        <f t="shared" si="1"/>
        <v>8</v>
      </c>
    </row>
    <row r="30" spans="1:6" ht="19.5" hidden="1">
      <c r="A30" s="153">
        <f>SUBTOTAL(103,B$4:B30)</f>
        <v>8</v>
      </c>
      <c r="B30" s="364"/>
      <c r="C30" s="169"/>
      <c r="D30" s="130">
        <f t="shared" si="0"/>
        <v>0</v>
      </c>
      <c r="E30" s="150">
        <f>SUM($D$3:D30)</f>
        <v>51192</v>
      </c>
      <c r="F30" s="151">
        <f t="shared" si="1"/>
        <v>8</v>
      </c>
    </row>
    <row r="31" spans="1:6" ht="19.5" hidden="1">
      <c r="A31" s="153">
        <f>SUBTOTAL(103,B$4:B31)</f>
        <v>8</v>
      </c>
      <c r="B31" s="364"/>
      <c r="C31" s="169"/>
      <c r="D31" s="130">
        <f t="shared" si="0"/>
        <v>0</v>
      </c>
      <c r="E31" s="150">
        <f>SUM($D$3:D31)</f>
        <v>51192</v>
      </c>
      <c r="F31" s="151">
        <f t="shared" si="1"/>
        <v>8</v>
      </c>
    </row>
    <row r="32" spans="1:6" ht="19.5" hidden="1">
      <c r="A32" s="153">
        <f>SUBTOTAL(103,B$4:B32)</f>
        <v>8</v>
      </c>
      <c r="B32" s="364"/>
      <c r="C32" s="169"/>
      <c r="D32" s="130">
        <f t="shared" si="0"/>
        <v>0</v>
      </c>
      <c r="E32" s="150">
        <f>SUM($D$3:D32)</f>
        <v>51192</v>
      </c>
      <c r="F32" s="151">
        <f t="shared" si="1"/>
        <v>8</v>
      </c>
    </row>
    <row r="33" spans="1:6" ht="19.5" hidden="1">
      <c r="A33" s="153">
        <f>SUBTOTAL(103,B$4:B33)</f>
        <v>8</v>
      </c>
      <c r="B33" s="364"/>
      <c r="C33" s="169"/>
      <c r="D33" s="130">
        <f t="shared" si="0"/>
        <v>0</v>
      </c>
      <c r="E33" s="150">
        <f>SUM($D$3:D33)</f>
        <v>51192</v>
      </c>
      <c r="F33" s="151">
        <f t="shared" si="1"/>
        <v>8</v>
      </c>
    </row>
    <row r="34" spans="1:6" ht="19.5" hidden="1">
      <c r="A34" s="153">
        <f>SUBTOTAL(103,B$4:B34)</f>
        <v>8</v>
      </c>
      <c r="B34" s="364"/>
      <c r="C34" s="169"/>
      <c r="D34" s="130">
        <f t="shared" si="0"/>
        <v>0</v>
      </c>
      <c r="E34" s="150">
        <f>SUM($D$3:D34)</f>
        <v>51192</v>
      </c>
      <c r="F34" s="151">
        <f t="shared" si="1"/>
        <v>8</v>
      </c>
    </row>
    <row r="35" spans="1:6" ht="19.5" hidden="1">
      <c r="A35" s="153">
        <f>SUBTOTAL(103,B$4:B35)</f>
        <v>8</v>
      </c>
      <c r="B35" s="364"/>
      <c r="C35" s="169"/>
      <c r="D35" s="130">
        <f t="shared" si="0"/>
        <v>0</v>
      </c>
      <c r="E35" s="150">
        <f>SUM($D$3:D35)</f>
        <v>51192</v>
      </c>
      <c r="F35" s="151">
        <f t="shared" si="1"/>
        <v>8</v>
      </c>
    </row>
    <row r="36" spans="1:6" ht="19.5" hidden="1">
      <c r="A36" s="153">
        <f>SUBTOTAL(103,B$4:B36)</f>
        <v>8</v>
      </c>
      <c r="B36" s="364"/>
      <c r="C36" s="169"/>
      <c r="D36" s="130">
        <f t="shared" si="0"/>
        <v>0</v>
      </c>
      <c r="E36" s="150">
        <f>SUM($D$3:D36)</f>
        <v>51192</v>
      </c>
      <c r="F36" s="151">
        <f t="shared" si="1"/>
        <v>8</v>
      </c>
    </row>
    <row r="37" spans="1:6" ht="19.5" hidden="1">
      <c r="A37" s="153">
        <f>SUBTOTAL(103,B$4:B37)</f>
        <v>8</v>
      </c>
      <c r="B37" s="364"/>
      <c r="C37" s="169"/>
      <c r="D37" s="130">
        <f t="shared" si="0"/>
        <v>0</v>
      </c>
      <c r="E37" s="150">
        <f>SUM($D$3:D37)</f>
        <v>51192</v>
      </c>
      <c r="F37" s="151">
        <f t="shared" si="1"/>
        <v>8</v>
      </c>
    </row>
    <row r="38" spans="1:6" ht="19.5" hidden="1">
      <c r="A38" s="153">
        <f>SUBTOTAL(103,B$4:B38)</f>
        <v>8</v>
      </c>
      <c r="B38" s="364"/>
      <c r="C38" s="169"/>
      <c r="D38" s="130">
        <f t="shared" si="0"/>
        <v>0</v>
      </c>
      <c r="E38" s="150">
        <f>SUM($D$3:D38)</f>
        <v>51192</v>
      </c>
      <c r="F38" s="151">
        <f t="shared" si="1"/>
        <v>8</v>
      </c>
    </row>
    <row r="39" spans="1:6" ht="19.5" hidden="1">
      <c r="A39" s="153">
        <f>SUBTOTAL(103,B$4:B39)</f>
        <v>8</v>
      </c>
      <c r="B39" s="364"/>
      <c r="C39" s="169"/>
      <c r="D39" s="130">
        <f t="shared" si="0"/>
        <v>0</v>
      </c>
      <c r="E39" s="150">
        <f>SUM($D$3:D39)</f>
        <v>51192</v>
      </c>
      <c r="F39" s="151">
        <f t="shared" si="1"/>
        <v>8</v>
      </c>
    </row>
    <row r="40" spans="1:6" ht="19.5" hidden="1">
      <c r="A40" s="153">
        <f>SUBTOTAL(103,B$4:B40)</f>
        <v>8</v>
      </c>
      <c r="B40" s="364"/>
      <c r="C40" s="169"/>
      <c r="D40" s="130">
        <f t="shared" si="0"/>
        <v>0</v>
      </c>
      <c r="E40" s="150">
        <f>SUM($D$3:D40)</f>
        <v>51192</v>
      </c>
      <c r="F40" s="151">
        <f t="shared" si="1"/>
        <v>8</v>
      </c>
    </row>
    <row r="41" spans="1:6" ht="19.5" hidden="1">
      <c r="A41" s="153">
        <f>SUBTOTAL(103,B$4:B41)</f>
        <v>8</v>
      </c>
      <c r="B41" s="364"/>
      <c r="C41" s="169"/>
      <c r="D41" s="130">
        <f t="shared" si="0"/>
        <v>0</v>
      </c>
      <c r="E41" s="150">
        <f>SUM($D$3:D41)</f>
        <v>51192</v>
      </c>
      <c r="F41" s="151">
        <f t="shared" si="1"/>
        <v>8</v>
      </c>
    </row>
    <row r="42" spans="1:6" ht="19.5" hidden="1">
      <c r="A42" s="153">
        <f>SUBTOTAL(103,B$4:B42)</f>
        <v>8</v>
      </c>
      <c r="B42" s="364"/>
      <c r="C42" s="169"/>
      <c r="D42" s="130">
        <f t="shared" si="0"/>
        <v>0</v>
      </c>
      <c r="E42" s="150">
        <f>SUM($D$3:D42)</f>
        <v>51192</v>
      </c>
      <c r="F42" s="151">
        <f t="shared" si="1"/>
        <v>8</v>
      </c>
    </row>
    <row r="43" spans="1:6" ht="19.5" hidden="1">
      <c r="A43" s="153">
        <f>SUBTOTAL(103,B$4:B43)</f>
        <v>8</v>
      </c>
      <c r="B43" s="364"/>
      <c r="C43" s="169"/>
      <c r="D43" s="130">
        <f t="shared" si="0"/>
        <v>0</v>
      </c>
      <c r="E43" s="150">
        <f>SUM($D$3:D43)</f>
        <v>51192</v>
      </c>
      <c r="F43" s="151">
        <f t="shared" si="1"/>
        <v>8</v>
      </c>
    </row>
    <row r="44" spans="1:6" ht="19.5" hidden="1">
      <c r="A44" s="153">
        <f>SUBTOTAL(103,B$4:B44)</f>
        <v>8</v>
      </c>
      <c r="B44" s="364"/>
      <c r="C44" s="169"/>
      <c r="D44" s="130">
        <f t="shared" si="0"/>
        <v>0</v>
      </c>
      <c r="E44" s="150">
        <f>SUM($D$3:D44)</f>
        <v>51192</v>
      </c>
      <c r="F44" s="151">
        <f t="shared" si="1"/>
        <v>8</v>
      </c>
    </row>
    <row r="45" spans="1:6" ht="19.5" hidden="1">
      <c r="A45" s="153">
        <f>SUBTOTAL(103,B$4:B45)</f>
        <v>8</v>
      </c>
      <c r="B45" s="364"/>
      <c r="C45" s="169"/>
      <c r="D45" s="130">
        <f t="shared" si="0"/>
        <v>0</v>
      </c>
      <c r="E45" s="150">
        <f>SUM($D$3:D45)</f>
        <v>51192</v>
      </c>
      <c r="F45" s="151">
        <f t="shared" si="1"/>
        <v>8</v>
      </c>
    </row>
    <row r="46" spans="1:6" ht="19.5" hidden="1">
      <c r="A46" s="153">
        <f>SUBTOTAL(103,B$4:B46)</f>
        <v>8</v>
      </c>
      <c r="B46" s="364"/>
      <c r="C46" s="169"/>
      <c r="D46" s="130">
        <f t="shared" si="0"/>
        <v>0</v>
      </c>
      <c r="E46" s="150">
        <f>SUM($D$3:D46)</f>
        <v>51192</v>
      </c>
      <c r="F46" s="151">
        <f t="shared" si="1"/>
        <v>8</v>
      </c>
    </row>
    <row r="47" spans="1:6" ht="19.5" hidden="1">
      <c r="A47" s="153">
        <f>SUBTOTAL(103,B$4:B47)</f>
        <v>8</v>
      </c>
      <c r="B47" s="364"/>
      <c r="C47" s="169"/>
      <c r="D47" s="130">
        <f t="shared" si="0"/>
        <v>0</v>
      </c>
      <c r="E47" s="150">
        <f>SUM($D$3:D47)</f>
        <v>51192</v>
      </c>
      <c r="F47" s="151">
        <f t="shared" si="1"/>
        <v>8</v>
      </c>
    </row>
    <row r="48" spans="1:6" ht="19.5" hidden="1">
      <c r="A48" s="153">
        <f>SUBTOTAL(103,B$4:B48)</f>
        <v>8</v>
      </c>
      <c r="B48" s="364"/>
      <c r="C48" s="169"/>
      <c r="D48" s="130">
        <f t="shared" si="0"/>
        <v>0</v>
      </c>
      <c r="E48" s="150">
        <f>SUM($D$3:D48)</f>
        <v>51192</v>
      </c>
      <c r="F48" s="151">
        <f t="shared" si="1"/>
        <v>8</v>
      </c>
    </row>
    <row r="49" spans="1:6" ht="19.5" hidden="1">
      <c r="A49" s="153">
        <f>SUBTOTAL(103,B$4:B49)</f>
        <v>8</v>
      </c>
      <c r="B49" s="364"/>
      <c r="C49" s="169"/>
      <c r="D49" s="130">
        <f t="shared" si="0"/>
        <v>0</v>
      </c>
      <c r="E49" s="150">
        <f>SUM($D$3:D49)</f>
        <v>51192</v>
      </c>
      <c r="F49" s="151">
        <f t="shared" si="1"/>
        <v>8</v>
      </c>
    </row>
    <row r="50" spans="1:6" ht="19.5" hidden="1">
      <c r="A50" s="153">
        <f>SUBTOTAL(103,B$4:B50)</f>
        <v>8</v>
      </c>
      <c r="B50" s="202"/>
      <c r="C50" s="169"/>
      <c r="D50" s="130">
        <f t="shared" si="0"/>
        <v>0</v>
      </c>
      <c r="E50" s="150">
        <f>SUM($D$3:D50)</f>
        <v>51192</v>
      </c>
      <c r="F50" s="151">
        <f>A50</f>
        <v>8</v>
      </c>
    </row>
    <row r="51" spans="1:6" ht="19.5">
      <c r="A51" s="153"/>
      <c r="B51" s="135" t="s">
        <v>233</v>
      </c>
      <c r="C51" s="172">
        <f>SUM(C4:C50)</f>
        <v>51192</v>
      </c>
    </row>
    <row r="52" spans="1:6" ht="19.5">
      <c r="A52" s="505" t="s">
        <v>519</v>
      </c>
      <c r="B52" s="506"/>
      <c r="C52" s="507"/>
    </row>
    <row r="53" spans="1:6" ht="19.5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7" activePane="bottomRight" state="frozen"/>
      <selection pane="topRight" activeCell="G1" sqref="G1"/>
      <selection pane="bottomLeft" activeCell="A2" sqref="A2"/>
      <selection pane="bottomRight" activeCell="E54" sqref="E54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1" t="s">
        <v>235</v>
      </c>
      <c r="B1" s="501"/>
      <c r="C1" s="501"/>
      <c r="F1" s="127">
        <f>P!L3</f>
        <v>45966</v>
      </c>
    </row>
    <row r="2" spans="1:6" ht="29.25" customHeight="1">
      <c r="A2" s="508" t="s">
        <v>492</v>
      </c>
      <c r="B2" s="508"/>
      <c r="C2" s="508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1</v>
      </c>
      <c r="B4" s="126" t="s">
        <v>474</v>
      </c>
      <c r="C4" s="169">
        <v>29938</v>
      </c>
      <c r="D4" s="130">
        <f>C4</f>
        <v>29938</v>
      </c>
      <c r="E4" s="143">
        <f>SUM($D$3:D4)</f>
        <v>29938</v>
      </c>
      <c r="F4" s="133">
        <f>A4</f>
        <v>1</v>
      </c>
    </row>
    <row r="5" spans="1:6">
      <c r="A5" s="153">
        <f>SUBTOTAL(103,B$4:B5)</f>
        <v>2</v>
      </c>
      <c r="B5" s="126" t="s">
        <v>477</v>
      </c>
      <c r="C5" s="169">
        <v>9525</v>
      </c>
      <c r="D5" s="130">
        <f t="shared" ref="D5:D50" si="0">C5</f>
        <v>9525</v>
      </c>
      <c r="E5" s="143">
        <f>SUM($D$3:D5)</f>
        <v>39463</v>
      </c>
      <c r="F5" s="133">
        <f t="shared" ref="F5:F50" si="1">A5</f>
        <v>2</v>
      </c>
    </row>
    <row r="6" spans="1:6">
      <c r="A6" s="153">
        <f>SUBTOTAL(103,B$4:B6)</f>
        <v>3</v>
      </c>
      <c r="B6" s="126" t="s">
        <v>476</v>
      </c>
      <c r="C6" s="169">
        <v>2172</v>
      </c>
      <c r="D6" s="130">
        <f t="shared" si="0"/>
        <v>2172</v>
      </c>
      <c r="E6" s="143">
        <f>SUM($D$3:D6)</f>
        <v>41635</v>
      </c>
      <c r="F6" s="133">
        <f t="shared" si="1"/>
        <v>3</v>
      </c>
    </row>
    <row r="7" spans="1:6">
      <c r="A7" s="153">
        <f>SUBTOTAL(103,B$4:B7)</f>
        <v>4</v>
      </c>
      <c r="B7" s="126" t="s">
        <v>493</v>
      </c>
      <c r="C7" s="169">
        <v>650</v>
      </c>
      <c r="D7" s="130">
        <f t="shared" si="0"/>
        <v>650</v>
      </c>
      <c r="E7" s="143">
        <f>SUM($D$3:D7)</f>
        <v>42285</v>
      </c>
      <c r="F7" s="133">
        <f t="shared" si="1"/>
        <v>4</v>
      </c>
    </row>
    <row r="8" spans="1:6">
      <c r="A8" s="153">
        <f>SUBTOTAL(103,B$4:B8)</f>
        <v>5</v>
      </c>
      <c r="B8" s="126" t="s">
        <v>482</v>
      </c>
      <c r="C8" s="169">
        <v>2294</v>
      </c>
      <c r="D8" s="130">
        <f t="shared" si="0"/>
        <v>2294</v>
      </c>
      <c r="E8" s="143">
        <f>SUM($D$3:D8)</f>
        <v>44579</v>
      </c>
      <c r="F8" s="133">
        <f t="shared" si="1"/>
        <v>5</v>
      </c>
    </row>
    <row r="9" spans="1:6">
      <c r="A9" s="153">
        <f>SUBTOTAL(103,B$4:B9)</f>
        <v>6</v>
      </c>
      <c r="B9" s="278" t="s">
        <v>494</v>
      </c>
      <c r="C9" s="169">
        <v>16500</v>
      </c>
      <c r="D9" s="130">
        <f t="shared" si="0"/>
        <v>16500</v>
      </c>
      <c r="E9" s="143">
        <f>SUM($D$3:D9)</f>
        <v>61079</v>
      </c>
      <c r="F9" s="133">
        <f t="shared" si="1"/>
        <v>6</v>
      </c>
    </row>
    <row r="10" spans="1:6">
      <c r="A10" s="153">
        <f>SUBTOTAL(103,B$4:B10)</f>
        <v>7</v>
      </c>
      <c r="B10" s="126" t="s">
        <v>485</v>
      </c>
      <c r="C10" s="169">
        <v>2240</v>
      </c>
      <c r="D10" s="130">
        <f t="shared" si="0"/>
        <v>2240</v>
      </c>
      <c r="E10" s="143">
        <f>SUM($D$3:D10)</f>
        <v>63319</v>
      </c>
      <c r="F10" s="133">
        <f t="shared" si="1"/>
        <v>7</v>
      </c>
    </row>
    <row r="11" spans="1:6">
      <c r="A11" s="153">
        <f>SUBTOTAL(103,B$4:B11)</f>
        <v>8</v>
      </c>
      <c r="B11" s="126" t="s">
        <v>495</v>
      </c>
      <c r="C11" s="169">
        <v>49200</v>
      </c>
      <c r="D11" s="152">
        <f t="shared" si="0"/>
        <v>49200</v>
      </c>
      <c r="E11" s="143">
        <f>SUM($D$3:D11)</f>
        <v>112519</v>
      </c>
      <c r="F11" s="133">
        <f t="shared" si="1"/>
        <v>8</v>
      </c>
    </row>
    <row r="12" spans="1:6">
      <c r="A12" s="153">
        <f>SUBTOTAL(103,B$4:B12)</f>
        <v>9</v>
      </c>
      <c r="B12" s="126" t="s">
        <v>480</v>
      </c>
      <c r="C12" s="169">
        <v>4200</v>
      </c>
      <c r="D12" s="152">
        <f t="shared" si="0"/>
        <v>4200</v>
      </c>
      <c r="E12" s="143">
        <f>SUM($D$3:D12)</f>
        <v>116719</v>
      </c>
      <c r="F12" s="133">
        <f t="shared" si="1"/>
        <v>9</v>
      </c>
    </row>
    <row r="13" spans="1:6" hidden="1">
      <c r="A13" s="153">
        <f>SUBTOTAL(103,B$4:B13)</f>
        <v>9</v>
      </c>
      <c r="B13" s="126"/>
      <c r="C13" s="169"/>
      <c r="D13" s="152">
        <f t="shared" si="0"/>
        <v>0</v>
      </c>
      <c r="E13" s="143">
        <f>SUM($D$3:D13)</f>
        <v>116719</v>
      </c>
      <c r="F13" s="133">
        <f t="shared" si="1"/>
        <v>9</v>
      </c>
    </row>
    <row r="14" spans="1:6" hidden="1">
      <c r="A14" s="153">
        <f>SUBTOTAL(103,B$4:B14)</f>
        <v>9</v>
      </c>
      <c r="B14" s="126"/>
      <c r="C14" s="169"/>
      <c r="D14" s="152">
        <f t="shared" si="0"/>
        <v>0</v>
      </c>
      <c r="E14" s="143">
        <f>SUM($D$3:D14)</f>
        <v>116719</v>
      </c>
      <c r="F14" s="133">
        <f t="shared" si="1"/>
        <v>9</v>
      </c>
    </row>
    <row r="15" spans="1:6" hidden="1">
      <c r="A15" s="153">
        <f>SUBTOTAL(103,B$4:B15)</f>
        <v>9</v>
      </c>
      <c r="B15" s="126"/>
      <c r="C15" s="169"/>
      <c r="D15" s="152">
        <f t="shared" si="0"/>
        <v>0</v>
      </c>
      <c r="E15" s="143">
        <f>SUM($D$3:D15)</f>
        <v>116719</v>
      </c>
      <c r="F15" s="133">
        <f t="shared" si="1"/>
        <v>9</v>
      </c>
    </row>
    <row r="16" spans="1:6" hidden="1">
      <c r="A16" s="153">
        <f>SUBTOTAL(103,B$4:B16)</f>
        <v>9</v>
      </c>
      <c r="B16" s="126"/>
      <c r="C16" s="169"/>
      <c r="D16" s="152">
        <f t="shared" si="0"/>
        <v>0</v>
      </c>
      <c r="E16" s="143">
        <f>SUM($D$3:D16)</f>
        <v>116719</v>
      </c>
      <c r="F16" s="133">
        <f t="shared" si="1"/>
        <v>9</v>
      </c>
    </row>
    <row r="17" spans="1:6" hidden="1">
      <c r="A17" s="153">
        <f>SUBTOTAL(103,B$4:B17)</f>
        <v>9</v>
      </c>
      <c r="B17" s="126"/>
      <c r="C17" s="169"/>
      <c r="D17" s="152">
        <f t="shared" si="0"/>
        <v>0</v>
      </c>
      <c r="E17" s="143">
        <f>SUM($D$3:D17)</f>
        <v>116719</v>
      </c>
      <c r="F17" s="133">
        <f t="shared" si="1"/>
        <v>9</v>
      </c>
    </row>
    <row r="18" spans="1:6" hidden="1">
      <c r="A18" s="153">
        <f>SUBTOTAL(103,B$4:B18)</f>
        <v>9</v>
      </c>
      <c r="B18" s="126"/>
      <c r="C18" s="169"/>
      <c r="D18" s="152">
        <f t="shared" si="0"/>
        <v>0</v>
      </c>
      <c r="E18" s="143">
        <f>SUM($D$3:D18)</f>
        <v>116719</v>
      </c>
      <c r="F18" s="133">
        <f t="shared" si="1"/>
        <v>9</v>
      </c>
    </row>
    <row r="19" spans="1:6" hidden="1">
      <c r="A19" s="153">
        <f>SUBTOTAL(103,B$4:B19)</f>
        <v>9</v>
      </c>
      <c r="B19" s="126"/>
      <c r="C19" s="169"/>
      <c r="D19" s="152">
        <f t="shared" si="0"/>
        <v>0</v>
      </c>
      <c r="E19" s="143">
        <f>SUM($D$3:D19)</f>
        <v>116719</v>
      </c>
      <c r="F19" s="133">
        <f t="shared" si="1"/>
        <v>9</v>
      </c>
    </row>
    <row r="20" spans="1:6" hidden="1">
      <c r="A20" s="153">
        <f>SUBTOTAL(103,B$4:B20)</f>
        <v>9</v>
      </c>
      <c r="B20" s="126"/>
      <c r="C20" s="169"/>
      <c r="D20" s="152">
        <f t="shared" si="0"/>
        <v>0</v>
      </c>
      <c r="E20" s="143">
        <f>SUM($D$3:D20)</f>
        <v>116719</v>
      </c>
      <c r="F20" s="133">
        <f t="shared" si="1"/>
        <v>9</v>
      </c>
    </row>
    <row r="21" spans="1:6" hidden="1">
      <c r="A21" s="153">
        <f>SUBTOTAL(103,B$4:B21)</f>
        <v>9</v>
      </c>
      <c r="B21" s="216"/>
      <c r="C21" s="169"/>
      <c r="D21" s="152">
        <f t="shared" si="0"/>
        <v>0</v>
      </c>
      <c r="E21" s="143">
        <f>SUM($D$3:D21)</f>
        <v>116719</v>
      </c>
      <c r="F21" s="133">
        <f t="shared" si="1"/>
        <v>9</v>
      </c>
    </row>
    <row r="22" spans="1:6" hidden="1">
      <c r="A22" s="153">
        <f>SUBTOTAL(103,B$4:B22)</f>
        <v>9</v>
      </c>
      <c r="B22" s="216"/>
      <c r="C22" s="169"/>
      <c r="D22" s="152">
        <f t="shared" si="0"/>
        <v>0</v>
      </c>
      <c r="E22" s="143">
        <f>SUM($D$3:D22)</f>
        <v>116719</v>
      </c>
      <c r="F22" s="133">
        <f t="shared" si="1"/>
        <v>9</v>
      </c>
    </row>
    <row r="23" spans="1:6" hidden="1">
      <c r="A23" s="153">
        <f>SUBTOTAL(103,B$4:B23)</f>
        <v>9</v>
      </c>
      <c r="B23" s="364"/>
      <c r="C23" s="169"/>
      <c r="D23" s="152">
        <f t="shared" si="0"/>
        <v>0</v>
      </c>
      <c r="E23" s="143">
        <f>SUM($D$3:D23)</f>
        <v>116719</v>
      </c>
      <c r="F23" s="133">
        <f t="shared" si="1"/>
        <v>9</v>
      </c>
    </row>
    <row r="24" spans="1:6" hidden="1">
      <c r="A24" s="153">
        <f>SUBTOTAL(103,B$4:B24)</f>
        <v>9</v>
      </c>
      <c r="B24" s="364"/>
      <c r="C24" s="169"/>
      <c r="D24" s="152">
        <f t="shared" si="0"/>
        <v>0</v>
      </c>
      <c r="E24" s="143">
        <f>SUM($D$3:D24)</f>
        <v>116719</v>
      </c>
      <c r="F24" s="133">
        <f t="shared" si="1"/>
        <v>9</v>
      </c>
    </row>
    <row r="25" spans="1:6" hidden="1">
      <c r="A25" s="153">
        <f>SUBTOTAL(103,B$4:B25)</f>
        <v>9</v>
      </c>
      <c r="B25" s="364"/>
      <c r="C25" s="169"/>
      <c r="D25" s="152">
        <f t="shared" si="0"/>
        <v>0</v>
      </c>
      <c r="E25" s="143">
        <f>SUM($D$3:D25)</f>
        <v>116719</v>
      </c>
      <c r="F25" s="133">
        <f t="shared" si="1"/>
        <v>9</v>
      </c>
    </row>
    <row r="26" spans="1:6" hidden="1">
      <c r="A26" s="153">
        <f>SUBTOTAL(103,B$4:B26)</f>
        <v>9</v>
      </c>
      <c r="B26" s="364"/>
      <c r="C26" s="169"/>
      <c r="D26" s="152">
        <f t="shared" si="0"/>
        <v>0</v>
      </c>
      <c r="E26" s="143">
        <f>SUM($D$3:D26)</f>
        <v>116719</v>
      </c>
      <c r="F26" s="133">
        <f t="shared" si="1"/>
        <v>9</v>
      </c>
    </row>
    <row r="27" spans="1:6" hidden="1">
      <c r="A27" s="153">
        <f>SUBTOTAL(103,B$4:B27)</f>
        <v>9</v>
      </c>
      <c r="B27" s="364"/>
      <c r="C27" s="169"/>
      <c r="D27" s="152">
        <f t="shared" si="0"/>
        <v>0</v>
      </c>
      <c r="E27" s="143">
        <f>SUM($D$3:D27)</f>
        <v>116719</v>
      </c>
      <c r="F27" s="133">
        <f t="shared" si="1"/>
        <v>9</v>
      </c>
    </row>
    <row r="28" spans="1:6" hidden="1">
      <c r="A28" s="153">
        <f>SUBTOTAL(103,B$4:B28)</f>
        <v>9</v>
      </c>
      <c r="B28" s="364"/>
      <c r="C28" s="169"/>
      <c r="D28" s="152">
        <f t="shared" si="0"/>
        <v>0</v>
      </c>
      <c r="E28" s="143">
        <f>SUM($D$3:D28)</f>
        <v>116719</v>
      </c>
      <c r="F28" s="133">
        <f t="shared" si="1"/>
        <v>9</v>
      </c>
    </row>
    <row r="29" spans="1:6" hidden="1">
      <c r="A29" s="153">
        <f>SUBTOTAL(103,B$4:B29)</f>
        <v>9</v>
      </c>
      <c r="B29" s="364"/>
      <c r="C29" s="169"/>
      <c r="D29" s="152">
        <f t="shared" si="0"/>
        <v>0</v>
      </c>
      <c r="E29" s="143">
        <f>SUM($D$3:D29)</f>
        <v>116719</v>
      </c>
      <c r="F29" s="133">
        <f t="shared" si="1"/>
        <v>9</v>
      </c>
    </row>
    <row r="30" spans="1:6" hidden="1">
      <c r="A30" s="153">
        <f>SUBTOTAL(103,B$4:B30)</f>
        <v>9</v>
      </c>
      <c r="B30" s="364"/>
      <c r="C30" s="169"/>
      <c r="D30" s="152">
        <f t="shared" si="0"/>
        <v>0</v>
      </c>
      <c r="E30" s="143">
        <f>SUM($D$3:D30)</f>
        <v>116719</v>
      </c>
      <c r="F30" s="133">
        <f t="shared" si="1"/>
        <v>9</v>
      </c>
    </row>
    <row r="31" spans="1:6" hidden="1">
      <c r="A31" s="153">
        <f>SUBTOTAL(103,B$4:B31)</f>
        <v>9</v>
      </c>
      <c r="B31" s="364"/>
      <c r="C31" s="169"/>
      <c r="D31" s="152">
        <f t="shared" si="0"/>
        <v>0</v>
      </c>
      <c r="E31" s="143">
        <f>SUM($D$3:D31)</f>
        <v>116719</v>
      </c>
      <c r="F31" s="133">
        <f t="shared" si="1"/>
        <v>9</v>
      </c>
    </row>
    <row r="32" spans="1:6" hidden="1">
      <c r="A32" s="153">
        <f>SUBTOTAL(103,B$4:B32)</f>
        <v>9</v>
      </c>
      <c r="B32" s="364"/>
      <c r="C32" s="169"/>
      <c r="D32" s="152">
        <f t="shared" si="0"/>
        <v>0</v>
      </c>
      <c r="E32" s="143">
        <f>SUM($D$3:D32)</f>
        <v>116719</v>
      </c>
      <c r="F32" s="133">
        <f t="shared" si="1"/>
        <v>9</v>
      </c>
    </row>
    <row r="33" spans="1:6" hidden="1">
      <c r="A33" s="153">
        <f>SUBTOTAL(103,B$4:B33)</f>
        <v>9</v>
      </c>
      <c r="B33" s="364"/>
      <c r="C33" s="169"/>
      <c r="D33" s="152">
        <f t="shared" si="0"/>
        <v>0</v>
      </c>
      <c r="E33" s="143">
        <f>SUM($D$3:D33)</f>
        <v>116719</v>
      </c>
      <c r="F33" s="133">
        <f t="shared" si="1"/>
        <v>9</v>
      </c>
    </row>
    <row r="34" spans="1:6" hidden="1">
      <c r="A34" s="153">
        <f>SUBTOTAL(103,B$4:B34)</f>
        <v>9</v>
      </c>
      <c r="B34" s="364"/>
      <c r="C34" s="169"/>
      <c r="D34" s="152">
        <f t="shared" si="0"/>
        <v>0</v>
      </c>
      <c r="E34" s="143">
        <f>SUM($D$3:D34)</f>
        <v>116719</v>
      </c>
      <c r="F34" s="133">
        <f t="shared" si="1"/>
        <v>9</v>
      </c>
    </row>
    <row r="35" spans="1:6" hidden="1">
      <c r="A35" s="153">
        <f>SUBTOTAL(103,B$4:B35)</f>
        <v>9</v>
      </c>
      <c r="B35" s="364"/>
      <c r="C35" s="169"/>
      <c r="D35" s="152">
        <f t="shared" si="0"/>
        <v>0</v>
      </c>
      <c r="E35" s="143">
        <f>SUM($D$3:D35)</f>
        <v>116719</v>
      </c>
      <c r="F35" s="133">
        <f t="shared" si="1"/>
        <v>9</v>
      </c>
    </row>
    <row r="36" spans="1:6" hidden="1">
      <c r="A36" s="153">
        <f>SUBTOTAL(103,B$4:B36)</f>
        <v>9</v>
      </c>
      <c r="B36" s="364"/>
      <c r="C36" s="169"/>
      <c r="D36" s="152">
        <f t="shared" si="0"/>
        <v>0</v>
      </c>
      <c r="E36" s="143">
        <f>SUM($D$3:D36)</f>
        <v>116719</v>
      </c>
      <c r="F36" s="133">
        <f t="shared" si="1"/>
        <v>9</v>
      </c>
    </row>
    <row r="37" spans="1:6" hidden="1">
      <c r="A37" s="153">
        <f>SUBTOTAL(103,B$4:B37)</f>
        <v>9</v>
      </c>
      <c r="B37" s="364"/>
      <c r="C37" s="169"/>
      <c r="D37" s="152">
        <f t="shared" si="0"/>
        <v>0</v>
      </c>
      <c r="E37" s="143">
        <f>SUM($D$3:D37)</f>
        <v>116719</v>
      </c>
      <c r="F37" s="133">
        <f t="shared" si="1"/>
        <v>9</v>
      </c>
    </row>
    <row r="38" spans="1:6" hidden="1">
      <c r="A38" s="153">
        <f>SUBTOTAL(103,B$4:B38)</f>
        <v>9</v>
      </c>
      <c r="B38" s="364"/>
      <c r="C38" s="169"/>
      <c r="D38" s="152">
        <f t="shared" si="0"/>
        <v>0</v>
      </c>
      <c r="E38" s="143">
        <f>SUM($D$3:D38)</f>
        <v>116719</v>
      </c>
      <c r="F38" s="133">
        <f t="shared" si="1"/>
        <v>9</v>
      </c>
    </row>
    <row r="39" spans="1:6" hidden="1">
      <c r="A39" s="153">
        <f>SUBTOTAL(103,B$4:B39)</f>
        <v>9</v>
      </c>
      <c r="B39" s="364"/>
      <c r="C39" s="169"/>
      <c r="D39" s="152">
        <f t="shared" si="0"/>
        <v>0</v>
      </c>
      <c r="E39" s="143">
        <f>SUM($D$3:D39)</f>
        <v>116719</v>
      </c>
      <c r="F39" s="133">
        <f t="shared" si="1"/>
        <v>9</v>
      </c>
    </row>
    <row r="40" spans="1:6" hidden="1">
      <c r="A40" s="153">
        <f>SUBTOTAL(103,B$4:B40)</f>
        <v>9</v>
      </c>
      <c r="B40" s="364"/>
      <c r="C40" s="169"/>
      <c r="D40" s="152">
        <f t="shared" si="0"/>
        <v>0</v>
      </c>
      <c r="E40" s="143">
        <f>SUM($D$3:D40)</f>
        <v>116719</v>
      </c>
      <c r="F40" s="133">
        <f t="shared" si="1"/>
        <v>9</v>
      </c>
    </row>
    <row r="41" spans="1:6" hidden="1">
      <c r="A41" s="153">
        <f>SUBTOTAL(103,B$4:B41)</f>
        <v>9</v>
      </c>
      <c r="B41" s="364"/>
      <c r="C41" s="169"/>
      <c r="D41" s="152">
        <f t="shared" si="0"/>
        <v>0</v>
      </c>
      <c r="E41" s="143">
        <f>SUM($D$3:D41)</f>
        <v>116719</v>
      </c>
      <c r="F41" s="133">
        <f t="shared" si="1"/>
        <v>9</v>
      </c>
    </row>
    <row r="42" spans="1:6" hidden="1">
      <c r="A42" s="153">
        <f>SUBTOTAL(103,B$4:B42)</f>
        <v>9</v>
      </c>
      <c r="B42" s="364"/>
      <c r="C42" s="169"/>
      <c r="D42" s="152">
        <f t="shared" si="0"/>
        <v>0</v>
      </c>
      <c r="E42" s="143">
        <f>SUM($D$3:D42)</f>
        <v>116719</v>
      </c>
      <c r="F42" s="133">
        <f t="shared" si="1"/>
        <v>9</v>
      </c>
    </row>
    <row r="43" spans="1:6" hidden="1">
      <c r="A43" s="153">
        <f>SUBTOTAL(103,B$4:B43)</f>
        <v>9</v>
      </c>
      <c r="B43" s="364"/>
      <c r="C43" s="169"/>
      <c r="D43" s="152">
        <f t="shared" si="0"/>
        <v>0</v>
      </c>
      <c r="E43" s="143">
        <f>SUM($D$3:D43)</f>
        <v>116719</v>
      </c>
      <c r="F43" s="133">
        <f t="shared" si="1"/>
        <v>9</v>
      </c>
    </row>
    <row r="44" spans="1:6" hidden="1">
      <c r="A44" s="153">
        <f>SUBTOTAL(103,B$4:B44)</f>
        <v>9</v>
      </c>
      <c r="B44" s="364"/>
      <c r="C44" s="169"/>
      <c r="D44" s="152">
        <f t="shared" si="0"/>
        <v>0</v>
      </c>
      <c r="E44" s="143">
        <f>SUM($D$3:D44)</f>
        <v>116719</v>
      </c>
      <c r="F44" s="133">
        <f t="shared" si="1"/>
        <v>9</v>
      </c>
    </row>
    <row r="45" spans="1:6" hidden="1">
      <c r="A45" s="153">
        <f>SUBTOTAL(103,B$4:B45)</f>
        <v>9</v>
      </c>
      <c r="B45" s="364"/>
      <c r="C45" s="169"/>
      <c r="D45" s="152">
        <f t="shared" si="0"/>
        <v>0</v>
      </c>
      <c r="E45" s="143">
        <f>SUM($D$3:D45)</f>
        <v>116719</v>
      </c>
      <c r="F45" s="133">
        <f t="shared" si="1"/>
        <v>9</v>
      </c>
    </row>
    <row r="46" spans="1:6" hidden="1">
      <c r="A46" s="153">
        <f>SUBTOTAL(103,B$4:B46)</f>
        <v>9</v>
      </c>
      <c r="B46" s="364"/>
      <c r="C46" s="169"/>
      <c r="D46" s="152">
        <f t="shared" si="0"/>
        <v>0</v>
      </c>
      <c r="E46" s="143">
        <f>SUM($D$3:D46)</f>
        <v>116719</v>
      </c>
      <c r="F46" s="133">
        <f t="shared" si="1"/>
        <v>9</v>
      </c>
    </row>
    <row r="47" spans="1:6" hidden="1">
      <c r="A47" s="153">
        <f>SUBTOTAL(103,B$4:B47)</f>
        <v>9</v>
      </c>
      <c r="B47" s="364"/>
      <c r="C47" s="169"/>
      <c r="D47" s="152">
        <f t="shared" si="0"/>
        <v>0</v>
      </c>
      <c r="E47" s="143">
        <f>SUM($D$3:D47)</f>
        <v>116719</v>
      </c>
      <c r="F47" s="133">
        <f t="shared" si="1"/>
        <v>9</v>
      </c>
    </row>
    <row r="48" spans="1:6" hidden="1">
      <c r="A48" s="153">
        <f>SUBTOTAL(103,B$4:B48)</f>
        <v>9</v>
      </c>
      <c r="B48" s="364"/>
      <c r="C48" s="169"/>
      <c r="D48" s="152">
        <f t="shared" si="0"/>
        <v>0</v>
      </c>
      <c r="E48" s="143">
        <f>SUM($D$3:D48)</f>
        <v>116719</v>
      </c>
      <c r="F48" s="133">
        <f t="shared" si="1"/>
        <v>9</v>
      </c>
    </row>
    <row r="49" spans="1:6" hidden="1">
      <c r="A49" s="153">
        <f>SUBTOTAL(103,B$4:B49)</f>
        <v>9</v>
      </c>
      <c r="B49" s="364"/>
      <c r="C49" s="169"/>
      <c r="D49" s="152">
        <f t="shared" si="0"/>
        <v>0</v>
      </c>
      <c r="E49" s="143">
        <f>SUM($D$3:D49)</f>
        <v>116719</v>
      </c>
      <c r="F49" s="133">
        <f t="shared" si="1"/>
        <v>9</v>
      </c>
    </row>
    <row r="50" spans="1:6" hidden="1">
      <c r="A50" s="153">
        <f>SUBTOTAL(103,B$4:B50)</f>
        <v>9</v>
      </c>
      <c r="B50" s="216"/>
      <c r="C50" s="169"/>
      <c r="D50" s="152">
        <f t="shared" si="0"/>
        <v>0</v>
      </c>
      <c r="E50" s="143">
        <f>SUM($D$3:D50)</f>
        <v>116719</v>
      </c>
      <c r="F50" s="133">
        <f t="shared" si="1"/>
        <v>9</v>
      </c>
    </row>
    <row r="51" spans="1:6">
      <c r="A51" s="153"/>
      <c r="B51" s="135" t="s">
        <v>233</v>
      </c>
      <c r="C51" s="136">
        <f>SUM(C4:C50)</f>
        <v>116719</v>
      </c>
    </row>
    <row r="52" spans="1:6">
      <c r="A52" s="505" t="s">
        <v>520</v>
      </c>
      <c r="B52" s="506"/>
      <c r="C52" s="507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51" activePane="bottomRight" state="frozen"/>
      <selection pane="topRight" activeCell="H1" sqref="H1"/>
      <selection pane="bottomLeft" activeCell="A2" sqref="A2"/>
      <selection pane="bottomRight" activeCell="B62" sqref="B62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1" t="s">
        <v>235</v>
      </c>
      <c r="B1" s="501"/>
      <c r="C1" s="501"/>
      <c r="G1" s="127">
        <f>P!N3</f>
        <v>45967</v>
      </c>
    </row>
    <row r="2" spans="1:7" ht="39.75" customHeight="1">
      <c r="A2" s="508" t="s">
        <v>496</v>
      </c>
      <c r="B2" s="508"/>
      <c r="C2" s="508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1</v>
      </c>
      <c r="B4" s="279" t="s">
        <v>474</v>
      </c>
      <c r="C4" s="169">
        <v>19526</v>
      </c>
      <c r="D4" s="142">
        <f>C4</f>
        <v>19526</v>
      </c>
      <c r="E4" s="143">
        <f>SUM($D$3:D4)</f>
        <v>19526</v>
      </c>
      <c r="F4" s="155">
        <f>A4</f>
        <v>1</v>
      </c>
      <c r="G4" s="156"/>
    </row>
    <row r="5" spans="1:7" ht="19.5">
      <c r="A5" s="153">
        <f>SUBTOTAL(103,B$4:B5)</f>
        <v>2</v>
      </c>
      <c r="B5" s="423" t="s">
        <v>477</v>
      </c>
      <c r="C5" s="169">
        <v>9210</v>
      </c>
      <c r="D5" s="142">
        <f t="shared" ref="D5:D50" si="0">C5</f>
        <v>9210</v>
      </c>
      <c r="E5" s="143">
        <f>SUM($D$3:D5)</f>
        <v>28736</v>
      </c>
      <c r="F5" s="155">
        <f t="shared" ref="F5:F50" si="1">A5</f>
        <v>2</v>
      </c>
    </row>
    <row r="6" spans="1:7" ht="19.5">
      <c r="A6" s="153">
        <f>SUBTOTAL(103,B$4:B6)</f>
        <v>3</v>
      </c>
      <c r="B6" s="423" t="s">
        <v>476</v>
      </c>
      <c r="C6" s="169">
        <v>3483</v>
      </c>
      <c r="D6" s="142">
        <f t="shared" si="0"/>
        <v>3483</v>
      </c>
      <c r="E6" s="143">
        <f>SUM($D$3:D6)</f>
        <v>32219</v>
      </c>
      <c r="F6" s="155">
        <f t="shared" si="1"/>
        <v>3</v>
      </c>
    </row>
    <row r="7" spans="1:7" ht="19.5">
      <c r="A7" s="153">
        <f>SUBTOTAL(103,B$4:B7)</f>
        <v>4</v>
      </c>
      <c r="B7" s="423" t="s">
        <v>497</v>
      </c>
      <c r="C7" s="169">
        <v>297</v>
      </c>
      <c r="D7" s="142">
        <f t="shared" si="0"/>
        <v>297</v>
      </c>
      <c r="E7" s="143">
        <f>SUM($D$3:D7)</f>
        <v>32516</v>
      </c>
      <c r="F7" s="155">
        <f t="shared" si="1"/>
        <v>4</v>
      </c>
    </row>
    <row r="8" spans="1:7" ht="19.5">
      <c r="A8" s="153">
        <f>SUBTOTAL(103,B$4:B8)</f>
        <v>5</v>
      </c>
      <c r="B8" s="424" t="s">
        <v>479</v>
      </c>
      <c r="C8" s="169">
        <v>340</v>
      </c>
      <c r="D8" s="142">
        <f t="shared" si="0"/>
        <v>340</v>
      </c>
      <c r="E8" s="143">
        <f>SUM($D$3:D8)</f>
        <v>32856</v>
      </c>
      <c r="F8" s="155">
        <f t="shared" si="1"/>
        <v>5</v>
      </c>
    </row>
    <row r="9" spans="1:7" ht="19.5">
      <c r="A9" s="153">
        <f>SUBTOTAL(103,B$4:B9)</f>
        <v>6</v>
      </c>
      <c r="B9" s="423" t="s">
        <v>489</v>
      </c>
      <c r="C9" s="169">
        <v>2196</v>
      </c>
      <c r="D9" s="142">
        <f t="shared" si="0"/>
        <v>2196</v>
      </c>
      <c r="E9" s="143">
        <f>SUM($D$3:D9)</f>
        <v>35052</v>
      </c>
      <c r="F9" s="155">
        <f t="shared" si="1"/>
        <v>6</v>
      </c>
    </row>
    <row r="10" spans="1:7" ht="19.5">
      <c r="A10" s="153">
        <f>SUBTOTAL(103,B$4:B10)</f>
        <v>7</v>
      </c>
      <c r="B10" s="423" t="s">
        <v>478</v>
      </c>
      <c r="C10" s="169">
        <v>846</v>
      </c>
      <c r="D10" s="142">
        <f t="shared" si="0"/>
        <v>846</v>
      </c>
      <c r="E10" s="143">
        <f>SUM($D$3:D10)</f>
        <v>35898</v>
      </c>
      <c r="F10" s="155">
        <f t="shared" si="1"/>
        <v>7</v>
      </c>
    </row>
    <row r="11" spans="1:7" ht="19.5">
      <c r="A11" s="153">
        <f>SUBTOTAL(103,B$4:B11)</f>
        <v>8</v>
      </c>
      <c r="B11" s="423" t="s">
        <v>480</v>
      </c>
      <c r="C11" s="169">
        <v>3800</v>
      </c>
      <c r="D11" s="142">
        <f t="shared" si="0"/>
        <v>3800</v>
      </c>
      <c r="E11" s="143">
        <f>SUM($D$3:D11)</f>
        <v>39698</v>
      </c>
      <c r="F11" s="155">
        <f t="shared" si="1"/>
        <v>8</v>
      </c>
    </row>
    <row r="12" spans="1:7" ht="19.5" hidden="1">
      <c r="A12" s="153">
        <f>SUBTOTAL(103,B$4:B12)</f>
        <v>8</v>
      </c>
      <c r="B12" s="423"/>
      <c r="C12" s="169"/>
      <c r="D12" s="142">
        <f t="shared" si="0"/>
        <v>0</v>
      </c>
      <c r="E12" s="143">
        <f>SUM($D$3:D12)</f>
        <v>39698</v>
      </c>
      <c r="F12" s="155">
        <f t="shared" si="1"/>
        <v>8</v>
      </c>
    </row>
    <row r="13" spans="1:7" ht="19.5" hidden="1">
      <c r="A13" s="153">
        <f>SUBTOTAL(103,B$4:B13)</f>
        <v>8</v>
      </c>
      <c r="B13" s="423"/>
      <c r="C13" s="169"/>
      <c r="D13" s="142">
        <f t="shared" si="0"/>
        <v>0</v>
      </c>
      <c r="E13" s="143">
        <f>SUM($D$3:D13)</f>
        <v>39698</v>
      </c>
      <c r="F13" s="155">
        <f t="shared" si="1"/>
        <v>8</v>
      </c>
    </row>
    <row r="14" spans="1:7" ht="19.5" hidden="1">
      <c r="A14" s="153">
        <f>SUBTOTAL(103,B$4:B14)</f>
        <v>8</v>
      </c>
      <c r="B14" s="423"/>
      <c r="C14" s="169"/>
      <c r="D14" s="142">
        <f t="shared" si="0"/>
        <v>0</v>
      </c>
      <c r="E14" s="143">
        <f>SUM($D$3:D14)</f>
        <v>39698</v>
      </c>
      <c r="F14" s="155">
        <f t="shared" si="1"/>
        <v>8</v>
      </c>
    </row>
    <row r="15" spans="1:7" ht="19.5" hidden="1">
      <c r="A15" s="153">
        <f>SUBTOTAL(103,B$4:B15)</f>
        <v>8</v>
      </c>
      <c r="B15" s="126"/>
      <c r="C15" s="169"/>
      <c r="D15" s="142">
        <f t="shared" si="0"/>
        <v>0</v>
      </c>
      <c r="E15" s="143">
        <f>SUM($D$3:D15)</f>
        <v>39698</v>
      </c>
      <c r="F15" s="155">
        <f t="shared" si="1"/>
        <v>8</v>
      </c>
    </row>
    <row r="16" spans="1:7" ht="19.5" hidden="1">
      <c r="A16" s="153">
        <f>SUBTOTAL(103,B$4:B16)</f>
        <v>8</v>
      </c>
      <c r="B16" s="126"/>
      <c r="C16" s="169"/>
      <c r="D16" s="142">
        <f t="shared" si="0"/>
        <v>0</v>
      </c>
      <c r="E16" s="143">
        <f>SUM($D$3:D16)</f>
        <v>39698</v>
      </c>
      <c r="F16" s="155">
        <f t="shared" si="1"/>
        <v>8</v>
      </c>
    </row>
    <row r="17" spans="1:6" ht="19.5" hidden="1">
      <c r="A17" s="153">
        <f>SUBTOTAL(103,B$4:B17)</f>
        <v>8</v>
      </c>
      <c r="B17" s="126"/>
      <c r="C17" s="169"/>
      <c r="D17" s="142">
        <f t="shared" si="0"/>
        <v>0</v>
      </c>
      <c r="E17" s="143">
        <f>SUM($D$3:D17)</f>
        <v>39698</v>
      </c>
      <c r="F17" s="155">
        <f t="shared" si="1"/>
        <v>8</v>
      </c>
    </row>
    <row r="18" spans="1:6" ht="19.5" hidden="1">
      <c r="A18" s="153">
        <f>SUBTOTAL(103,B$4:B18)</f>
        <v>8</v>
      </c>
      <c r="B18" s="126"/>
      <c r="C18" s="169"/>
      <c r="D18" s="142">
        <f t="shared" si="0"/>
        <v>0</v>
      </c>
      <c r="E18" s="143">
        <f>SUM($D$3:D18)</f>
        <v>39698</v>
      </c>
      <c r="F18" s="155">
        <f t="shared" si="1"/>
        <v>8</v>
      </c>
    </row>
    <row r="19" spans="1:6" ht="19.5" hidden="1">
      <c r="A19" s="153">
        <f>SUBTOTAL(103,B$4:B19)</f>
        <v>8</v>
      </c>
      <c r="B19" s="364"/>
      <c r="C19" s="169"/>
      <c r="D19" s="142">
        <f t="shared" si="0"/>
        <v>0</v>
      </c>
      <c r="E19" s="143">
        <f>SUM($D$3:D19)</f>
        <v>39698</v>
      </c>
      <c r="F19" s="155">
        <f t="shared" si="1"/>
        <v>8</v>
      </c>
    </row>
    <row r="20" spans="1:6" ht="19.5" hidden="1">
      <c r="A20" s="153">
        <f>SUBTOTAL(103,B$4:B20)</f>
        <v>8</v>
      </c>
      <c r="B20" s="364"/>
      <c r="C20" s="169"/>
      <c r="D20" s="142">
        <f t="shared" si="0"/>
        <v>0</v>
      </c>
      <c r="E20" s="143">
        <f>SUM($D$3:D20)</f>
        <v>39698</v>
      </c>
      <c r="F20" s="155">
        <f t="shared" si="1"/>
        <v>8</v>
      </c>
    </row>
    <row r="21" spans="1:6" ht="19.5" hidden="1">
      <c r="A21" s="153">
        <f>SUBTOTAL(103,B$4:B21)</f>
        <v>8</v>
      </c>
      <c r="B21" s="364"/>
      <c r="C21" s="169"/>
      <c r="D21" s="142">
        <f t="shared" si="0"/>
        <v>0</v>
      </c>
      <c r="E21" s="143">
        <f>SUM($D$3:D21)</f>
        <v>39698</v>
      </c>
      <c r="F21" s="155">
        <f t="shared" si="1"/>
        <v>8</v>
      </c>
    </row>
    <row r="22" spans="1:6" ht="19.5" hidden="1">
      <c r="A22" s="153">
        <f>SUBTOTAL(103,B$4:B22)</f>
        <v>8</v>
      </c>
      <c r="B22" s="364"/>
      <c r="C22" s="169"/>
      <c r="D22" s="142">
        <f t="shared" si="0"/>
        <v>0</v>
      </c>
      <c r="E22" s="143">
        <f>SUM($D$3:D22)</f>
        <v>39698</v>
      </c>
      <c r="F22" s="155">
        <f t="shared" si="1"/>
        <v>8</v>
      </c>
    </row>
    <row r="23" spans="1:6" ht="19.5" hidden="1">
      <c r="A23" s="153">
        <f>SUBTOTAL(103,B$4:B23)</f>
        <v>8</v>
      </c>
      <c r="B23" s="364"/>
      <c r="C23" s="169"/>
      <c r="D23" s="142">
        <f t="shared" si="0"/>
        <v>0</v>
      </c>
      <c r="E23" s="143">
        <f>SUM($D$3:D23)</f>
        <v>39698</v>
      </c>
      <c r="F23" s="155">
        <f t="shared" si="1"/>
        <v>8</v>
      </c>
    </row>
    <row r="24" spans="1:6" ht="19.5" hidden="1">
      <c r="A24" s="153">
        <f>SUBTOTAL(103,B$4:B24)</f>
        <v>8</v>
      </c>
      <c r="B24" s="364"/>
      <c r="C24" s="169"/>
      <c r="D24" s="142">
        <f t="shared" si="0"/>
        <v>0</v>
      </c>
      <c r="E24" s="143">
        <f>SUM($D$3:D24)</f>
        <v>39698</v>
      </c>
      <c r="F24" s="155">
        <f t="shared" si="1"/>
        <v>8</v>
      </c>
    </row>
    <row r="25" spans="1:6" ht="19.5" hidden="1">
      <c r="A25" s="153">
        <f>SUBTOTAL(103,B$4:B25)</f>
        <v>8</v>
      </c>
      <c r="B25" s="364"/>
      <c r="C25" s="169"/>
      <c r="D25" s="142">
        <f t="shared" si="0"/>
        <v>0</v>
      </c>
      <c r="E25" s="143">
        <f>SUM($D$3:D25)</f>
        <v>39698</v>
      </c>
      <c r="F25" s="155">
        <f t="shared" si="1"/>
        <v>8</v>
      </c>
    </row>
    <row r="26" spans="1:6" ht="19.5" hidden="1">
      <c r="A26" s="153">
        <f>SUBTOTAL(103,B$4:B26)</f>
        <v>8</v>
      </c>
      <c r="B26" s="364"/>
      <c r="C26" s="169"/>
      <c r="D26" s="142">
        <f t="shared" si="0"/>
        <v>0</v>
      </c>
      <c r="E26" s="143">
        <f>SUM($D$3:D26)</f>
        <v>39698</v>
      </c>
      <c r="F26" s="155">
        <f t="shared" si="1"/>
        <v>8</v>
      </c>
    </row>
    <row r="27" spans="1:6" ht="19.5" hidden="1">
      <c r="A27" s="153">
        <f>SUBTOTAL(103,B$4:B27)</f>
        <v>8</v>
      </c>
      <c r="B27" s="364"/>
      <c r="C27" s="169"/>
      <c r="D27" s="142">
        <f t="shared" si="0"/>
        <v>0</v>
      </c>
      <c r="E27" s="143">
        <f>SUM($D$3:D27)</f>
        <v>39698</v>
      </c>
      <c r="F27" s="155">
        <f t="shared" si="1"/>
        <v>8</v>
      </c>
    </row>
    <row r="28" spans="1:6" ht="19.5" hidden="1">
      <c r="A28" s="153">
        <f>SUBTOTAL(103,B$4:B28)</f>
        <v>8</v>
      </c>
      <c r="B28" s="364"/>
      <c r="C28" s="169"/>
      <c r="D28" s="142">
        <f t="shared" si="0"/>
        <v>0</v>
      </c>
      <c r="E28" s="143">
        <f>SUM($D$3:D28)</f>
        <v>39698</v>
      </c>
      <c r="F28" s="155">
        <f t="shared" si="1"/>
        <v>8</v>
      </c>
    </row>
    <row r="29" spans="1:6" ht="19.5" hidden="1">
      <c r="A29" s="153">
        <f>SUBTOTAL(103,B$4:B29)</f>
        <v>8</v>
      </c>
      <c r="B29" s="364"/>
      <c r="C29" s="169"/>
      <c r="D29" s="142">
        <f t="shared" si="0"/>
        <v>0</v>
      </c>
      <c r="E29" s="143">
        <f>SUM($D$3:D29)</f>
        <v>39698</v>
      </c>
      <c r="F29" s="155">
        <f t="shared" si="1"/>
        <v>8</v>
      </c>
    </row>
    <row r="30" spans="1:6" ht="19.5" hidden="1">
      <c r="A30" s="153">
        <f>SUBTOTAL(103,B$4:B30)</f>
        <v>8</v>
      </c>
      <c r="B30" s="364"/>
      <c r="C30" s="169"/>
      <c r="D30" s="142">
        <f t="shared" si="0"/>
        <v>0</v>
      </c>
      <c r="E30" s="143">
        <f>SUM($D$3:D30)</f>
        <v>39698</v>
      </c>
      <c r="F30" s="155">
        <f t="shared" si="1"/>
        <v>8</v>
      </c>
    </row>
    <row r="31" spans="1:6" ht="19.5" hidden="1">
      <c r="A31" s="153">
        <f>SUBTOTAL(103,B$4:B31)</f>
        <v>8</v>
      </c>
      <c r="B31" s="364"/>
      <c r="C31" s="169"/>
      <c r="D31" s="142">
        <f t="shared" si="0"/>
        <v>0</v>
      </c>
      <c r="E31" s="143">
        <f>SUM($D$3:D31)</f>
        <v>39698</v>
      </c>
      <c r="F31" s="155">
        <f t="shared" si="1"/>
        <v>8</v>
      </c>
    </row>
    <row r="32" spans="1:6" ht="19.5" hidden="1">
      <c r="A32" s="153">
        <f>SUBTOTAL(103,B$4:B32)</f>
        <v>8</v>
      </c>
      <c r="B32" s="364"/>
      <c r="C32" s="169"/>
      <c r="D32" s="142">
        <f t="shared" si="0"/>
        <v>0</v>
      </c>
      <c r="E32" s="143">
        <f>SUM($D$3:D32)</f>
        <v>39698</v>
      </c>
      <c r="F32" s="155">
        <f t="shared" si="1"/>
        <v>8</v>
      </c>
    </row>
    <row r="33" spans="1:6" ht="19.5" hidden="1">
      <c r="A33" s="153">
        <f>SUBTOTAL(103,B$4:B33)</f>
        <v>8</v>
      </c>
      <c r="B33" s="364"/>
      <c r="C33" s="169"/>
      <c r="D33" s="142">
        <f t="shared" si="0"/>
        <v>0</v>
      </c>
      <c r="E33" s="143">
        <f>SUM($D$3:D33)</f>
        <v>39698</v>
      </c>
      <c r="F33" s="155">
        <f t="shared" si="1"/>
        <v>8</v>
      </c>
    </row>
    <row r="34" spans="1:6" ht="19.5" hidden="1">
      <c r="A34" s="153">
        <f>SUBTOTAL(103,B$4:B34)</f>
        <v>8</v>
      </c>
      <c r="B34" s="364"/>
      <c r="C34" s="169"/>
      <c r="D34" s="142">
        <f t="shared" si="0"/>
        <v>0</v>
      </c>
      <c r="E34" s="143">
        <f>SUM($D$3:D34)</f>
        <v>39698</v>
      </c>
      <c r="F34" s="155">
        <f t="shared" si="1"/>
        <v>8</v>
      </c>
    </row>
    <row r="35" spans="1:6" ht="19.5" hidden="1">
      <c r="A35" s="153">
        <f>SUBTOTAL(103,B$4:B35)</f>
        <v>8</v>
      </c>
      <c r="B35" s="364"/>
      <c r="C35" s="169"/>
      <c r="D35" s="142">
        <f t="shared" si="0"/>
        <v>0</v>
      </c>
      <c r="E35" s="143">
        <f>SUM($D$3:D35)</f>
        <v>39698</v>
      </c>
      <c r="F35" s="155">
        <f t="shared" si="1"/>
        <v>8</v>
      </c>
    </row>
    <row r="36" spans="1:6" ht="19.5" hidden="1">
      <c r="A36" s="153">
        <f>SUBTOTAL(103,B$4:B36)</f>
        <v>8</v>
      </c>
      <c r="B36" s="364"/>
      <c r="C36" s="169"/>
      <c r="D36" s="142">
        <f t="shared" si="0"/>
        <v>0</v>
      </c>
      <c r="E36" s="143">
        <f>SUM($D$3:D36)</f>
        <v>39698</v>
      </c>
      <c r="F36" s="155">
        <f t="shared" si="1"/>
        <v>8</v>
      </c>
    </row>
    <row r="37" spans="1:6" ht="19.5" hidden="1">
      <c r="A37" s="153">
        <f>SUBTOTAL(103,B$4:B37)</f>
        <v>8</v>
      </c>
      <c r="B37" s="364"/>
      <c r="C37" s="169"/>
      <c r="D37" s="142">
        <f t="shared" si="0"/>
        <v>0</v>
      </c>
      <c r="E37" s="143">
        <f>SUM($D$3:D37)</f>
        <v>39698</v>
      </c>
      <c r="F37" s="155">
        <f t="shared" si="1"/>
        <v>8</v>
      </c>
    </row>
    <row r="38" spans="1:6" ht="19.5" hidden="1">
      <c r="A38" s="153">
        <f>SUBTOTAL(103,B$4:B38)</f>
        <v>8</v>
      </c>
      <c r="B38" s="364"/>
      <c r="C38" s="169"/>
      <c r="D38" s="142">
        <f t="shared" si="0"/>
        <v>0</v>
      </c>
      <c r="E38" s="143">
        <f>SUM($D$3:D38)</f>
        <v>39698</v>
      </c>
      <c r="F38" s="155">
        <f t="shared" si="1"/>
        <v>8</v>
      </c>
    </row>
    <row r="39" spans="1:6" ht="19.5" hidden="1">
      <c r="A39" s="153">
        <f>SUBTOTAL(103,B$4:B39)</f>
        <v>8</v>
      </c>
      <c r="B39" s="364"/>
      <c r="C39" s="169"/>
      <c r="D39" s="142">
        <f t="shared" si="0"/>
        <v>0</v>
      </c>
      <c r="E39" s="143">
        <f>SUM($D$3:D39)</f>
        <v>39698</v>
      </c>
      <c r="F39" s="155">
        <f t="shared" si="1"/>
        <v>8</v>
      </c>
    </row>
    <row r="40" spans="1:6" ht="19.5" hidden="1">
      <c r="A40" s="153">
        <f>SUBTOTAL(103,B$4:B40)</f>
        <v>8</v>
      </c>
      <c r="B40" s="364"/>
      <c r="C40" s="169"/>
      <c r="D40" s="142">
        <f t="shared" si="0"/>
        <v>0</v>
      </c>
      <c r="E40" s="143">
        <f>SUM($D$3:D40)</f>
        <v>39698</v>
      </c>
      <c r="F40" s="155">
        <f t="shared" si="1"/>
        <v>8</v>
      </c>
    </row>
    <row r="41" spans="1:6" ht="19.5" hidden="1">
      <c r="A41" s="153">
        <f>SUBTOTAL(103,B$4:B41)</f>
        <v>8</v>
      </c>
      <c r="B41" s="364"/>
      <c r="C41" s="169"/>
      <c r="D41" s="142">
        <f t="shared" si="0"/>
        <v>0</v>
      </c>
      <c r="E41" s="143">
        <f>SUM($D$3:D41)</f>
        <v>39698</v>
      </c>
      <c r="F41" s="155">
        <f t="shared" si="1"/>
        <v>8</v>
      </c>
    </row>
    <row r="42" spans="1:6" ht="19.5" hidden="1">
      <c r="A42" s="153">
        <f>SUBTOTAL(103,B$4:B42)</f>
        <v>8</v>
      </c>
      <c r="B42" s="364"/>
      <c r="C42" s="169"/>
      <c r="D42" s="142">
        <f t="shared" si="0"/>
        <v>0</v>
      </c>
      <c r="E42" s="143">
        <f>SUM($D$3:D42)</f>
        <v>39698</v>
      </c>
      <c r="F42" s="155">
        <f t="shared" si="1"/>
        <v>8</v>
      </c>
    </row>
    <row r="43" spans="1:6" ht="19.5" hidden="1">
      <c r="A43" s="153">
        <f>SUBTOTAL(103,B$4:B43)</f>
        <v>8</v>
      </c>
      <c r="B43" s="364"/>
      <c r="C43" s="169"/>
      <c r="D43" s="142">
        <f t="shared" si="0"/>
        <v>0</v>
      </c>
      <c r="E43" s="143">
        <f>SUM($D$3:D43)</f>
        <v>39698</v>
      </c>
      <c r="F43" s="155">
        <f t="shared" si="1"/>
        <v>8</v>
      </c>
    </row>
    <row r="44" spans="1:6" ht="19.5" hidden="1">
      <c r="A44" s="153">
        <f>SUBTOTAL(103,B$4:B44)</f>
        <v>8</v>
      </c>
      <c r="B44" s="364"/>
      <c r="C44" s="169"/>
      <c r="D44" s="142">
        <f t="shared" si="0"/>
        <v>0</v>
      </c>
      <c r="E44" s="143">
        <f>SUM($D$3:D44)</f>
        <v>39698</v>
      </c>
      <c r="F44" s="155">
        <f t="shared" si="1"/>
        <v>8</v>
      </c>
    </row>
    <row r="45" spans="1:6" ht="19.5" hidden="1">
      <c r="A45" s="153">
        <f>SUBTOTAL(103,B$4:B45)</f>
        <v>8</v>
      </c>
      <c r="B45" s="364"/>
      <c r="C45" s="169"/>
      <c r="D45" s="142">
        <f t="shared" si="0"/>
        <v>0</v>
      </c>
      <c r="E45" s="143">
        <f>SUM($D$3:D45)</f>
        <v>39698</v>
      </c>
      <c r="F45" s="155">
        <f t="shared" si="1"/>
        <v>8</v>
      </c>
    </row>
    <row r="46" spans="1:6" ht="19.5" hidden="1">
      <c r="A46" s="153">
        <f>SUBTOTAL(103,B$4:B46)</f>
        <v>8</v>
      </c>
      <c r="B46" s="364"/>
      <c r="C46" s="169"/>
      <c r="D46" s="142">
        <f t="shared" si="0"/>
        <v>0</v>
      </c>
      <c r="E46" s="143">
        <f>SUM($D$3:D46)</f>
        <v>39698</v>
      </c>
      <c r="F46" s="155">
        <f t="shared" si="1"/>
        <v>8</v>
      </c>
    </row>
    <row r="47" spans="1:6" ht="19.5" hidden="1">
      <c r="A47" s="153">
        <f>SUBTOTAL(103,B$4:B47)</f>
        <v>8</v>
      </c>
      <c r="B47" s="364"/>
      <c r="C47" s="169"/>
      <c r="D47" s="142">
        <f t="shared" si="0"/>
        <v>0</v>
      </c>
      <c r="E47" s="143">
        <f>SUM($D$3:D47)</f>
        <v>39698</v>
      </c>
      <c r="F47" s="155">
        <f t="shared" si="1"/>
        <v>8</v>
      </c>
    </row>
    <row r="48" spans="1:6" ht="19.5" hidden="1">
      <c r="A48" s="153">
        <f>SUBTOTAL(103,B$4:B48)</f>
        <v>8</v>
      </c>
      <c r="B48" s="364"/>
      <c r="C48" s="169"/>
      <c r="D48" s="142">
        <f t="shared" si="0"/>
        <v>0</v>
      </c>
      <c r="E48" s="143">
        <f>SUM($D$3:D48)</f>
        <v>39698</v>
      </c>
      <c r="F48" s="155">
        <f t="shared" si="1"/>
        <v>8</v>
      </c>
    </row>
    <row r="49" spans="1:6" ht="19.5" hidden="1">
      <c r="A49" s="153">
        <f>SUBTOTAL(103,B$4:B49)</f>
        <v>8</v>
      </c>
      <c r="B49" s="364"/>
      <c r="C49" s="169"/>
      <c r="D49" s="142">
        <f t="shared" si="0"/>
        <v>0</v>
      </c>
      <c r="E49" s="143">
        <f>SUM($D$3:D49)</f>
        <v>39698</v>
      </c>
      <c r="F49" s="155">
        <f t="shared" si="1"/>
        <v>8</v>
      </c>
    </row>
    <row r="50" spans="1:6" ht="19.5" hidden="1">
      <c r="A50" s="153">
        <f>SUBTOTAL(103,B$4:B50)</f>
        <v>8</v>
      </c>
      <c r="B50" s="126"/>
      <c r="C50" s="169"/>
      <c r="D50" s="142">
        <f t="shared" si="0"/>
        <v>0</v>
      </c>
      <c r="E50" s="143">
        <f>SUM($D$3:D50)</f>
        <v>39698</v>
      </c>
      <c r="F50" s="155">
        <f t="shared" si="1"/>
        <v>8</v>
      </c>
    </row>
    <row r="51" spans="1:6" ht="19.5">
      <c r="A51" s="153"/>
      <c r="B51" s="135" t="s">
        <v>233</v>
      </c>
      <c r="C51" s="136">
        <f>SUM(C4:C50)</f>
        <v>39698</v>
      </c>
    </row>
    <row r="52" spans="1:6" ht="19.5">
      <c r="A52" s="505" t="s">
        <v>521</v>
      </c>
      <c r="B52" s="506"/>
      <c r="C52" s="507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D55" sqref="D55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1" t="s">
        <v>235</v>
      </c>
      <c r="B1" s="501"/>
      <c r="C1" s="501"/>
      <c r="G1" s="127">
        <f>P!P3</f>
        <v>45968</v>
      </c>
    </row>
    <row r="2" spans="1:7" ht="31.5" customHeight="1">
      <c r="A2" s="508" t="s">
        <v>498</v>
      </c>
      <c r="B2" s="508"/>
      <c r="C2" s="508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1</v>
      </c>
      <c r="B4" s="411" t="s">
        <v>474</v>
      </c>
      <c r="C4" s="169">
        <v>1842</v>
      </c>
      <c r="D4" s="130">
        <f t="shared" ref="D4:D50" si="0">C4</f>
        <v>1842</v>
      </c>
      <c r="E4" s="143">
        <f>SUM($D$3:D4)</f>
        <v>1842</v>
      </c>
      <c r="F4" s="158">
        <f>A4</f>
        <v>1</v>
      </c>
    </row>
    <row r="5" spans="1:7">
      <c r="A5" s="153">
        <f>SUBTOTAL(103,B$4:B5)</f>
        <v>2</v>
      </c>
      <c r="B5" s="411" t="s">
        <v>477</v>
      </c>
      <c r="C5" s="169">
        <v>2574</v>
      </c>
      <c r="D5" s="130">
        <f t="shared" si="0"/>
        <v>2574</v>
      </c>
      <c r="E5" s="143">
        <f>SUM($D$3:D5)</f>
        <v>4416</v>
      </c>
      <c r="F5" s="158">
        <f t="shared" ref="F5:F16" si="1">A5</f>
        <v>2</v>
      </c>
    </row>
    <row r="6" spans="1:7">
      <c r="A6" s="153">
        <f>SUBTOTAL(103,B$4:B6)</f>
        <v>3</v>
      </c>
      <c r="B6" s="411" t="s">
        <v>476</v>
      </c>
      <c r="C6" s="169">
        <v>1822</v>
      </c>
      <c r="D6" s="130">
        <f t="shared" si="0"/>
        <v>1822</v>
      </c>
      <c r="E6" s="143">
        <f>SUM($D$3:D6)</f>
        <v>6238</v>
      </c>
      <c r="F6" s="158">
        <f t="shared" si="1"/>
        <v>3</v>
      </c>
    </row>
    <row r="7" spans="1:7">
      <c r="A7" s="153">
        <f>SUBTOTAL(103,B$4:B7)</f>
        <v>4</v>
      </c>
      <c r="B7" s="411" t="s">
        <v>480</v>
      </c>
      <c r="C7" s="169">
        <v>1400</v>
      </c>
      <c r="D7" s="130">
        <f t="shared" si="0"/>
        <v>1400</v>
      </c>
      <c r="E7" s="143">
        <f>SUM($D$3:D7)</f>
        <v>7638</v>
      </c>
      <c r="F7" s="158">
        <f t="shared" si="1"/>
        <v>4</v>
      </c>
    </row>
    <row r="8" spans="1:7" hidden="1">
      <c r="A8" s="153">
        <f>SUBTOTAL(103,B$4:B8)</f>
        <v>4</v>
      </c>
      <c r="B8" s="411"/>
      <c r="C8" s="169"/>
      <c r="D8" s="130">
        <f t="shared" si="0"/>
        <v>0</v>
      </c>
      <c r="E8" s="143">
        <f>SUM($D$3:D8)</f>
        <v>7638</v>
      </c>
      <c r="F8" s="158">
        <f t="shared" si="1"/>
        <v>4</v>
      </c>
    </row>
    <row r="9" spans="1:7" hidden="1">
      <c r="A9" s="153">
        <f>SUBTOTAL(103,B$4:B9)</f>
        <v>4</v>
      </c>
      <c r="B9" s="411"/>
      <c r="C9" s="169"/>
      <c r="D9" s="130">
        <f t="shared" si="0"/>
        <v>0</v>
      </c>
      <c r="E9" s="143">
        <f>SUM($D$3:D9)</f>
        <v>7638</v>
      </c>
      <c r="F9" s="158">
        <f t="shared" si="1"/>
        <v>4</v>
      </c>
    </row>
    <row r="10" spans="1:7" hidden="1">
      <c r="A10" s="153">
        <f>SUBTOTAL(103,B$4:B10)</f>
        <v>4</v>
      </c>
      <c r="B10" s="411"/>
      <c r="C10" s="169"/>
      <c r="D10" s="130">
        <f t="shared" si="0"/>
        <v>0</v>
      </c>
      <c r="E10" s="143">
        <f>SUM($D$3:D10)</f>
        <v>7638</v>
      </c>
      <c r="F10" s="158">
        <f t="shared" si="1"/>
        <v>4</v>
      </c>
    </row>
    <row r="11" spans="1:7" hidden="1">
      <c r="A11" s="153">
        <f>SUBTOTAL(103,B$4:B11)</f>
        <v>4</v>
      </c>
      <c r="B11" s="126"/>
      <c r="C11" s="169"/>
      <c r="D11" s="130">
        <f t="shared" si="0"/>
        <v>0</v>
      </c>
      <c r="E11" s="143">
        <f>SUM($D$3:D11)</f>
        <v>7638</v>
      </c>
      <c r="F11" s="158">
        <f t="shared" si="1"/>
        <v>4</v>
      </c>
    </row>
    <row r="12" spans="1:7" hidden="1">
      <c r="A12" s="153">
        <f>SUBTOTAL(103,B$4:B12)</f>
        <v>4</v>
      </c>
      <c r="B12" s="126"/>
      <c r="C12" s="169"/>
      <c r="D12" s="130">
        <f t="shared" si="0"/>
        <v>0</v>
      </c>
      <c r="E12" s="143">
        <f>SUM($D$3:D12)</f>
        <v>7638</v>
      </c>
      <c r="F12" s="158">
        <f t="shared" si="1"/>
        <v>4</v>
      </c>
    </row>
    <row r="13" spans="1:7" hidden="1">
      <c r="A13" s="153">
        <f>SUBTOTAL(103,B$4:B13)</f>
        <v>4</v>
      </c>
      <c r="B13" s="362"/>
      <c r="C13" s="169"/>
      <c r="D13" s="130">
        <f t="shared" si="0"/>
        <v>0</v>
      </c>
      <c r="E13" s="143">
        <f>SUM($D$3:D13)</f>
        <v>7638</v>
      </c>
      <c r="F13" s="158">
        <f t="shared" si="1"/>
        <v>4</v>
      </c>
    </row>
    <row r="14" spans="1:7" hidden="1">
      <c r="A14" s="153">
        <f>SUBTOTAL(103,B$4:B14)</f>
        <v>4</v>
      </c>
      <c r="B14" s="126"/>
      <c r="C14" s="169"/>
      <c r="D14" s="130">
        <f t="shared" si="0"/>
        <v>0</v>
      </c>
      <c r="E14" s="143">
        <f>SUM($D$3:D14)</f>
        <v>7638</v>
      </c>
      <c r="F14" s="158">
        <f t="shared" si="1"/>
        <v>4</v>
      </c>
    </row>
    <row r="15" spans="1:7" hidden="1">
      <c r="A15" s="153">
        <f>SUBTOTAL(103,B$4:B15)</f>
        <v>4</v>
      </c>
      <c r="B15" s="170"/>
      <c r="C15" s="136"/>
      <c r="D15" s="130">
        <f t="shared" si="0"/>
        <v>0</v>
      </c>
      <c r="E15" s="143">
        <f>SUM($D$3:D15)</f>
        <v>7638</v>
      </c>
      <c r="F15" s="158">
        <f t="shared" si="1"/>
        <v>4</v>
      </c>
    </row>
    <row r="16" spans="1:7" hidden="1">
      <c r="A16" s="153">
        <f>SUBTOTAL(103,B$4:B16)</f>
        <v>4</v>
      </c>
      <c r="B16" s="126"/>
      <c r="C16" s="169"/>
      <c r="D16" s="130">
        <f t="shared" si="0"/>
        <v>0</v>
      </c>
      <c r="E16" s="143">
        <f>SUM($D$3:D16)</f>
        <v>7638</v>
      </c>
      <c r="F16" s="158">
        <f t="shared" si="1"/>
        <v>4</v>
      </c>
    </row>
    <row r="17" spans="1:6" hidden="1">
      <c r="A17" s="153">
        <f>SUBTOTAL(103,B$4:B17)</f>
        <v>4</v>
      </c>
      <c r="B17" s="126"/>
      <c r="C17" s="169"/>
      <c r="D17" s="130">
        <f t="shared" si="0"/>
        <v>0</v>
      </c>
      <c r="E17" s="143">
        <f>SUM($D$3:D17)</f>
        <v>7638</v>
      </c>
      <c r="F17" s="158">
        <f t="shared" ref="F17:F50" si="2">A17</f>
        <v>4</v>
      </c>
    </row>
    <row r="18" spans="1:6" hidden="1">
      <c r="A18" s="153">
        <f>SUBTOTAL(103,B$4:B18)</f>
        <v>4</v>
      </c>
      <c r="B18" s="126"/>
      <c r="C18" s="169"/>
      <c r="D18" s="130">
        <f t="shared" si="0"/>
        <v>0</v>
      </c>
      <c r="E18" s="143">
        <f>SUM($D$3:D18)</f>
        <v>7638</v>
      </c>
      <c r="F18" s="158">
        <f t="shared" si="2"/>
        <v>4</v>
      </c>
    </row>
    <row r="19" spans="1:6" hidden="1">
      <c r="A19" s="153">
        <f>SUBTOTAL(103,B$4:B19)</f>
        <v>4</v>
      </c>
      <c r="B19" s="126"/>
      <c r="C19" s="169"/>
      <c r="D19" s="130">
        <f t="shared" si="0"/>
        <v>0</v>
      </c>
      <c r="E19" s="143">
        <f>SUM($D$3:D19)</f>
        <v>7638</v>
      </c>
      <c r="F19" s="158">
        <f t="shared" si="2"/>
        <v>4</v>
      </c>
    </row>
    <row r="20" spans="1:6" hidden="1">
      <c r="A20" s="153">
        <f>SUBTOTAL(103,B$4:B20)</f>
        <v>4</v>
      </c>
      <c r="B20" s="126"/>
      <c r="C20" s="169"/>
      <c r="D20" s="130">
        <f t="shared" si="0"/>
        <v>0</v>
      </c>
      <c r="E20" s="143">
        <f>SUM($D$3:D20)</f>
        <v>7638</v>
      </c>
      <c r="F20" s="158">
        <f t="shared" si="2"/>
        <v>4</v>
      </c>
    </row>
    <row r="21" spans="1:6" hidden="1">
      <c r="A21" s="153">
        <f>SUBTOTAL(103,B$4:B21)</f>
        <v>4</v>
      </c>
      <c r="B21" s="126"/>
      <c r="C21" s="169"/>
      <c r="D21" s="130">
        <f t="shared" si="0"/>
        <v>0</v>
      </c>
      <c r="E21" s="143">
        <f>SUM($D$3:D21)</f>
        <v>7638</v>
      </c>
      <c r="F21" s="158">
        <f t="shared" si="2"/>
        <v>4</v>
      </c>
    </row>
    <row r="22" spans="1:6" hidden="1">
      <c r="A22" s="153">
        <f>SUBTOTAL(103,B$4:B22)</f>
        <v>4</v>
      </c>
      <c r="B22" s="126"/>
      <c r="C22" s="169"/>
      <c r="D22" s="130">
        <f t="shared" si="0"/>
        <v>0</v>
      </c>
      <c r="E22" s="143">
        <f>SUM($D$3:D22)</f>
        <v>7638</v>
      </c>
      <c r="F22" s="158">
        <f t="shared" si="2"/>
        <v>4</v>
      </c>
    </row>
    <row r="23" spans="1:6" hidden="1">
      <c r="A23" s="153">
        <f>SUBTOTAL(103,B$4:B23)</f>
        <v>4</v>
      </c>
      <c r="B23" s="126"/>
      <c r="C23" s="169"/>
      <c r="D23" s="130">
        <f t="shared" si="0"/>
        <v>0</v>
      </c>
      <c r="E23" s="143">
        <f>SUM($D$3:D23)</f>
        <v>7638</v>
      </c>
      <c r="F23" s="158">
        <f t="shared" si="2"/>
        <v>4</v>
      </c>
    </row>
    <row r="24" spans="1:6" hidden="1">
      <c r="A24" s="153">
        <f>SUBTOTAL(103,B$4:B24)</f>
        <v>4</v>
      </c>
      <c r="B24" s="126"/>
      <c r="C24" s="169"/>
      <c r="D24" s="130">
        <f t="shared" si="0"/>
        <v>0</v>
      </c>
      <c r="E24" s="143">
        <f>SUM($D$3:D24)</f>
        <v>7638</v>
      </c>
      <c r="F24" s="158">
        <f t="shared" si="2"/>
        <v>4</v>
      </c>
    </row>
    <row r="25" spans="1:6" hidden="1">
      <c r="A25" s="153">
        <f>SUBTOTAL(103,B$4:B25)</f>
        <v>4</v>
      </c>
      <c r="B25" s="126"/>
      <c r="C25" s="169"/>
      <c r="D25" s="130">
        <f t="shared" si="0"/>
        <v>0</v>
      </c>
      <c r="E25" s="143">
        <f>SUM($D$3:D25)</f>
        <v>7638</v>
      </c>
      <c r="F25" s="158">
        <f t="shared" si="2"/>
        <v>4</v>
      </c>
    </row>
    <row r="26" spans="1:6" hidden="1">
      <c r="A26" s="153">
        <f>SUBTOTAL(103,B$4:B26)</f>
        <v>4</v>
      </c>
      <c r="B26" s="126"/>
      <c r="C26" s="169"/>
      <c r="D26" s="130">
        <f t="shared" si="0"/>
        <v>0</v>
      </c>
      <c r="E26" s="143">
        <f>SUM($D$3:D26)</f>
        <v>7638</v>
      </c>
      <c r="F26" s="158">
        <f t="shared" si="2"/>
        <v>4</v>
      </c>
    </row>
    <row r="27" spans="1:6" hidden="1">
      <c r="A27" s="153">
        <f>SUBTOTAL(103,B$4:B27)</f>
        <v>4</v>
      </c>
      <c r="B27" s="126"/>
      <c r="C27" s="169"/>
      <c r="D27" s="130">
        <f t="shared" si="0"/>
        <v>0</v>
      </c>
      <c r="E27" s="143">
        <f>SUM($D$3:D27)</f>
        <v>7638</v>
      </c>
      <c r="F27" s="158">
        <f t="shared" si="2"/>
        <v>4</v>
      </c>
    </row>
    <row r="28" spans="1:6" hidden="1">
      <c r="A28" s="153">
        <f>SUBTOTAL(103,B$4:B28)</f>
        <v>4</v>
      </c>
      <c r="B28" s="126"/>
      <c r="C28" s="169"/>
      <c r="D28" s="130">
        <f t="shared" si="0"/>
        <v>0</v>
      </c>
      <c r="E28" s="143">
        <f>SUM($D$3:D28)</f>
        <v>7638</v>
      </c>
      <c r="F28" s="158">
        <f t="shared" si="2"/>
        <v>4</v>
      </c>
    </row>
    <row r="29" spans="1:6" hidden="1">
      <c r="A29" s="153">
        <f>SUBTOTAL(103,B$4:B29)</f>
        <v>4</v>
      </c>
      <c r="B29" s="126"/>
      <c r="C29" s="169"/>
      <c r="D29" s="130">
        <f t="shared" si="0"/>
        <v>0</v>
      </c>
      <c r="E29" s="143">
        <f>SUM($D$3:D29)</f>
        <v>7638</v>
      </c>
      <c r="F29" s="158">
        <f t="shared" si="2"/>
        <v>4</v>
      </c>
    </row>
    <row r="30" spans="1:6" hidden="1">
      <c r="A30" s="153">
        <f>SUBTOTAL(103,B$4:B30)</f>
        <v>4</v>
      </c>
      <c r="B30" s="126"/>
      <c r="C30" s="169"/>
      <c r="D30" s="130">
        <f t="shared" si="0"/>
        <v>0</v>
      </c>
      <c r="E30" s="143">
        <f>SUM($D$3:D30)</f>
        <v>7638</v>
      </c>
      <c r="F30" s="158">
        <f t="shared" si="2"/>
        <v>4</v>
      </c>
    </row>
    <row r="31" spans="1:6" hidden="1">
      <c r="A31" s="153">
        <f>SUBTOTAL(103,B$4:B31)</f>
        <v>4</v>
      </c>
      <c r="B31" s="126"/>
      <c r="C31" s="169"/>
      <c r="D31" s="130">
        <f t="shared" si="0"/>
        <v>0</v>
      </c>
      <c r="E31" s="143">
        <f>SUM($D$3:D31)</f>
        <v>7638</v>
      </c>
      <c r="F31" s="158">
        <f t="shared" si="2"/>
        <v>4</v>
      </c>
    </row>
    <row r="32" spans="1:6" hidden="1">
      <c r="A32" s="153">
        <f>SUBTOTAL(103,B$4:B32)</f>
        <v>4</v>
      </c>
      <c r="B32" s="126"/>
      <c r="C32" s="169"/>
      <c r="D32" s="130">
        <f t="shared" si="0"/>
        <v>0</v>
      </c>
      <c r="E32" s="143">
        <f>SUM($D$3:D32)</f>
        <v>7638</v>
      </c>
      <c r="F32" s="158">
        <f t="shared" si="2"/>
        <v>4</v>
      </c>
    </row>
    <row r="33" spans="1:6" hidden="1">
      <c r="A33" s="153">
        <f>SUBTOTAL(103,B$4:B33)</f>
        <v>4</v>
      </c>
      <c r="B33" s="126"/>
      <c r="C33" s="169"/>
      <c r="D33" s="130">
        <f t="shared" si="0"/>
        <v>0</v>
      </c>
      <c r="E33" s="143">
        <f>SUM($D$3:D33)</f>
        <v>7638</v>
      </c>
      <c r="F33" s="158">
        <f t="shared" si="2"/>
        <v>4</v>
      </c>
    </row>
    <row r="34" spans="1:6" hidden="1">
      <c r="A34" s="153">
        <f>SUBTOTAL(103,B$4:B34)</f>
        <v>4</v>
      </c>
      <c r="B34" s="126"/>
      <c r="C34" s="169"/>
      <c r="D34" s="130">
        <f t="shared" si="0"/>
        <v>0</v>
      </c>
      <c r="E34" s="143">
        <f>SUM($D$3:D34)</f>
        <v>7638</v>
      </c>
      <c r="F34" s="158">
        <f t="shared" si="2"/>
        <v>4</v>
      </c>
    </row>
    <row r="35" spans="1:6" hidden="1">
      <c r="A35" s="153">
        <f>SUBTOTAL(103,B$4:B35)</f>
        <v>4</v>
      </c>
      <c r="B35" s="126"/>
      <c r="C35" s="169"/>
      <c r="D35" s="130">
        <f t="shared" si="0"/>
        <v>0</v>
      </c>
      <c r="E35" s="143">
        <f>SUM($D$3:D35)</f>
        <v>7638</v>
      </c>
      <c r="F35" s="158">
        <f t="shared" si="2"/>
        <v>4</v>
      </c>
    </row>
    <row r="36" spans="1:6" hidden="1">
      <c r="A36" s="153">
        <f>SUBTOTAL(103,B$4:B36)</f>
        <v>4</v>
      </c>
      <c r="B36" s="126"/>
      <c r="C36" s="169"/>
      <c r="D36" s="130">
        <f t="shared" si="0"/>
        <v>0</v>
      </c>
      <c r="E36" s="143">
        <f>SUM($D$3:D36)</f>
        <v>7638</v>
      </c>
      <c r="F36" s="158">
        <f t="shared" si="2"/>
        <v>4</v>
      </c>
    </row>
    <row r="37" spans="1:6" hidden="1">
      <c r="A37" s="153">
        <f>SUBTOTAL(103,B$4:B37)</f>
        <v>4</v>
      </c>
      <c r="B37" s="126"/>
      <c r="C37" s="169"/>
      <c r="D37" s="130">
        <f t="shared" si="0"/>
        <v>0</v>
      </c>
      <c r="E37" s="143">
        <f>SUM($D$3:D37)</f>
        <v>7638</v>
      </c>
      <c r="F37" s="158">
        <f t="shared" si="2"/>
        <v>4</v>
      </c>
    </row>
    <row r="38" spans="1:6" hidden="1">
      <c r="A38" s="153">
        <f>SUBTOTAL(103,B$4:B38)</f>
        <v>4</v>
      </c>
      <c r="B38" s="126"/>
      <c r="C38" s="169"/>
      <c r="D38" s="130">
        <f t="shared" si="0"/>
        <v>0</v>
      </c>
      <c r="E38" s="143">
        <f>SUM($D$3:D38)</f>
        <v>7638</v>
      </c>
      <c r="F38" s="158">
        <f t="shared" si="2"/>
        <v>4</v>
      </c>
    </row>
    <row r="39" spans="1:6" hidden="1">
      <c r="A39" s="153">
        <f>SUBTOTAL(103,B$4:B39)</f>
        <v>4</v>
      </c>
      <c r="B39" s="364"/>
      <c r="C39" s="169"/>
      <c r="D39" s="130">
        <f t="shared" si="0"/>
        <v>0</v>
      </c>
      <c r="E39" s="143">
        <f>SUM($D$3:D39)</f>
        <v>7638</v>
      </c>
      <c r="F39" s="158">
        <f t="shared" si="2"/>
        <v>4</v>
      </c>
    </row>
    <row r="40" spans="1:6" hidden="1">
      <c r="A40" s="153">
        <f>SUBTOTAL(103,B$4:B40)</f>
        <v>4</v>
      </c>
      <c r="B40" s="364"/>
      <c r="C40" s="169"/>
      <c r="D40" s="130">
        <f t="shared" si="0"/>
        <v>0</v>
      </c>
      <c r="E40" s="143">
        <f>SUM($D$3:D40)</f>
        <v>7638</v>
      </c>
      <c r="F40" s="158">
        <f t="shared" si="2"/>
        <v>4</v>
      </c>
    </row>
    <row r="41" spans="1:6" hidden="1">
      <c r="A41" s="153">
        <f>SUBTOTAL(103,B$4:B41)</f>
        <v>4</v>
      </c>
      <c r="B41" s="364"/>
      <c r="C41" s="169"/>
      <c r="D41" s="130">
        <f t="shared" si="0"/>
        <v>0</v>
      </c>
      <c r="E41" s="143">
        <f>SUM($D$3:D41)</f>
        <v>7638</v>
      </c>
      <c r="F41" s="158">
        <f t="shared" si="2"/>
        <v>4</v>
      </c>
    </row>
    <row r="42" spans="1:6" hidden="1">
      <c r="A42" s="153">
        <f>SUBTOTAL(103,B$4:B42)</f>
        <v>4</v>
      </c>
      <c r="B42" s="364"/>
      <c r="C42" s="169"/>
      <c r="D42" s="130">
        <f t="shared" si="0"/>
        <v>0</v>
      </c>
      <c r="E42" s="143">
        <f>SUM($D$3:D42)</f>
        <v>7638</v>
      </c>
      <c r="F42" s="158">
        <f t="shared" si="2"/>
        <v>4</v>
      </c>
    </row>
    <row r="43" spans="1:6" hidden="1">
      <c r="A43" s="153">
        <f>SUBTOTAL(103,B$4:B43)</f>
        <v>4</v>
      </c>
      <c r="B43" s="364"/>
      <c r="C43" s="169"/>
      <c r="D43" s="130">
        <f t="shared" si="0"/>
        <v>0</v>
      </c>
      <c r="E43" s="143">
        <f>SUM($D$3:D43)</f>
        <v>7638</v>
      </c>
      <c r="F43" s="158">
        <f t="shared" si="2"/>
        <v>4</v>
      </c>
    </row>
    <row r="44" spans="1:6" hidden="1">
      <c r="A44" s="153">
        <f>SUBTOTAL(103,B$4:B44)</f>
        <v>4</v>
      </c>
      <c r="B44" s="364"/>
      <c r="C44" s="169"/>
      <c r="D44" s="130">
        <f t="shared" si="0"/>
        <v>0</v>
      </c>
      <c r="E44" s="143">
        <f>SUM($D$3:D44)</f>
        <v>7638</v>
      </c>
      <c r="F44" s="158">
        <f t="shared" si="2"/>
        <v>4</v>
      </c>
    </row>
    <row r="45" spans="1:6" hidden="1">
      <c r="A45" s="153">
        <f>SUBTOTAL(103,B$4:B45)</f>
        <v>4</v>
      </c>
      <c r="B45" s="364"/>
      <c r="C45" s="169"/>
      <c r="D45" s="130">
        <f t="shared" si="0"/>
        <v>0</v>
      </c>
      <c r="E45" s="143">
        <f>SUM($D$3:D45)</f>
        <v>7638</v>
      </c>
      <c r="F45" s="158">
        <f t="shared" si="2"/>
        <v>4</v>
      </c>
    </row>
    <row r="46" spans="1:6" hidden="1">
      <c r="A46" s="153">
        <f>SUBTOTAL(103,B$4:B46)</f>
        <v>4</v>
      </c>
      <c r="B46" s="364"/>
      <c r="C46" s="169"/>
      <c r="D46" s="130">
        <f t="shared" si="0"/>
        <v>0</v>
      </c>
      <c r="E46" s="143">
        <f>SUM($D$3:D46)</f>
        <v>7638</v>
      </c>
      <c r="F46" s="158">
        <f t="shared" si="2"/>
        <v>4</v>
      </c>
    </row>
    <row r="47" spans="1:6" hidden="1">
      <c r="A47" s="153">
        <f>SUBTOTAL(103,B$4:B47)</f>
        <v>4</v>
      </c>
      <c r="B47" s="364"/>
      <c r="C47" s="169"/>
      <c r="D47" s="130">
        <f t="shared" si="0"/>
        <v>0</v>
      </c>
      <c r="E47" s="143">
        <f>SUM($D$3:D47)</f>
        <v>7638</v>
      </c>
      <c r="F47" s="158">
        <f t="shared" si="2"/>
        <v>4</v>
      </c>
    </row>
    <row r="48" spans="1:6" hidden="1">
      <c r="A48" s="153">
        <f>SUBTOTAL(103,B$4:B48)</f>
        <v>4</v>
      </c>
      <c r="B48" s="364"/>
      <c r="C48" s="169"/>
      <c r="D48" s="130">
        <f t="shared" si="0"/>
        <v>0</v>
      </c>
      <c r="E48" s="143">
        <f>SUM($D$3:D48)</f>
        <v>7638</v>
      </c>
      <c r="F48" s="158">
        <f t="shared" si="2"/>
        <v>4</v>
      </c>
    </row>
    <row r="49" spans="1:6" hidden="1">
      <c r="A49" s="153">
        <f>SUBTOTAL(103,B$4:B49)</f>
        <v>4</v>
      </c>
      <c r="B49" s="364"/>
      <c r="C49" s="169"/>
      <c r="D49" s="130">
        <f t="shared" si="0"/>
        <v>0</v>
      </c>
      <c r="E49" s="143">
        <f>SUM($D$3:D49)</f>
        <v>7638</v>
      </c>
      <c r="F49" s="158">
        <f t="shared" si="2"/>
        <v>4</v>
      </c>
    </row>
    <row r="50" spans="1:6" hidden="1">
      <c r="A50" s="153">
        <f>SUBTOTAL(103,B$4:B50)</f>
        <v>4</v>
      </c>
      <c r="B50" s="126"/>
      <c r="C50" s="169"/>
      <c r="D50" s="130">
        <f t="shared" si="0"/>
        <v>0</v>
      </c>
      <c r="E50" s="143">
        <f>SUM($D$3:D50)</f>
        <v>7638</v>
      </c>
      <c r="F50" s="158">
        <f t="shared" si="2"/>
        <v>4</v>
      </c>
    </row>
    <row r="51" spans="1:6">
      <c r="A51" s="153"/>
      <c r="B51" s="135" t="s">
        <v>233</v>
      </c>
      <c r="C51" s="136">
        <f>SUM(C4:C50)</f>
        <v>7638</v>
      </c>
      <c r="D51"/>
      <c r="E51"/>
      <c r="F51" s="158"/>
    </row>
    <row r="52" spans="1:6">
      <c r="A52" s="505" t="s">
        <v>522</v>
      </c>
      <c r="B52" s="506"/>
      <c r="C52" s="507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7" activePane="bottomRight" state="frozen"/>
      <selection pane="topRight" activeCell="H1" sqref="H1"/>
      <selection pane="bottomLeft" activeCell="A2" sqref="A2"/>
      <selection pane="bottomRight" activeCell="E56" sqref="E5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P!R3</f>
        <v>45969</v>
      </c>
    </row>
    <row r="2" spans="1:7" ht="34.5" customHeight="1">
      <c r="A2" s="508" t="s">
        <v>499</v>
      </c>
      <c r="B2" s="508"/>
      <c r="C2" s="508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1</v>
      </c>
      <c r="B4" s="126" t="s">
        <v>474</v>
      </c>
      <c r="C4" s="169">
        <v>8660</v>
      </c>
      <c r="D4" s="161">
        <f t="shared" ref="D4:D8" si="0">C4</f>
        <v>8660</v>
      </c>
      <c r="E4" s="163">
        <f>SUM($D$3:D4)</f>
        <v>8660</v>
      </c>
      <c r="F4" s="369">
        <f>A4</f>
        <v>1</v>
      </c>
    </row>
    <row r="5" spans="1:7">
      <c r="A5" s="153">
        <f>SUBTOTAL(103,B$4:B5)</f>
        <v>2</v>
      </c>
      <c r="B5" s="126" t="s">
        <v>500</v>
      </c>
      <c r="C5" s="169">
        <v>13200</v>
      </c>
      <c r="D5" s="161">
        <f t="shared" si="0"/>
        <v>13200</v>
      </c>
      <c r="E5" s="163">
        <f>SUM($D$3:D5)</f>
        <v>21860</v>
      </c>
      <c r="F5" s="369">
        <f t="shared" ref="F5:F50" si="1">A5</f>
        <v>2</v>
      </c>
    </row>
    <row r="6" spans="1:7">
      <c r="A6" s="153">
        <f>SUBTOTAL(103,B$4:B6)</f>
        <v>3</v>
      </c>
      <c r="B6" s="126" t="s">
        <v>476</v>
      </c>
      <c r="C6" s="169">
        <v>2781</v>
      </c>
      <c r="D6" s="161">
        <f t="shared" si="0"/>
        <v>2781</v>
      </c>
      <c r="E6" s="163">
        <f>SUM($D$3:D6)</f>
        <v>24641</v>
      </c>
      <c r="F6" s="369">
        <f t="shared" si="1"/>
        <v>3</v>
      </c>
    </row>
    <row r="7" spans="1:7">
      <c r="A7" s="153">
        <f>SUBTOTAL(103,B$4:B7)</f>
        <v>4</v>
      </c>
      <c r="B7" s="126" t="s">
        <v>477</v>
      </c>
      <c r="C7" s="169">
        <v>5648</v>
      </c>
      <c r="D7" s="161">
        <f t="shared" si="0"/>
        <v>5648</v>
      </c>
      <c r="E7" s="163">
        <f>SUM($D$3:D7)</f>
        <v>30289</v>
      </c>
      <c r="F7" s="369">
        <f t="shared" si="1"/>
        <v>4</v>
      </c>
    </row>
    <row r="8" spans="1:7">
      <c r="A8" s="153">
        <f>SUBTOTAL(103,B$4:B8)</f>
        <v>5</v>
      </c>
      <c r="B8" s="280" t="s">
        <v>501</v>
      </c>
      <c r="C8" s="169">
        <v>280</v>
      </c>
      <c r="D8" s="161">
        <f t="shared" si="0"/>
        <v>280</v>
      </c>
      <c r="E8" s="163">
        <f>SUM($D$3:D8)</f>
        <v>30569</v>
      </c>
      <c r="F8" s="369">
        <f t="shared" si="1"/>
        <v>5</v>
      </c>
    </row>
    <row r="9" spans="1:7">
      <c r="A9" s="153">
        <f>SUBTOTAL(103,B$4:B9)</f>
        <v>6</v>
      </c>
      <c r="B9" s="280" t="s">
        <v>502</v>
      </c>
      <c r="C9" s="169">
        <v>310</v>
      </c>
      <c r="D9" s="161">
        <f>C9</f>
        <v>310</v>
      </c>
      <c r="E9" s="163">
        <f>SUM($D$3:D9)</f>
        <v>30879</v>
      </c>
      <c r="F9" s="369">
        <f t="shared" si="1"/>
        <v>6</v>
      </c>
    </row>
    <row r="10" spans="1:7">
      <c r="A10" s="153">
        <f>SUBTOTAL(103,B$4:B10)</f>
        <v>7</v>
      </c>
      <c r="B10" s="280" t="s">
        <v>503</v>
      </c>
      <c r="C10" s="169">
        <v>420</v>
      </c>
      <c r="D10" s="161">
        <f>C10</f>
        <v>420</v>
      </c>
      <c r="E10" s="163">
        <f>SUM($D$3:D10)</f>
        <v>31299</v>
      </c>
      <c r="F10" s="369">
        <f t="shared" si="1"/>
        <v>7</v>
      </c>
    </row>
    <row r="11" spans="1:7">
      <c r="A11" s="153">
        <f>SUBTOTAL(103,B$4:B11)</f>
        <v>8</v>
      </c>
      <c r="B11" s="126" t="s">
        <v>478</v>
      </c>
      <c r="C11" s="169">
        <v>792</v>
      </c>
      <c r="D11" s="161">
        <f>C11</f>
        <v>792</v>
      </c>
      <c r="E11" s="163">
        <f>SUM($D$3:D11)</f>
        <v>32091</v>
      </c>
      <c r="F11" s="369">
        <f t="shared" si="1"/>
        <v>8</v>
      </c>
    </row>
    <row r="12" spans="1:7">
      <c r="A12" s="153">
        <f>SUBTOTAL(103,B$4:B12)</f>
        <v>9</v>
      </c>
      <c r="B12" s="126" t="s">
        <v>480</v>
      </c>
      <c r="C12" s="169">
        <v>2000</v>
      </c>
      <c r="D12" s="161">
        <f>C12</f>
        <v>2000</v>
      </c>
      <c r="E12" s="163">
        <f>SUM($D$3:D12)</f>
        <v>34091</v>
      </c>
      <c r="F12" s="369">
        <f t="shared" si="1"/>
        <v>9</v>
      </c>
    </row>
    <row r="13" spans="1:7" hidden="1">
      <c r="A13" s="153">
        <f>SUBTOTAL(103,B$4:B13)</f>
        <v>9</v>
      </c>
      <c r="B13" s="126"/>
      <c r="C13" s="169"/>
      <c r="D13" s="161">
        <f t="shared" ref="D13:D50" si="2">C13</f>
        <v>0</v>
      </c>
      <c r="E13" s="163">
        <f>SUM($D$3:D13)</f>
        <v>34091</v>
      </c>
      <c r="F13" s="369">
        <f t="shared" si="1"/>
        <v>9</v>
      </c>
    </row>
    <row r="14" spans="1:7" hidden="1">
      <c r="A14" s="153">
        <f>SUBTOTAL(103,B$4:B14)</f>
        <v>9</v>
      </c>
      <c r="B14" s="139"/>
      <c r="C14" s="164"/>
      <c r="D14" s="161">
        <f t="shared" si="2"/>
        <v>0</v>
      </c>
      <c r="E14" s="163">
        <f>SUM($D$3:D14)</f>
        <v>34091</v>
      </c>
      <c r="F14" s="369">
        <f t="shared" si="1"/>
        <v>9</v>
      </c>
    </row>
    <row r="15" spans="1:7" hidden="1">
      <c r="A15" s="153">
        <f>SUBTOTAL(103,B$4:B15)</f>
        <v>9</v>
      </c>
      <c r="B15" s="126"/>
      <c r="C15" s="164"/>
      <c r="D15" s="161">
        <f t="shared" si="2"/>
        <v>0</v>
      </c>
      <c r="E15" s="163">
        <f>SUM($D$3:D15)</f>
        <v>34091</v>
      </c>
      <c r="F15" s="369">
        <f t="shared" si="1"/>
        <v>9</v>
      </c>
    </row>
    <row r="16" spans="1:7" hidden="1">
      <c r="A16" s="153">
        <f>SUBTOTAL(103,B$4:B16)</f>
        <v>9</v>
      </c>
      <c r="B16" s="126"/>
      <c r="C16" s="164"/>
      <c r="D16" s="161">
        <f t="shared" si="2"/>
        <v>0</v>
      </c>
      <c r="E16" s="163">
        <f>SUM($D$3:D16)</f>
        <v>34091</v>
      </c>
      <c r="F16" s="369">
        <f t="shared" si="1"/>
        <v>9</v>
      </c>
    </row>
    <row r="17" spans="1:6" hidden="1">
      <c r="A17" s="153">
        <f>SUBTOTAL(103,B$4:B17)</f>
        <v>9</v>
      </c>
      <c r="B17" s="126"/>
      <c r="C17" s="164"/>
      <c r="D17" s="161">
        <f t="shared" si="2"/>
        <v>0</v>
      </c>
      <c r="E17" s="163">
        <f>SUM($D$3:D17)</f>
        <v>34091</v>
      </c>
      <c r="F17" s="369">
        <f t="shared" si="1"/>
        <v>9</v>
      </c>
    </row>
    <row r="18" spans="1:6" hidden="1">
      <c r="A18" s="153">
        <f>SUBTOTAL(103,B$4:B18)</f>
        <v>9</v>
      </c>
      <c r="B18" s="126"/>
      <c r="C18" s="164"/>
      <c r="D18" s="161">
        <f t="shared" si="2"/>
        <v>0</v>
      </c>
      <c r="E18" s="163">
        <f>SUM($D$3:D18)</f>
        <v>34091</v>
      </c>
      <c r="F18" s="369">
        <f t="shared" si="1"/>
        <v>9</v>
      </c>
    </row>
    <row r="19" spans="1:6" hidden="1">
      <c r="A19" s="153">
        <f>SUBTOTAL(103,B$4:B19)</f>
        <v>9</v>
      </c>
      <c r="B19" s="126"/>
      <c r="C19" s="164"/>
      <c r="D19" s="161">
        <f t="shared" si="2"/>
        <v>0</v>
      </c>
      <c r="E19" s="163">
        <f>SUM($D$3:D19)</f>
        <v>34091</v>
      </c>
      <c r="F19" s="369">
        <f t="shared" si="1"/>
        <v>9</v>
      </c>
    </row>
    <row r="20" spans="1:6" hidden="1">
      <c r="A20" s="153">
        <f>SUBTOTAL(103,B$4:B20)</f>
        <v>9</v>
      </c>
      <c r="B20" s="126"/>
      <c r="C20" s="164"/>
      <c r="D20" s="161">
        <f t="shared" si="2"/>
        <v>0</v>
      </c>
      <c r="E20" s="163">
        <f>SUM($D$3:D20)</f>
        <v>34091</v>
      </c>
      <c r="F20" s="369">
        <f t="shared" si="1"/>
        <v>9</v>
      </c>
    </row>
    <row r="21" spans="1:6" hidden="1">
      <c r="A21" s="153">
        <f>SUBTOTAL(103,B$4:B21)</f>
        <v>9</v>
      </c>
      <c r="B21" s="126"/>
      <c r="C21" s="164"/>
      <c r="D21" s="161">
        <f t="shared" si="2"/>
        <v>0</v>
      </c>
      <c r="E21" s="163">
        <f>SUM($D$3:D21)</f>
        <v>34091</v>
      </c>
      <c r="F21" s="369">
        <f t="shared" si="1"/>
        <v>9</v>
      </c>
    </row>
    <row r="22" spans="1:6" hidden="1">
      <c r="A22" s="153">
        <f>SUBTOTAL(103,B$4:B22)</f>
        <v>9</v>
      </c>
      <c r="B22" s="126"/>
      <c r="C22" s="164"/>
      <c r="D22" s="161">
        <f t="shared" si="2"/>
        <v>0</v>
      </c>
      <c r="E22" s="163">
        <f>SUM($D$3:D22)</f>
        <v>34091</v>
      </c>
      <c r="F22" s="369">
        <f t="shared" si="1"/>
        <v>9</v>
      </c>
    </row>
    <row r="23" spans="1:6" hidden="1">
      <c r="A23" s="153">
        <f>SUBTOTAL(103,B$4:B23)</f>
        <v>9</v>
      </c>
      <c r="B23" s="126"/>
      <c r="C23" s="164"/>
      <c r="D23" s="161">
        <f t="shared" si="2"/>
        <v>0</v>
      </c>
      <c r="E23" s="163">
        <f>SUM($D$3:D23)</f>
        <v>34091</v>
      </c>
      <c r="F23" s="369">
        <f t="shared" si="1"/>
        <v>9</v>
      </c>
    </row>
    <row r="24" spans="1:6" hidden="1">
      <c r="A24" s="153">
        <f>SUBTOTAL(103,B$4:B24)</f>
        <v>9</v>
      </c>
      <c r="B24" s="126"/>
      <c r="C24" s="164"/>
      <c r="D24" s="161">
        <f t="shared" si="2"/>
        <v>0</v>
      </c>
      <c r="E24" s="163">
        <f>SUM($D$3:D24)</f>
        <v>34091</v>
      </c>
      <c r="F24" s="369">
        <f t="shared" si="1"/>
        <v>9</v>
      </c>
    </row>
    <row r="25" spans="1:6" hidden="1">
      <c r="A25" s="153">
        <f>SUBTOTAL(103,B$4:B25)</f>
        <v>9</v>
      </c>
      <c r="B25" s="126"/>
      <c r="C25" s="164"/>
      <c r="D25" s="161">
        <f t="shared" si="2"/>
        <v>0</v>
      </c>
      <c r="E25" s="163">
        <f>SUM($D$3:D25)</f>
        <v>34091</v>
      </c>
      <c r="F25" s="369">
        <f t="shared" si="1"/>
        <v>9</v>
      </c>
    </row>
    <row r="26" spans="1:6" hidden="1">
      <c r="A26" s="153">
        <f>SUBTOTAL(103,B$4:B26)</f>
        <v>9</v>
      </c>
      <c r="B26" s="126"/>
      <c r="C26" s="164"/>
      <c r="D26" s="161">
        <f t="shared" si="2"/>
        <v>0</v>
      </c>
      <c r="E26" s="163">
        <f>SUM($D$3:D26)</f>
        <v>34091</v>
      </c>
      <c r="F26" s="369">
        <f t="shared" si="1"/>
        <v>9</v>
      </c>
    </row>
    <row r="27" spans="1:6" hidden="1">
      <c r="A27" s="153">
        <f>SUBTOTAL(103,B$4:B27)</f>
        <v>9</v>
      </c>
      <c r="B27" s="126"/>
      <c r="C27" s="164"/>
      <c r="D27" s="161">
        <f t="shared" si="2"/>
        <v>0</v>
      </c>
      <c r="E27" s="163">
        <f>SUM($D$3:D27)</f>
        <v>34091</v>
      </c>
      <c r="F27" s="369">
        <f t="shared" si="1"/>
        <v>9</v>
      </c>
    </row>
    <row r="28" spans="1:6" hidden="1">
      <c r="A28" s="153">
        <f>SUBTOTAL(103,B$4:B28)</f>
        <v>9</v>
      </c>
      <c r="B28" s="126"/>
      <c r="C28" s="164"/>
      <c r="D28" s="161">
        <f t="shared" si="2"/>
        <v>0</v>
      </c>
      <c r="E28" s="163">
        <f>SUM($D$3:D28)</f>
        <v>34091</v>
      </c>
      <c r="F28" s="369">
        <f t="shared" si="1"/>
        <v>9</v>
      </c>
    </row>
    <row r="29" spans="1:6" hidden="1">
      <c r="A29" s="153">
        <f>SUBTOTAL(103,B$4:B29)</f>
        <v>9</v>
      </c>
      <c r="B29" s="126"/>
      <c r="C29" s="164"/>
      <c r="D29" s="161">
        <f t="shared" si="2"/>
        <v>0</v>
      </c>
      <c r="E29" s="163">
        <f>SUM($D$3:D29)</f>
        <v>34091</v>
      </c>
      <c r="F29" s="369">
        <f t="shared" si="1"/>
        <v>9</v>
      </c>
    </row>
    <row r="30" spans="1:6" hidden="1">
      <c r="A30" s="153">
        <f>SUBTOTAL(103,B$4:B30)</f>
        <v>9</v>
      </c>
      <c r="B30" s="126"/>
      <c r="C30" s="164"/>
      <c r="D30" s="161">
        <f t="shared" si="2"/>
        <v>0</v>
      </c>
      <c r="E30" s="163">
        <f>SUM($D$3:D30)</f>
        <v>34091</v>
      </c>
      <c r="F30" s="369">
        <f t="shared" si="1"/>
        <v>9</v>
      </c>
    </row>
    <row r="31" spans="1:6" hidden="1">
      <c r="A31" s="153">
        <f>SUBTOTAL(103,B$4:B31)</f>
        <v>9</v>
      </c>
      <c r="B31" s="126"/>
      <c r="C31" s="164"/>
      <c r="D31" s="161">
        <f t="shared" si="2"/>
        <v>0</v>
      </c>
      <c r="E31" s="163">
        <f>SUM($D$3:D31)</f>
        <v>34091</v>
      </c>
      <c r="F31" s="369">
        <f t="shared" si="1"/>
        <v>9</v>
      </c>
    </row>
    <row r="32" spans="1:6" hidden="1">
      <c r="A32" s="153">
        <f>SUBTOTAL(103,B$4:B32)</f>
        <v>9</v>
      </c>
      <c r="B32" s="126"/>
      <c r="C32" s="164"/>
      <c r="D32" s="161">
        <f t="shared" si="2"/>
        <v>0</v>
      </c>
      <c r="E32" s="163">
        <f>SUM($D$3:D32)</f>
        <v>34091</v>
      </c>
      <c r="F32" s="369">
        <f t="shared" si="1"/>
        <v>9</v>
      </c>
    </row>
    <row r="33" spans="1:6" hidden="1">
      <c r="A33" s="153">
        <f>SUBTOTAL(103,B$4:B33)</f>
        <v>9</v>
      </c>
      <c r="B33" s="126"/>
      <c r="C33" s="164"/>
      <c r="D33" s="161">
        <f t="shared" si="2"/>
        <v>0</v>
      </c>
      <c r="E33" s="163">
        <f>SUM($D$3:D33)</f>
        <v>34091</v>
      </c>
      <c r="F33" s="369">
        <f t="shared" si="1"/>
        <v>9</v>
      </c>
    </row>
    <row r="34" spans="1:6" hidden="1">
      <c r="A34" s="153">
        <f>SUBTOTAL(103,B$4:B34)</f>
        <v>9</v>
      </c>
      <c r="B34" s="126"/>
      <c r="C34" s="164"/>
      <c r="D34" s="161">
        <f t="shared" si="2"/>
        <v>0</v>
      </c>
      <c r="E34" s="163">
        <f>SUM($D$3:D34)</f>
        <v>34091</v>
      </c>
      <c r="F34" s="369">
        <f t="shared" si="1"/>
        <v>9</v>
      </c>
    </row>
    <row r="35" spans="1:6" hidden="1">
      <c r="A35" s="153">
        <f>SUBTOTAL(103,B$4:B35)</f>
        <v>9</v>
      </c>
      <c r="B35" s="126"/>
      <c r="C35" s="164"/>
      <c r="D35" s="161">
        <f t="shared" si="2"/>
        <v>0</v>
      </c>
      <c r="E35" s="163">
        <f>SUM($D$3:D35)</f>
        <v>34091</v>
      </c>
      <c r="F35" s="369">
        <f t="shared" si="1"/>
        <v>9</v>
      </c>
    </row>
    <row r="36" spans="1:6" hidden="1">
      <c r="A36" s="153">
        <f>SUBTOTAL(103,B$4:B36)</f>
        <v>9</v>
      </c>
      <c r="B36" s="126"/>
      <c r="C36" s="164"/>
      <c r="D36" s="161">
        <f t="shared" si="2"/>
        <v>0</v>
      </c>
      <c r="E36" s="163">
        <f>SUM($D$3:D36)</f>
        <v>34091</v>
      </c>
      <c r="F36" s="369">
        <f t="shared" si="1"/>
        <v>9</v>
      </c>
    </row>
    <row r="37" spans="1:6" hidden="1">
      <c r="A37" s="153">
        <f>SUBTOTAL(103,B$4:B37)</f>
        <v>9</v>
      </c>
      <c r="B37" s="126"/>
      <c r="C37" s="164"/>
      <c r="D37" s="161">
        <f t="shared" si="2"/>
        <v>0</v>
      </c>
      <c r="E37" s="163">
        <f>SUM($D$3:D37)</f>
        <v>34091</v>
      </c>
      <c r="F37" s="369">
        <f t="shared" si="1"/>
        <v>9</v>
      </c>
    </row>
    <row r="38" spans="1:6" hidden="1">
      <c r="A38" s="153">
        <f>SUBTOTAL(103,B$4:B38)</f>
        <v>9</v>
      </c>
      <c r="B38" s="126"/>
      <c r="C38" s="164"/>
      <c r="D38" s="161">
        <f t="shared" si="2"/>
        <v>0</v>
      </c>
      <c r="E38" s="163">
        <f>SUM($D$3:D38)</f>
        <v>34091</v>
      </c>
      <c r="F38" s="369">
        <f t="shared" si="1"/>
        <v>9</v>
      </c>
    </row>
    <row r="39" spans="1:6" hidden="1">
      <c r="A39" s="153">
        <f>SUBTOTAL(103,B$4:B39)</f>
        <v>9</v>
      </c>
      <c r="B39" s="126"/>
      <c r="C39" s="164"/>
      <c r="D39" s="161">
        <f t="shared" si="2"/>
        <v>0</v>
      </c>
      <c r="E39" s="163">
        <f>SUM($D$3:D39)</f>
        <v>34091</v>
      </c>
      <c r="F39" s="369">
        <f t="shared" si="1"/>
        <v>9</v>
      </c>
    </row>
    <row r="40" spans="1:6" hidden="1">
      <c r="A40" s="153">
        <f>SUBTOTAL(103,B$4:B40)</f>
        <v>9</v>
      </c>
      <c r="B40" s="126"/>
      <c r="C40" s="164"/>
      <c r="D40" s="161">
        <f t="shared" si="2"/>
        <v>0</v>
      </c>
      <c r="E40" s="163">
        <f>SUM($D$3:D40)</f>
        <v>34091</v>
      </c>
      <c r="F40" s="369">
        <f t="shared" si="1"/>
        <v>9</v>
      </c>
    </row>
    <row r="41" spans="1:6" hidden="1">
      <c r="A41" s="153">
        <f>SUBTOTAL(103,B$4:B41)</f>
        <v>9</v>
      </c>
      <c r="B41" s="364"/>
      <c r="C41" s="164"/>
      <c r="D41" s="161">
        <f t="shared" si="2"/>
        <v>0</v>
      </c>
      <c r="E41" s="163">
        <f>SUM($D$3:D41)</f>
        <v>34091</v>
      </c>
      <c r="F41" s="369">
        <f t="shared" si="1"/>
        <v>9</v>
      </c>
    </row>
    <row r="42" spans="1:6" hidden="1">
      <c r="A42" s="153">
        <f>SUBTOTAL(103,B$4:B42)</f>
        <v>9</v>
      </c>
      <c r="B42" s="364"/>
      <c r="C42" s="164"/>
      <c r="D42" s="161">
        <f t="shared" si="2"/>
        <v>0</v>
      </c>
      <c r="E42" s="163">
        <f>SUM($D$3:D42)</f>
        <v>34091</v>
      </c>
      <c r="F42" s="369">
        <f t="shared" si="1"/>
        <v>9</v>
      </c>
    </row>
    <row r="43" spans="1:6" hidden="1">
      <c r="A43" s="153">
        <f>SUBTOTAL(103,B$4:B43)</f>
        <v>9</v>
      </c>
      <c r="B43" s="364"/>
      <c r="C43" s="164"/>
      <c r="D43" s="161">
        <f t="shared" si="2"/>
        <v>0</v>
      </c>
      <c r="E43" s="163">
        <f>SUM($D$3:D43)</f>
        <v>34091</v>
      </c>
      <c r="F43" s="369">
        <f t="shared" si="1"/>
        <v>9</v>
      </c>
    </row>
    <row r="44" spans="1:6" hidden="1">
      <c r="A44" s="153">
        <f>SUBTOTAL(103,B$4:B44)</f>
        <v>9</v>
      </c>
      <c r="B44" s="364"/>
      <c r="C44" s="164"/>
      <c r="D44" s="161">
        <f t="shared" si="2"/>
        <v>0</v>
      </c>
      <c r="E44" s="163">
        <f>SUM($D$3:D44)</f>
        <v>34091</v>
      </c>
      <c r="F44" s="369">
        <f t="shared" si="1"/>
        <v>9</v>
      </c>
    </row>
    <row r="45" spans="1:6" hidden="1">
      <c r="A45" s="153">
        <f>SUBTOTAL(103,B$4:B45)</f>
        <v>9</v>
      </c>
      <c r="B45" s="364"/>
      <c r="C45" s="164"/>
      <c r="D45" s="161">
        <f t="shared" si="2"/>
        <v>0</v>
      </c>
      <c r="E45" s="163">
        <f>SUM($D$3:D45)</f>
        <v>34091</v>
      </c>
      <c r="F45" s="369">
        <f t="shared" si="1"/>
        <v>9</v>
      </c>
    </row>
    <row r="46" spans="1:6" hidden="1">
      <c r="A46" s="153">
        <f>SUBTOTAL(103,B$4:B46)</f>
        <v>9</v>
      </c>
      <c r="B46" s="364"/>
      <c r="C46" s="164"/>
      <c r="D46" s="161">
        <f t="shared" si="2"/>
        <v>0</v>
      </c>
      <c r="E46" s="163">
        <f>SUM($D$3:D46)</f>
        <v>34091</v>
      </c>
      <c r="F46" s="369">
        <f t="shared" si="1"/>
        <v>9</v>
      </c>
    </row>
    <row r="47" spans="1:6" hidden="1">
      <c r="A47" s="153">
        <f>SUBTOTAL(103,B$4:B47)</f>
        <v>9</v>
      </c>
      <c r="B47" s="364"/>
      <c r="C47" s="164"/>
      <c r="D47" s="161">
        <f t="shared" si="2"/>
        <v>0</v>
      </c>
      <c r="E47" s="163">
        <f>SUM($D$3:D47)</f>
        <v>34091</v>
      </c>
      <c r="F47" s="369">
        <f t="shared" si="1"/>
        <v>9</v>
      </c>
    </row>
    <row r="48" spans="1:6" hidden="1">
      <c r="A48" s="153">
        <f>SUBTOTAL(103,B$4:B48)</f>
        <v>9</v>
      </c>
      <c r="B48" s="364"/>
      <c r="C48" s="164"/>
      <c r="D48" s="161">
        <f t="shared" si="2"/>
        <v>0</v>
      </c>
      <c r="E48" s="163">
        <f>SUM($D$3:D48)</f>
        <v>34091</v>
      </c>
      <c r="F48" s="369">
        <f t="shared" si="1"/>
        <v>9</v>
      </c>
    </row>
    <row r="49" spans="1:6" hidden="1">
      <c r="A49" s="153">
        <f>SUBTOTAL(103,B$4:B49)</f>
        <v>9</v>
      </c>
      <c r="B49" s="364"/>
      <c r="C49" s="164"/>
      <c r="D49" s="161">
        <f t="shared" si="2"/>
        <v>0</v>
      </c>
      <c r="E49" s="163">
        <f>SUM($D$3:D49)</f>
        <v>34091</v>
      </c>
      <c r="F49" s="369">
        <f t="shared" si="1"/>
        <v>9</v>
      </c>
    </row>
    <row r="50" spans="1:6" hidden="1">
      <c r="A50" s="153">
        <f>SUBTOTAL(103,B$4:B50)</f>
        <v>9</v>
      </c>
      <c r="B50" s="126"/>
      <c r="C50" s="164"/>
      <c r="D50" s="161">
        <f t="shared" si="2"/>
        <v>0</v>
      </c>
      <c r="E50" s="163">
        <f>SUM($D$3:D50)</f>
        <v>34091</v>
      </c>
      <c r="F50" s="369">
        <f t="shared" si="1"/>
        <v>9</v>
      </c>
    </row>
    <row r="51" spans="1:6">
      <c r="A51" s="153"/>
      <c r="B51" s="135" t="s">
        <v>233</v>
      </c>
      <c r="C51" s="136">
        <f>SUM(C4:C50)</f>
        <v>34091</v>
      </c>
    </row>
    <row r="52" spans="1:6">
      <c r="A52" s="505" t="s">
        <v>523</v>
      </c>
      <c r="B52" s="506"/>
      <c r="C52" s="507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7" activePane="bottomRight" state="frozen"/>
      <selection pane="topRight" activeCell="H1" sqref="H1"/>
      <selection pane="bottomLeft" activeCell="A2" sqref="A2"/>
      <selection pane="bottomRight" activeCell="C60" sqref="C60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P!T3</f>
        <v>45970</v>
      </c>
    </row>
    <row r="2" spans="1:7" ht="34.5" customHeight="1">
      <c r="A2" s="508" t="s">
        <v>504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474</v>
      </c>
      <c r="C4" s="169">
        <v>4057</v>
      </c>
      <c r="D4" s="161">
        <f t="shared" ref="D4:D50" si="0">C4</f>
        <v>4057</v>
      </c>
      <c r="E4" s="163">
        <f>SUM($D$3:D4)</f>
        <v>4057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477</v>
      </c>
      <c r="C5" s="169">
        <v>5595</v>
      </c>
      <c r="D5" s="161">
        <f t="shared" si="0"/>
        <v>5595</v>
      </c>
      <c r="E5" s="163">
        <f>SUM($D$3:D5)</f>
        <v>9652</v>
      </c>
      <c r="F5" s="371">
        <f t="shared" si="1"/>
        <v>2</v>
      </c>
    </row>
    <row r="6" spans="1:7">
      <c r="A6" s="153">
        <f>SUBTOTAL(103,B$4:B6)</f>
        <v>3</v>
      </c>
      <c r="B6" s="228" t="s">
        <v>476</v>
      </c>
      <c r="C6" s="169">
        <v>3267</v>
      </c>
      <c r="D6" s="161">
        <f t="shared" si="0"/>
        <v>3267</v>
      </c>
      <c r="E6" s="163">
        <f>SUM($D$3:D6)</f>
        <v>12919</v>
      </c>
      <c r="F6" s="371">
        <f t="shared" si="1"/>
        <v>3</v>
      </c>
    </row>
    <row r="7" spans="1:7">
      <c r="A7" s="153">
        <f>SUBTOTAL(103,B$4:B7)</f>
        <v>4</v>
      </c>
      <c r="B7" s="228" t="s">
        <v>489</v>
      </c>
      <c r="C7" s="169">
        <v>2196</v>
      </c>
      <c r="D7" s="161">
        <f t="shared" si="0"/>
        <v>2196</v>
      </c>
      <c r="E7" s="163">
        <f>SUM($D$3:D7)</f>
        <v>15115</v>
      </c>
      <c r="F7" s="371">
        <f t="shared" si="1"/>
        <v>4</v>
      </c>
    </row>
    <row r="8" spans="1:7">
      <c r="A8" s="153">
        <f>SUBTOTAL(103,B$4:B8)</f>
        <v>5</v>
      </c>
      <c r="B8" s="228" t="s">
        <v>478</v>
      </c>
      <c r="C8" s="169">
        <v>1008</v>
      </c>
      <c r="D8" s="161">
        <f t="shared" si="0"/>
        <v>1008</v>
      </c>
      <c r="E8" s="163">
        <f>SUM($D$3:D8)</f>
        <v>16123</v>
      </c>
      <c r="F8" s="371">
        <f t="shared" si="1"/>
        <v>5</v>
      </c>
    </row>
    <row r="9" spans="1:7">
      <c r="A9" s="153">
        <f>SUBTOTAL(103,B$4:B9)</f>
        <v>6</v>
      </c>
      <c r="B9" s="228" t="s">
        <v>480</v>
      </c>
      <c r="C9" s="169">
        <v>2200</v>
      </c>
      <c r="D9" s="161">
        <f t="shared" si="0"/>
        <v>2200</v>
      </c>
      <c r="E9" s="163">
        <f>SUM($D$3:D9)</f>
        <v>18323</v>
      </c>
      <c r="F9" s="371">
        <f t="shared" si="1"/>
        <v>6</v>
      </c>
    </row>
    <row r="10" spans="1:7" hidden="1">
      <c r="A10" s="153">
        <f>SUBTOTAL(103,B$4:B10)</f>
        <v>6</v>
      </c>
      <c r="B10" s="228"/>
      <c r="C10" s="169"/>
      <c r="D10" s="161">
        <f t="shared" si="0"/>
        <v>0</v>
      </c>
      <c r="E10" s="163">
        <f>SUM($D$3:D10)</f>
        <v>18323</v>
      </c>
      <c r="F10" s="371">
        <f t="shared" si="1"/>
        <v>6</v>
      </c>
    </row>
    <row r="11" spans="1:7" hidden="1">
      <c r="A11" s="153">
        <f>SUBTOTAL(103,B$4:B11)</f>
        <v>6</v>
      </c>
      <c r="B11" s="228"/>
      <c r="C11" s="169"/>
      <c r="D11" s="161">
        <f t="shared" si="0"/>
        <v>0</v>
      </c>
      <c r="E11" s="163">
        <f>SUM($D$3:D11)</f>
        <v>18323</v>
      </c>
      <c r="F11" s="371">
        <f t="shared" si="1"/>
        <v>6</v>
      </c>
    </row>
    <row r="12" spans="1:7" ht="20.25" hidden="1" customHeight="1">
      <c r="A12" s="153">
        <f>SUBTOTAL(103,B$4:B12)</f>
        <v>6</v>
      </c>
      <c r="B12" s="228"/>
      <c r="C12" s="169"/>
      <c r="D12" s="161">
        <f t="shared" si="0"/>
        <v>0</v>
      </c>
      <c r="E12" s="163">
        <f>SUM($D$3:D12)</f>
        <v>18323</v>
      </c>
      <c r="F12" s="371">
        <f t="shared" si="1"/>
        <v>6</v>
      </c>
    </row>
    <row r="13" spans="1:7" hidden="1">
      <c r="A13" s="153">
        <f>SUBTOTAL(103,B$4:B13)</f>
        <v>6</v>
      </c>
      <c r="B13" s="228"/>
      <c r="C13" s="169"/>
      <c r="D13" s="161">
        <f t="shared" si="0"/>
        <v>0</v>
      </c>
      <c r="E13" s="163">
        <f>SUM($D$3:D13)</f>
        <v>18323</v>
      </c>
      <c r="F13" s="371">
        <f t="shared" si="1"/>
        <v>6</v>
      </c>
    </row>
    <row r="14" spans="1:7" hidden="1">
      <c r="A14" s="153">
        <f>SUBTOTAL(103,B$4:B14)</f>
        <v>6</v>
      </c>
      <c r="B14" s="139"/>
      <c r="C14" s="164"/>
      <c r="D14" s="161">
        <f t="shared" si="0"/>
        <v>0</v>
      </c>
      <c r="E14" s="163">
        <f>SUM($D$3:D14)</f>
        <v>18323</v>
      </c>
      <c r="F14" s="371">
        <f t="shared" si="1"/>
        <v>6</v>
      </c>
    </row>
    <row r="15" spans="1:7" hidden="1">
      <c r="A15" s="153">
        <f>SUBTOTAL(103,B$4:B15)</f>
        <v>6</v>
      </c>
      <c r="B15" s="432"/>
      <c r="C15" s="164"/>
      <c r="D15" s="161">
        <f t="shared" si="0"/>
        <v>0</v>
      </c>
      <c r="E15" s="163">
        <f>SUM($D$3:D15)</f>
        <v>18323</v>
      </c>
      <c r="F15" s="371">
        <f t="shared" si="1"/>
        <v>6</v>
      </c>
    </row>
    <row r="16" spans="1:7" hidden="1">
      <c r="A16" s="153">
        <f>SUBTOTAL(103,B$4:B16)</f>
        <v>6</v>
      </c>
      <c r="B16" s="228"/>
      <c r="C16" s="164"/>
      <c r="D16" s="161">
        <f t="shared" si="0"/>
        <v>0</v>
      </c>
      <c r="E16" s="163">
        <f>SUM($D$3:D16)</f>
        <v>18323</v>
      </c>
      <c r="F16" s="371">
        <f t="shared" si="1"/>
        <v>6</v>
      </c>
    </row>
    <row r="17" spans="1:6" hidden="1">
      <c r="A17" s="153">
        <f>SUBTOTAL(103,B$4:B17)</f>
        <v>6</v>
      </c>
      <c r="B17" s="228"/>
      <c r="C17" s="164"/>
      <c r="D17" s="161">
        <f t="shared" si="0"/>
        <v>0</v>
      </c>
      <c r="E17" s="163">
        <f>SUM($D$3:D17)</f>
        <v>18323</v>
      </c>
      <c r="F17" s="371">
        <f t="shared" si="1"/>
        <v>6</v>
      </c>
    </row>
    <row r="18" spans="1:6" hidden="1">
      <c r="A18" s="153">
        <f>SUBTOTAL(103,B$4:B18)</f>
        <v>6</v>
      </c>
      <c r="B18" s="228"/>
      <c r="C18" s="164"/>
      <c r="D18" s="161">
        <f t="shared" si="0"/>
        <v>0</v>
      </c>
      <c r="E18" s="163">
        <f>SUM($D$3:D18)</f>
        <v>18323</v>
      </c>
      <c r="F18" s="371">
        <f t="shared" si="1"/>
        <v>6</v>
      </c>
    </row>
    <row r="19" spans="1:6" hidden="1">
      <c r="A19" s="153">
        <f>SUBTOTAL(103,B$4:B19)</f>
        <v>6</v>
      </c>
      <c r="B19" s="228"/>
      <c r="C19" s="164"/>
      <c r="D19" s="161">
        <f t="shared" si="0"/>
        <v>0</v>
      </c>
      <c r="E19" s="163">
        <f>SUM($D$3:D19)</f>
        <v>18323</v>
      </c>
      <c r="F19" s="371">
        <f t="shared" si="1"/>
        <v>6</v>
      </c>
    </row>
    <row r="20" spans="1:6" hidden="1">
      <c r="A20" s="153">
        <f>SUBTOTAL(103,B$4:B20)</f>
        <v>6</v>
      </c>
      <c r="B20" s="228"/>
      <c r="C20" s="164"/>
      <c r="D20" s="161">
        <f t="shared" si="0"/>
        <v>0</v>
      </c>
      <c r="E20" s="163">
        <f>SUM($D$3:D20)</f>
        <v>18323</v>
      </c>
      <c r="F20" s="371">
        <f t="shared" si="1"/>
        <v>6</v>
      </c>
    </row>
    <row r="21" spans="1:6" hidden="1">
      <c r="A21" s="153">
        <f>SUBTOTAL(103,B$4:B21)</f>
        <v>6</v>
      </c>
      <c r="B21" s="228"/>
      <c r="C21" s="164"/>
      <c r="D21" s="161">
        <f t="shared" si="0"/>
        <v>0</v>
      </c>
      <c r="E21" s="163">
        <f>SUM($D$3:D21)</f>
        <v>18323</v>
      </c>
      <c r="F21" s="371">
        <f t="shared" si="1"/>
        <v>6</v>
      </c>
    </row>
    <row r="22" spans="1:6" hidden="1">
      <c r="A22" s="153">
        <f>SUBTOTAL(103,B$4:B22)</f>
        <v>6</v>
      </c>
      <c r="B22" s="228"/>
      <c r="C22" s="164"/>
      <c r="D22" s="161">
        <f t="shared" si="0"/>
        <v>0</v>
      </c>
      <c r="E22" s="163">
        <f>SUM($D$3:D22)</f>
        <v>18323</v>
      </c>
      <c r="F22" s="371">
        <f t="shared" si="1"/>
        <v>6</v>
      </c>
    </row>
    <row r="23" spans="1:6" hidden="1">
      <c r="A23" s="153">
        <f>SUBTOTAL(103,B$4:B23)</f>
        <v>6</v>
      </c>
      <c r="B23" s="228"/>
      <c r="C23" s="164"/>
      <c r="D23" s="161">
        <f t="shared" si="0"/>
        <v>0</v>
      </c>
      <c r="E23" s="163">
        <f>SUM($D$3:D23)</f>
        <v>18323</v>
      </c>
      <c r="F23" s="371">
        <f t="shared" si="1"/>
        <v>6</v>
      </c>
    </row>
    <row r="24" spans="1:6" hidden="1">
      <c r="A24" s="153">
        <f>SUBTOTAL(103,B$4:B24)</f>
        <v>6</v>
      </c>
      <c r="B24" s="228"/>
      <c r="C24" s="164"/>
      <c r="D24" s="161">
        <f t="shared" si="0"/>
        <v>0</v>
      </c>
      <c r="E24" s="163">
        <f>SUM($D$3:D24)</f>
        <v>18323</v>
      </c>
      <c r="F24" s="371">
        <f t="shared" si="1"/>
        <v>6</v>
      </c>
    </row>
    <row r="25" spans="1:6" hidden="1">
      <c r="A25" s="153">
        <f>SUBTOTAL(103,B$4:B25)</f>
        <v>6</v>
      </c>
      <c r="B25" s="228"/>
      <c r="C25" s="164"/>
      <c r="D25" s="161">
        <f t="shared" si="0"/>
        <v>0</v>
      </c>
      <c r="E25" s="163">
        <f>SUM($D$3:D25)</f>
        <v>18323</v>
      </c>
      <c r="F25" s="371">
        <f t="shared" si="1"/>
        <v>6</v>
      </c>
    </row>
    <row r="26" spans="1:6" hidden="1">
      <c r="A26" s="153">
        <f>SUBTOTAL(103,B$4:B26)</f>
        <v>6</v>
      </c>
      <c r="B26" s="228"/>
      <c r="C26" s="164"/>
      <c r="D26" s="161">
        <f t="shared" si="0"/>
        <v>0</v>
      </c>
      <c r="E26" s="163">
        <f>SUM($D$3:D26)</f>
        <v>18323</v>
      </c>
      <c r="F26" s="371">
        <f t="shared" si="1"/>
        <v>6</v>
      </c>
    </row>
    <row r="27" spans="1:6" hidden="1">
      <c r="A27" s="153">
        <f>SUBTOTAL(103,B$4:B27)</f>
        <v>6</v>
      </c>
      <c r="B27" s="228"/>
      <c r="C27" s="164"/>
      <c r="D27" s="161">
        <f t="shared" si="0"/>
        <v>0</v>
      </c>
      <c r="E27" s="163">
        <f>SUM($D$3:D27)</f>
        <v>18323</v>
      </c>
      <c r="F27" s="371">
        <f t="shared" si="1"/>
        <v>6</v>
      </c>
    </row>
    <row r="28" spans="1:6" hidden="1">
      <c r="A28" s="153">
        <f>SUBTOTAL(103,B$4:B28)</f>
        <v>6</v>
      </c>
      <c r="B28" s="228"/>
      <c r="C28" s="164"/>
      <c r="D28" s="161">
        <f t="shared" si="0"/>
        <v>0</v>
      </c>
      <c r="E28" s="163">
        <f>SUM($D$3:D28)</f>
        <v>18323</v>
      </c>
      <c r="F28" s="371">
        <f t="shared" si="1"/>
        <v>6</v>
      </c>
    </row>
    <row r="29" spans="1:6" hidden="1">
      <c r="A29" s="153">
        <f>SUBTOTAL(103,B$4:B29)</f>
        <v>6</v>
      </c>
      <c r="B29" s="228"/>
      <c r="C29" s="164"/>
      <c r="D29" s="161">
        <f t="shared" si="0"/>
        <v>0</v>
      </c>
      <c r="E29" s="163">
        <f>SUM($D$3:D29)</f>
        <v>18323</v>
      </c>
      <c r="F29" s="371">
        <f t="shared" si="1"/>
        <v>6</v>
      </c>
    </row>
    <row r="30" spans="1:6" hidden="1">
      <c r="A30" s="153">
        <f>SUBTOTAL(103,B$4:B30)</f>
        <v>6</v>
      </c>
      <c r="B30" s="228"/>
      <c r="C30" s="164"/>
      <c r="D30" s="161">
        <f t="shared" si="0"/>
        <v>0</v>
      </c>
      <c r="E30" s="163">
        <f>SUM($D$3:D30)</f>
        <v>18323</v>
      </c>
      <c r="F30" s="371">
        <f t="shared" si="1"/>
        <v>6</v>
      </c>
    </row>
    <row r="31" spans="1:6" hidden="1">
      <c r="A31" s="153">
        <f>SUBTOTAL(103,B$4:B31)</f>
        <v>6</v>
      </c>
      <c r="B31" s="228"/>
      <c r="C31" s="164"/>
      <c r="D31" s="161">
        <f t="shared" si="0"/>
        <v>0</v>
      </c>
      <c r="E31" s="163">
        <f>SUM($D$3:D31)</f>
        <v>18323</v>
      </c>
      <c r="F31" s="371">
        <f t="shared" si="1"/>
        <v>6</v>
      </c>
    </row>
    <row r="32" spans="1:6" hidden="1">
      <c r="A32" s="153">
        <f>SUBTOTAL(103,B$4:B32)</f>
        <v>6</v>
      </c>
      <c r="B32" s="228"/>
      <c r="C32" s="164"/>
      <c r="D32" s="161">
        <f t="shared" si="0"/>
        <v>0</v>
      </c>
      <c r="E32" s="163">
        <f>SUM($D$3:D32)</f>
        <v>18323</v>
      </c>
      <c r="F32" s="371">
        <f t="shared" si="1"/>
        <v>6</v>
      </c>
    </row>
    <row r="33" spans="1:6" hidden="1">
      <c r="A33" s="153">
        <f>SUBTOTAL(103,B$4:B33)</f>
        <v>6</v>
      </c>
      <c r="B33" s="228"/>
      <c r="C33" s="164"/>
      <c r="D33" s="161">
        <f t="shared" si="0"/>
        <v>0</v>
      </c>
      <c r="E33" s="163">
        <f>SUM($D$3:D33)</f>
        <v>18323</v>
      </c>
      <c r="F33" s="371">
        <f t="shared" si="1"/>
        <v>6</v>
      </c>
    </row>
    <row r="34" spans="1:6" hidden="1">
      <c r="A34" s="153">
        <f>SUBTOTAL(103,B$4:B34)</f>
        <v>6</v>
      </c>
      <c r="B34" s="228"/>
      <c r="C34" s="164"/>
      <c r="D34" s="161">
        <f t="shared" si="0"/>
        <v>0</v>
      </c>
      <c r="E34" s="163">
        <f>SUM($D$3:D34)</f>
        <v>18323</v>
      </c>
      <c r="F34" s="371">
        <f t="shared" si="1"/>
        <v>6</v>
      </c>
    </row>
    <row r="35" spans="1:6" hidden="1">
      <c r="A35" s="153">
        <f>SUBTOTAL(103,B$4:B35)</f>
        <v>6</v>
      </c>
      <c r="B35" s="228"/>
      <c r="C35" s="164"/>
      <c r="D35" s="161">
        <f t="shared" si="0"/>
        <v>0</v>
      </c>
      <c r="E35" s="163">
        <f>SUM($D$3:D35)</f>
        <v>18323</v>
      </c>
      <c r="F35" s="371">
        <f t="shared" si="1"/>
        <v>6</v>
      </c>
    </row>
    <row r="36" spans="1:6" hidden="1">
      <c r="A36" s="153">
        <f>SUBTOTAL(103,B$4:B36)</f>
        <v>6</v>
      </c>
      <c r="B36" s="228"/>
      <c r="C36" s="164"/>
      <c r="D36" s="161">
        <f t="shared" si="0"/>
        <v>0</v>
      </c>
      <c r="E36" s="163">
        <f>SUM($D$3:D36)</f>
        <v>18323</v>
      </c>
      <c r="F36" s="371">
        <f t="shared" si="1"/>
        <v>6</v>
      </c>
    </row>
    <row r="37" spans="1:6" hidden="1">
      <c r="A37" s="153">
        <f>SUBTOTAL(103,B$4:B37)</f>
        <v>6</v>
      </c>
      <c r="B37" s="228"/>
      <c r="C37" s="164"/>
      <c r="D37" s="161">
        <f t="shared" si="0"/>
        <v>0</v>
      </c>
      <c r="E37" s="163">
        <f>SUM($D$3:D37)</f>
        <v>18323</v>
      </c>
      <c r="F37" s="371">
        <f t="shared" si="1"/>
        <v>6</v>
      </c>
    </row>
    <row r="38" spans="1:6" hidden="1">
      <c r="A38" s="153">
        <f>SUBTOTAL(103,B$4:B38)</f>
        <v>6</v>
      </c>
      <c r="B38" s="364"/>
      <c r="C38" s="164"/>
      <c r="D38" s="161">
        <f t="shared" si="0"/>
        <v>0</v>
      </c>
      <c r="E38" s="163">
        <f>SUM($D$3:D38)</f>
        <v>18323</v>
      </c>
      <c r="F38" s="371">
        <f t="shared" si="1"/>
        <v>6</v>
      </c>
    </row>
    <row r="39" spans="1:6" hidden="1">
      <c r="A39" s="153">
        <f>SUBTOTAL(103,B$4:B39)</f>
        <v>6</v>
      </c>
      <c r="B39" s="364"/>
      <c r="C39" s="164"/>
      <c r="D39" s="161">
        <f t="shared" si="0"/>
        <v>0</v>
      </c>
      <c r="E39" s="163">
        <f>SUM($D$3:D39)</f>
        <v>18323</v>
      </c>
      <c r="F39" s="371">
        <f t="shared" si="1"/>
        <v>6</v>
      </c>
    </row>
    <row r="40" spans="1:6" hidden="1">
      <c r="A40" s="153">
        <f>SUBTOTAL(103,B$4:B40)</f>
        <v>6</v>
      </c>
      <c r="B40" s="364"/>
      <c r="C40" s="164"/>
      <c r="D40" s="161">
        <f t="shared" si="0"/>
        <v>0</v>
      </c>
      <c r="E40" s="163">
        <f>SUM($D$3:D40)</f>
        <v>18323</v>
      </c>
      <c r="F40" s="371">
        <f t="shared" si="1"/>
        <v>6</v>
      </c>
    </row>
    <row r="41" spans="1:6" hidden="1">
      <c r="A41" s="153">
        <f>SUBTOTAL(103,B$4:B41)</f>
        <v>6</v>
      </c>
      <c r="B41" s="364"/>
      <c r="C41" s="164"/>
      <c r="D41" s="161">
        <f t="shared" si="0"/>
        <v>0</v>
      </c>
      <c r="E41" s="163">
        <f>SUM($D$3:D41)</f>
        <v>18323</v>
      </c>
      <c r="F41" s="371">
        <f t="shared" si="1"/>
        <v>6</v>
      </c>
    </row>
    <row r="42" spans="1:6" hidden="1">
      <c r="A42" s="153">
        <f>SUBTOTAL(103,B$4:B42)</f>
        <v>6</v>
      </c>
      <c r="B42" s="364"/>
      <c r="C42" s="164"/>
      <c r="D42" s="161">
        <f t="shared" si="0"/>
        <v>0</v>
      </c>
      <c r="E42" s="163">
        <f>SUM($D$3:D42)</f>
        <v>18323</v>
      </c>
      <c r="F42" s="371">
        <f t="shared" si="1"/>
        <v>6</v>
      </c>
    </row>
    <row r="43" spans="1:6" hidden="1">
      <c r="A43" s="153">
        <f>SUBTOTAL(103,B$4:B43)</f>
        <v>6</v>
      </c>
      <c r="B43" s="364"/>
      <c r="C43" s="164"/>
      <c r="D43" s="161">
        <f t="shared" si="0"/>
        <v>0</v>
      </c>
      <c r="E43" s="163">
        <f>SUM($D$3:D43)</f>
        <v>18323</v>
      </c>
      <c r="F43" s="371">
        <f t="shared" si="1"/>
        <v>6</v>
      </c>
    </row>
    <row r="44" spans="1:6" hidden="1">
      <c r="A44" s="153">
        <f>SUBTOTAL(103,B$4:B44)</f>
        <v>6</v>
      </c>
      <c r="B44" s="364"/>
      <c r="C44" s="164"/>
      <c r="D44" s="161">
        <f t="shared" si="0"/>
        <v>0</v>
      </c>
      <c r="E44" s="163">
        <f>SUM($D$3:D44)</f>
        <v>18323</v>
      </c>
      <c r="F44" s="371">
        <f t="shared" si="1"/>
        <v>6</v>
      </c>
    </row>
    <row r="45" spans="1:6" hidden="1">
      <c r="A45" s="153">
        <f>SUBTOTAL(103,B$4:B45)</f>
        <v>6</v>
      </c>
      <c r="B45" s="364"/>
      <c r="C45" s="164"/>
      <c r="D45" s="161">
        <f t="shared" si="0"/>
        <v>0</v>
      </c>
      <c r="E45" s="163">
        <f>SUM($D$3:D45)</f>
        <v>18323</v>
      </c>
      <c r="F45" s="371">
        <f t="shared" si="1"/>
        <v>6</v>
      </c>
    </row>
    <row r="46" spans="1:6" hidden="1">
      <c r="A46" s="153">
        <f>SUBTOTAL(103,B$4:B46)</f>
        <v>6</v>
      </c>
      <c r="B46" s="364"/>
      <c r="C46" s="164"/>
      <c r="D46" s="161">
        <f t="shared" si="0"/>
        <v>0</v>
      </c>
      <c r="E46" s="163">
        <f>SUM($D$3:D46)</f>
        <v>18323</v>
      </c>
      <c r="F46" s="371">
        <f t="shared" si="1"/>
        <v>6</v>
      </c>
    </row>
    <row r="47" spans="1:6" ht="21.75" hidden="1" customHeight="1">
      <c r="A47" s="153">
        <f>SUBTOTAL(103,B$4:B47)</f>
        <v>6</v>
      </c>
      <c r="B47" s="228"/>
      <c r="C47" s="164"/>
      <c r="D47" s="161">
        <f t="shared" si="0"/>
        <v>0</v>
      </c>
      <c r="E47" s="163">
        <f>SUM($D$3:D47)</f>
        <v>18323</v>
      </c>
      <c r="F47" s="371">
        <f t="shared" si="1"/>
        <v>6</v>
      </c>
    </row>
    <row r="48" spans="1:6" hidden="1">
      <c r="A48" s="153">
        <f>SUBTOTAL(103,B$4:B48)</f>
        <v>6</v>
      </c>
      <c r="B48" s="228"/>
      <c r="C48" s="164"/>
      <c r="D48" s="161">
        <f t="shared" si="0"/>
        <v>0</v>
      </c>
      <c r="E48" s="163">
        <f>SUM($D$3:D48)</f>
        <v>18323</v>
      </c>
      <c r="F48" s="371">
        <f t="shared" si="1"/>
        <v>6</v>
      </c>
    </row>
    <row r="49" spans="1:6" hidden="1">
      <c r="A49" s="153">
        <f>SUBTOTAL(103,B$4:B49)</f>
        <v>6</v>
      </c>
      <c r="B49" s="228"/>
      <c r="C49" s="164"/>
      <c r="D49" s="161">
        <f t="shared" si="0"/>
        <v>0</v>
      </c>
      <c r="E49" s="163">
        <f>SUM($D$3:D49)</f>
        <v>18323</v>
      </c>
      <c r="F49" s="371">
        <f t="shared" si="1"/>
        <v>6</v>
      </c>
    </row>
    <row r="50" spans="1:6" hidden="1">
      <c r="A50" s="153">
        <f>SUBTOTAL(103,B$4:B50)</f>
        <v>6</v>
      </c>
      <c r="B50" s="228"/>
      <c r="C50" s="164"/>
      <c r="D50" s="161">
        <f t="shared" si="0"/>
        <v>0</v>
      </c>
      <c r="E50" s="163">
        <f>SUM($D$3:D50)</f>
        <v>18323</v>
      </c>
      <c r="F50" s="371">
        <f t="shared" si="1"/>
        <v>6</v>
      </c>
    </row>
    <row r="51" spans="1:6">
      <c r="A51" s="153"/>
      <c r="B51" s="135" t="s">
        <v>233</v>
      </c>
      <c r="C51" s="136">
        <f>SUM(C4:C50)</f>
        <v>18323</v>
      </c>
    </row>
    <row r="52" spans="1:6">
      <c r="A52" s="505" t="s">
        <v>524</v>
      </c>
      <c r="B52" s="506"/>
      <c r="C52" s="507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7" activePane="bottomRight" state="frozen"/>
      <selection pane="topRight" activeCell="H1" sqref="H1"/>
      <selection pane="bottomLeft" activeCell="A2" sqref="A2"/>
      <selection pane="bottomRight" activeCell="B59" sqref="B5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P!V3</f>
        <v>45971</v>
      </c>
    </row>
    <row r="2" spans="1:7" ht="34.5" customHeight="1">
      <c r="A2" s="508" t="s">
        <v>505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474</v>
      </c>
      <c r="C4" s="169">
        <v>3048</v>
      </c>
      <c r="D4" s="161">
        <f t="shared" ref="D4:D50" si="0">C4</f>
        <v>3048</v>
      </c>
      <c r="E4" s="163">
        <f>SUM($D$3:D4)</f>
        <v>3048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477</v>
      </c>
      <c r="C5" s="169">
        <v>6529</v>
      </c>
      <c r="D5" s="161">
        <f t="shared" si="0"/>
        <v>6529</v>
      </c>
      <c r="E5" s="163">
        <f>SUM($D$3:D5)</f>
        <v>9577</v>
      </c>
      <c r="F5" s="371">
        <f t="shared" si="1"/>
        <v>2</v>
      </c>
    </row>
    <row r="6" spans="1:7">
      <c r="A6" s="153">
        <f>SUBTOTAL(103,B$4:B6)</f>
        <v>3</v>
      </c>
      <c r="B6" s="228" t="s">
        <v>476</v>
      </c>
      <c r="C6" s="169">
        <v>1836</v>
      </c>
      <c r="D6" s="161">
        <f t="shared" si="0"/>
        <v>1836</v>
      </c>
      <c r="E6" s="163">
        <f>SUM($D$3:D6)</f>
        <v>11413</v>
      </c>
      <c r="F6" s="371">
        <f t="shared" si="1"/>
        <v>3</v>
      </c>
    </row>
    <row r="7" spans="1:7">
      <c r="A7" s="153">
        <f>SUBTOTAL(103,B$4:B7)</f>
        <v>4</v>
      </c>
      <c r="B7" s="228" t="s">
        <v>478</v>
      </c>
      <c r="C7" s="169">
        <v>670</v>
      </c>
      <c r="D7" s="161">
        <f t="shared" si="0"/>
        <v>670</v>
      </c>
      <c r="E7" s="163">
        <f>SUM($D$3:D7)</f>
        <v>12083</v>
      </c>
      <c r="F7" s="371">
        <f t="shared" si="1"/>
        <v>4</v>
      </c>
    </row>
    <row r="8" spans="1:7">
      <c r="A8" s="153">
        <f>SUBTOTAL(103,B$4:B8)</f>
        <v>5</v>
      </c>
      <c r="B8" s="228" t="s">
        <v>201</v>
      </c>
      <c r="C8" s="169">
        <v>7000</v>
      </c>
      <c r="D8" s="161">
        <f t="shared" si="0"/>
        <v>7000</v>
      </c>
      <c r="E8" s="163">
        <f>SUM($D$3:D8)</f>
        <v>19083</v>
      </c>
      <c r="F8" s="371">
        <f t="shared" si="1"/>
        <v>5</v>
      </c>
    </row>
    <row r="9" spans="1:7">
      <c r="A9" s="153">
        <f>SUBTOTAL(103,B$4:B9)</f>
        <v>6</v>
      </c>
      <c r="B9" s="228" t="s">
        <v>479</v>
      </c>
      <c r="C9" s="169">
        <v>510</v>
      </c>
      <c r="D9" s="161">
        <f t="shared" si="0"/>
        <v>510</v>
      </c>
      <c r="E9" s="163">
        <f>SUM($D$3:D9)</f>
        <v>19593</v>
      </c>
      <c r="F9" s="371">
        <f t="shared" si="1"/>
        <v>6</v>
      </c>
    </row>
    <row r="10" spans="1:7">
      <c r="A10" s="153">
        <f>SUBTOTAL(103,B$4:B10)</f>
        <v>7</v>
      </c>
      <c r="B10" s="228" t="s">
        <v>480</v>
      </c>
      <c r="C10" s="169">
        <v>3200</v>
      </c>
      <c r="D10" s="161">
        <f t="shared" si="0"/>
        <v>3200</v>
      </c>
      <c r="E10" s="163">
        <f>SUM($D$3:D10)</f>
        <v>22793</v>
      </c>
      <c r="F10" s="371">
        <f t="shared" si="1"/>
        <v>7</v>
      </c>
    </row>
    <row r="11" spans="1:7" hidden="1">
      <c r="A11" s="153">
        <f>SUBTOTAL(103,B$4:B11)</f>
        <v>7</v>
      </c>
      <c r="B11" s="228"/>
      <c r="C11" s="169"/>
      <c r="D11" s="161">
        <f t="shared" si="0"/>
        <v>0</v>
      </c>
      <c r="E11" s="163">
        <f>SUM($D$3:D11)</f>
        <v>22793</v>
      </c>
      <c r="F11" s="371">
        <f t="shared" si="1"/>
        <v>7</v>
      </c>
    </row>
    <row r="12" spans="1:7" hidden="1">
      <c r="A12" s="153">
        <f>SUBTOTAL(103,B$4:B12)</f>
        <v>7</v>
      </c>
      <c r="B12" s="228"/>
      <c r="C12" s="169"/>
      <c r="D12" s="161">
        <f t="shared" si="0"/>
        <v>0</v>
      </c>
      <c r="E12" s="163">
        <f>SUM($D$3:D12)</f>
        <v>22793</v>
      </c>
      <c r="F12" s="371">
        <f t="shared" si="1"/>
        <v>7</v>
      </c>
    </row>
    <row r="13" spans="1:7" hidden="1">
      <c r="A13" s="153">
        <f>SUBTOTAL(103,B$4:B13)</f>
        <v>7</v>
      </c>
      <c r="B13" s="228"/>
      <c r="C13" s="169"/>
      <c r="D13" s="161">
        <f t="shared" si="0"/>
        <v>0</v>
      </c>
      <c r="E13" s="163">
        <f>SUM($D$3:D13)</f>
        <v>22793</v>
      </c>
      <c r="F13" s="371">
        <f t="shared" si="1"/>
        <v>7</v>
      </c>
    </row>
    <row r="14" spans="1:7" hidden="1">
      <c r="A14" s="153">
        <f>SUBTOTAL(103,B$4:B14)</f>
        <v>7</v>
      </c>
      <c r="B14" s="139"/>
      <c r="C14" s="164"/>
      <c r="D14" s="161">
        <f t="shared" si="0"/>
        <v>0</v>
      </c>
      <c r="E14" s="163">
        <f>SUM($D$3:D14)</f>
        <v>22793</v>
      </c>
      <c r="F14" s="371">
        <f t="shared" si="1"/>
        <v>7</v>
      </c>
    </row>
    <row r="15" spans="1:7" hidden="1">
      <c r="A15" s="153">
        <f>SUBTOTAL(103,B$4:B15)</f>
        <v>7</v>
      </c>
      <c r="B15" s="228"/>
      <c r="C15" s="164"/>
      <c r="D15" s="161">
        <f t="shared" si="0"/>
        <v>0</v>
      </c>
      <c r="E15" s="163">
        <f>SUM($D$3:D15)</f>
        <v>22793</v>
      </c>
      <c r="F15" s="371">
        <f t="shared" si="1"/>
        <v>7</v>
      </c>
    </row>
    <row r="16" spans="1:7" hidden="1">
      <c r="A16" s="153">
        <f>SUBTOTAL(103,B$4:B16)</f>
        <v>7</v>
      </c>
      <c r="B16" s="228"/>
      <c r="C16" s="164"/>
      <c r="D16" s="161">
        <f t="shared" si="0"/>
        <v>0</v>
      </c>
      <c r="E16" s="163">
        <f>SUM($D$3:D16)</f>
        <v>22793</v>
      </c>
      <c r="F16" s="371">
        <f t="shared" si="1"/>
        <v>7</v>
      </c>
    </row>
    <row r="17" spans="1:6" hidden="1">
      <c r="A17" s="153">
        <f>SUBTOTAL(103,B$4:B17)</f>
        <v>7</v>
      </c>
      <c r="B17" s="228"/>
      <c r="C17" s="164"/>
      <c r="D17" s="161">
        <f t="shared" si="0"/>
        <v>0</v>
      </c>
      <c r="E17" s="163">
        <f>SUM($D$3:D17)</f>
        <v>22793</v>
      </c>
      <c r="F17" s="371">
        <f t="shared" si="1"/>
        <v>7</v>
      </c>
    </row>
    <row r="18" spans="1:6" hidden="1">
      <c r="A18" s="153">
        <f>SUBTOTAL(103,B$4:B18)</f>
        <v>7</v>
      </c>
      <c r="B18" s="228"/>
      <c r="C18" s="164"/>
      <c r="D18" s="161">
        <f t="shared" si="0"/>
        <v>0</v>
      </c>
      <c r="E18" s="163">
        <f>SUM($D$3:D18)</f>
        <v>22793</v>
      </c>
      <c r="F18" s="371">
        <f t="shared" si="1"/>
        <v>7</v>
      </c>
    </row>
    <row r="19" spans="1:6" hidden="1">
      <c r="A19" s="153">
        <f>SUBTOTAL(103,B$4:B19)</f>
        <v>7</v>
      </c>
      <c r="B19" s="228"/>
      <c r="C19" s="164"/>
      <c r="D19" s="161">
        <f t="shared" si="0"/>
        <v>0</v>
      </c>
      <c r="E19" s="163">
        <f>SUM($D$3:D19)</f>
        <v>22793</v>
      </c>
      <c r="F19" s="371">
        <f t="shared" si="1"/>
        <v>7</v>
      </c>
    </row>
    <row r="20" spans="1:6" hidden="1">
      <c r="A20" s="153">
        <f>SUBTOTAL(103,B$4:B20)</f>
        <v>7</v>
      </c>
      <c r="B20" s="228"/>
      <c r="C20" s="164"/>
      <c r="D20" s="161">
        <f t="shared" si="0"/>
        <v>0</v>
      </c>
      <c r="E20" s="163">
        <f>SUM($D$3:D20)</f>
        <v>22793</v>
      </c>
      <c r="F20" s="371">
        <f t="shared" si="1"/>
        <v>7</v>
      </c>
    </row>
    <row r="21" spans="1:6" hidden="1">
      <c r="A21" s="153">
        <f>SUBTOTAL(103,B$4:B21)</f>
        <v>7</v>
      </c>
      <c r="B21" s="228"/>
      <c r="C21" s="164"/>
      <c r="D21" s="161">
        <f t="shared" si="0"/>
        <v>0</v>
      </c>
      <c r="E21" s="163">
        <f>SUM($D$3:D21)</f>
        <v>22793</v>
      </c>
      <c r="F21" s="371">
        <f t="shared" si="1"/>
        <v>7</v>
      </c>
    </row>
    <row r="22" spans="1:6" hidden="1">
      <c r="A22" s="153">
        <f>SUBTOTAL(103,B$4:B22)</f>
        <v>7</v>
      </c>
      <c r="B22" s="228"/>
      <c r="C22" s="164"/>
      <c r="D22" s="161">
        <f t="shared" si="0"/>
        <v>0</v>
      </c>
      <c r="E22" s="163">
        <f>SUM($D$3:D22)</f>
        <v>22793</v>
      </c>
      <c r="F22" s="371">
        <f t="shared" si="1"/>
        <v>7</v>
      </c>
    </row>
    <row r="23" spans="1:6" hidden="1">
      <c r="A23" s="153">
        <f>SUBTOTAL(103,B$4:B23)</f>
        <v>7</v>
      </c>
      <c r="B23" s="228"/>
      <c r="C23" s="164"/>
      <c r="D23" s="161">
        <f t="shared" si="0"/>
        <v>0</v>
      </c>
      <c r="E23" s="163">
        <f>SUM($D$3:D23)</f>
        <v>22793</v>
      </c>
      <c r="F23" s="371">
        <f t="shared" si="1"/>
        <v>7</v>
      </c>
    </row>
    <row r="24" spans="1:6" hidden="1">
      <c r="A24" s="153">
        <f>SUBTOTAL(103,B$4:B24)</f>
        <v>7</v>
      </c>
      <c r="B24" s="228"/>
      <c r="C24" s="164"/>
      <c r="D24" s="161">
        <f t="shared" si="0"/>
        <v>0</v>
      </c>
      <c r="E24" s="163">
        <f>SUM($D$3:D24)</f>
        <v>22793</v>
      </c>
      <c r="F24" s="371">
        <f t="shared" si="1"/>
        <v>7</v>
      </c>
    </row>
    <row r="25" spans="1:6" hidden="1">
      <c r="A25" s="153">
        <f>SUBTOTAL(103,B$4:B25)</f>
        <v>7</v>
      </c>
      <c r="B25" s="228"/>
      <c r="C25" s="164"/>
      <c r="D25" s="161">
        <f t="shared" si="0"/>
        <v>0</v>
      </c>
      <c r="E25" s="163">
        <f>SUM($D$3:D25)</f>
        <v>22793</v>
      </c>
      <c r="F25" s="371">
        <f t="shared" si="1"/>
        <v>7</v>
      </c>
    </row>
    <row r="26" spans="1:6" hidden="1">
      <c r="A26" s="153">
        <f>SUBTOTAL(103,B$4:B26)</f>
        <v>7</v>
      </c>
      <c r="B26" s="228"/>
      <c r="C26" s="164"/>
      <c r="D26" s="161">
        <f t="shared" si="0"/>
        <v>0</v>
      </c>
      <c r="E26" s="163">
        <f>SUM($D$3:D26)</f>
        <v>22793</v>
      </c>
      <c r="F26" s="371">
        <f t="shared" si="1"/>
        <v>7</v>
      </c>
    </row>
    <row r="27" spans="1:6" hidden="1">
      <c r="A27" s="153">
        <f>SUBTOTAL(103,B$4:B27)</f>
        <v>7</v>
      </c>
      <c r="B27" s="228"/>
      <c r="C27" s="164"/>
      <c r="D27" s="161">
        <f t="shared" si="0"/>
        <v>0</v>
      </c>
      <c r="E27" s="163">
        <f>SUM($D$3:D27)</f>
        <v>22793</v>
      </c>
      <c r="F27" s="371">
        <f t="shared" si="1"/>
        <v>7</v>
      </c>
    </row>
    <row r="28" spans="1:6" hidden="1">
      <c r="A28" s="153">
        <f>SUBTOTAL(103,B$4:B28)</f>
        <v>7</v>
      </c>
      <c r="B28" s="228"/>
      <c r="C28" s="164"/>
      <c r="D28" s="161">
        <f t="shared" si="0"/>
        <v>0</v>
      </c>
      <c r="E28" s="163">
        <f>SUM($D$3:D28)</f>
        <v>22793</v>
      </c>
      <c r="F28" s="371">
        <f t="shared" si="1"/>
        <v>7</v>
      </c>
    </row>
    <row r="29" spans="1:6" hidden="1">
      <c r="A29" s="153">
        <f>SUBTOTAL(103,B$4:B29)</f>
        <v>7</v>
      </c>
      <c r="B29" s="228"/>
      <c r="C29" s="164"/>
      <c r="D29" s="161">
        <f t="shared" si="0"/>
        <v>0</v>
      </c>
      <c r="E29" s="163">
        <f>SUM($D$3:D29)</f>
        <v>22793</v>
      </c>
      <c r="F29" s="371">
        <f t="shared" si="1"/>
        <v>7</v>
      </c>
    </row>
    <row r="30" spans="1:6" hidden="1">
      <c r="A30" s="153">
        <f>SUBTOTAL(103,B$4:B30)</f>
        <v>7</v>
      </c>
      <c r="B30" s="228"/>
      <c r="C30" s="164"/>
      <c r="D30" s="161">
        <f t="shared" si="0"/>
        <v>0</v>
      </c>
      <c r="E30" s="163">
        <f>SUM($D$3:D30)</f>
        <v>22793</v>
      </c>
      <c r="F30" s="371">
        <f t="shared" si="1"/>
        <v>7</v>
      </c>
    </row>
    <row r="31" spans="1:6" hidden="1">
      <c r="A31" s="153">
        <f>SUBTOTAL(103,B$4:B31)</f>
        <v>7</v>
      </c>
      <c r="B31" s="228"/>
      <c r="C31" s="164"/>
      <c r="D31" s="161">
        <f t="shared" si="0"/>
        <v>0</v>
      </c>
      <c r="E31" s="163">
        <f>SUM($D$3:D31)</f>
        <v>22793</v>
      </c>
      <c r="F31" s="371">
        <f t="shared" si="1"/>
        <v>7</v>
      </c>
    </row>
    <row r="32" spans="1:6" hidden="1">
      <c r="A32" s="153">
        <f>SUBTOTAL(103,B$4:B32)</f>
        <v>7</v>
      </c>
      <c r="B32" s="228"/>
      <c r="C32" s="164"/>
      <c r="D32" s="161">
        <f t="shared" si="0"/>
        <v>0</v>
      </c>
      <c r="E32" s="163">
        <f>SUM($D$3:D32)</f>
        <v>22793</v>
      </c>
      <c r="F32" s="371">
        <f t="shared" si="1"/>
        <v>7</v>
      </c>
    </row>
    <row r="33" spans="1:6" hidden="1">
      <c r="A33" s="153">
        <f>SUBTOTAL(103,B$4:B33)</f>
        <v>7</v>
      </c>
      <c r="B33" s="228"/>
      <c r="C33" s="164"/>
      <c r="D33" s="161">
        <f t="shared" si="0"/>
        <v>0</v>
      </c>
      <c r="E33" s="163">
        <f>SUM($D$3:D33)</f>
        <v>22793</v>
      </c>
      <c r="F33" s="371">
        <f t="shared" si="1"/>
        <v>7</v>
      </c>
    </row>
    <row r="34" spans="1:6" hidden="1">
      <c r="A34" s="153">
        <f>SUBTOTAL(103,B$4:B34)</f>
        <v>7</v>
      </c>
      <c r="B34" s="228"/>
      <c r="C34" s="164"/>
      <c r="D34" s="161">
        <f t="shared" si="0"/>
        <v>0</v>
      </c>
      <c r="E34" s="163">
        <f>SUM($D$3:D34)</f>
        <v>22793</v>
      </c>
      <c r="F34" s="371">
        <f t="shared" si="1"/>
        <v>7</v>
      </c>
    </row>
    <row r="35" spans="1:6" hidden="1">
      <c r="A35" s="153">
        <f>SUBTOTAL(103,B$4:B35)</f>
        <v>7</v>
      </c>
      <c r="B35" s="228"/>
      <c r="C35" s="164"/>
      <c r="D35" s="161">
        <f t="shared" si="0"/>
        <v>0</v>
      </c>
      <c r="E35" s="163">
        <f>SUM($D$3:D35)</f>
        <v>22793</v>
      </c>
      <c r="F35" s="371">
        <f t="shared" si="1"/>
        <v>7</v>
      </c>
    </row>
    <row r="36" spans="1:6" hidden="1">
      <c r="A36" s="153">
        <f>SUBTOTAL(103,B$4:B36)</f>
        <v>7</v>
      </c>
      <c r="B36" s="228"/>
      <c r="C36" s="164"/>
      <c r="D36" s="161">
        <f t="shared" si="0"/>
        <v>0</v>
      </c>
      <c r="E36" s="163">
        <f>SUM($D$3:D36)</f>
        <v>22793</v>
      </c>
      <c r="F36" s="371">
        <f t="shared" si="1"/>
        <v>7</v>
      </c>
    </row>
    <row r="37" spans="1:6" hidden="1">
      <c r="A37" s="153">
        <f>SUBTOTAL(103,B$4:B37)</f>
        <v>7</v>
      </c>
      <c r="B37" s="228"/>
      <c r="C37" s="164"/>
      <c r="D37" s="161">
        <f t="shared" si="0"/>
        <v>0</v>
      </c>
      <c r="E37" s="163">
        <f>SUM($D$3:D37)</f>
        <v>22793</v>
      </c>
      <c r="F37" s="371">
        <f>A37</f>
        <v>7</v>
      </c>
    </row>
    <row r="38" spans="1:6" hidden="1">
      <c r="A38" s="153">
        <f>SUBTOTAL(103,B$4:B38)</f>
        <v>7</v>
      </c>
      <c r="B38" s="364"/>
      <c r="C38" s="164"/>
      <c r="D38" s="161">
        <f t="shared" si="0"/>
        <v>0</v>
      </c>
      <c r="E38" s="163">
        <f>SUM($D$3:D38)</f>
        <v>22793</v>
      </c>
      <c r="F38" s="371">
        <f t="shared" ref="F38:F46" si="2">A38</f>
        <v>7</v>
      </c>
    </row>
    <row r="39" spans="1:6" hidden="1">
      <c r="A39" s="153">
        <f>SUBTOTAL(103,B$4:B39)</f>
        <v>7</v>
      </c>
      <c r="B39" s="364"/>
      <c r="C39" s="164"/>
      <c r="D39" s="161">
        <f t="shared" si="0"/>
        <v>0</v>
      </c>
      <c r="E39" s="163">
        <f>SUM($D$3:D39)</f>
        <v>22793</v>
      </c>
      <c r="F39" s="371">
        <f t="shared" si="2"/>
        <v>7</v>
      </c>
    </row>
    <row r="40" spans="1:6" hidden="1">
      <c r="A40" s="153">
        <f>SUBTOTAL(103,B$4:B40)</f>
        <v>7</v>
      </c>
      <c r="B40" s="364"/>
      <c r="C40" s="164"/>
      <c r="D40" s="161">
        <f t="shared" si="0"/>
        <v>0</v>
      </c>
      <c r="E40" s="163">
        <f>SUM($D$3:D40)</f>
        <v>22793</v>
      </c>
      <c r="F40" s="371">
        <f t="shared" si="2"/>
        <v>7</v>
      </c>
    </row>
    <row r="41" spans="1:6" hidden="1">
      <c r="A41" s="153">
        <f>SUBTOTAL(103,B$4:B41)</f>
        <v>7</v>
      </c>
      <c r="B41" s="364"/>
      <c r="C41" s="164"/>
      <c r="D41" s="161">
        <f t="shared" si="0"/>
        <v>0</v>
      </c>
      <c r="E41" s="163">
        <f>SUM($D$3:D41)</f>
        <v>22793</v>
      </c>
      <c r="F41" s="371">
        <f t="shared" si="2"/>
        <v>7</v>
      </c>
    </row>
    <row r="42" spans="1:6" hidden="1">
      <c r="A42" s="153">
        <f>SUBTOTAL(103,B$4:B42)</f>
        <v>7</v>
      </c>
      <c r="B42" s="364"/>
      <c r="C42" s="164"/>
      <c r="D42" s="161">
        <f t="shared" si="0"/>
        <v>0</v>
      </c>
      <c r="E42" s="163">
        <f>SUM($D$3:D42)</f>
        <v>22793</v>
      </c>
      <c r="F42" s="371">
        <f t="shared" si="2"/>
        <v>7</v>
      </c>
    </row>
    <row r="43" spans="1:6" hidden="1">
      <c r="A43" s="153">
        <f>SUBTOTAL(103,B$4:B43)</f>
        <v>7</v>
      </c>
      <c r="B43" s="364"/>
      <c r="C43" s="164"/>
      <c r="D43" s="161">
        <f t="shared" si="0"/>
        <v>0</v>
      </c>
      <c r="E43" s="163">
        <f>SUM($D$3:D43)</f>
        <v>22793</v>
      </c>
      <c r="F43" s="371">
        <f t="shared" si="2"/>
        <v>7</v>
      </c>
    </row>
    <row r="44" spans="1:6" hidden="1">
      <c r="A44" s="153">
        <f>SUBTOTAL(103,B$4:B44)</f>
        <v>7</v>
      </c>
      <c r="B44" s="364"/>
      <c r="C44" s="164"/>
      <c r="D44" s="161">
        <f t="shared" si="0"/>
        <v>0</v>
      </c>
      <c r="E44" s="163">
        <f>SUM($D$3:D44)</f>
        <v>22793</v>
      </c>
      <c r="F44" s="371">
        <f t="shared" si="2"/>
        <v>7</v>
      </c>
    </row>
    <row r="45" spans="1:6" hidden="1">
      <c r="A45" s="153">
        <f>SUBTOTAL(103,B$4:B45)</f>
        <v>7</v>
      </c>
      <c r="B45" s="364"/>
      <c r="C45" s="164"/>
      <c r="D45" s="161">
        <f t="shared" si="0"/>
        <v>0</v>
      </c>
      <c r="E45" s="163">
        <f>SUM($D$3:D45)</f>
        <v>22793</v>
      </c>
      <c r="F45" s="371">
        <f t="shared" si="2"/>
        <v>7</v>
      </c>
    </row>
    <row r="46" spans="1:6" hidden="1">
      <c r="A46" s="153">
        <f>SUBTOTAL(103,B$4:B46)</f>
        <v>7</v>
      </c>
      <c r="B46" s="364"/>
      <c r="C46" s="164"/>
      <c r="D46" s="161">
        <f t="shared" si="0"/>
        <v>0</v>
      </c>
      <c r="E46" s="163">
        <f>SUM($D$3:D46)</f>
        <v>22793</v>
      </c>
      <c r="F46" s="371">
        <f t="shared" si="2"/>
        <v>7</v>
      </c>
    </row>
    <row r="47" spans="1:6" hidden="1">
      <c r="A47" s="153">
        <f>SUBTOTAL(103,B$4:B47)</f>
        <v>7</v>
      </c>
      <c r="B47" s="228"/>
      <c r="C47" s="164"/>
      <c r="D47" s="161">
        <f t="shared" si="0"/>
        <v>0</v>
      </c>
      <c r="E47" s="163">
        <f>SUM($D$3:D47)</f>
        <v>22793</v>
      </c>
      <c r="F47" s="371">
        <f t="shared" si="1"/>
        <v>7</v>
      </c>
    </row>
    <row r="48" spans="1:6" hidden="1">
      <c r="A48" s="153">
        <f>SUBTOTAL(103,B$4:B48)</f>
        <v>7</v>
      </c>
      <c r="B48" s="228"/>
      <c r="C48" s="164"/>
      <c r="D48" s="161">
        <f t="shared" si="0"/>
        <v>0</v>
      </c>
      <c r="E48" s="163">
        <f>SUM($D$3:D48)</f>
        <v>22793</v>
      </c>
      <c r="F48" s="371">
        <f t="shared" si="1"/>
        <v>7</v>
      </c>
    </row>
    <row r="49" spans="1:6" ht="20.25" hidden="1" customHeight="1">
      <c r="A49" s="153">
        <f>SUBTOTAL(103,B$4:B49)</f>
        <v>7</v>
      </c>
      <c r="B49" s="228"/>
      <c r="C49" s="164"/>
      <c r="D49" s="161">
        <f t="shared" si="0"/>
        <v>0</v>
      </c>
      <c r="E49" s="163">
        <f>SUM($D$3:D49)</f>
        <v>22793</v>
      </c>
      <c r="F49" s="371">
        <f t="shared" si="1"/>
        <v>7</v>
      </c>
    </row>
    <row r="50" spans="1:6" hidden="1">
      <c r="A50" s="153">
        <f>SUBTOTAL(103,B$4:B50)</f>
        <v>7</v>
      </c>
      <c r="B50" s="228"/>
      <c r="C50" s="164"/>
      <c r="D50" s="161">
        <f t="shared" si="0"/>
        <v>0</v>
      </c>
      <c r="E50" s="163">
        <f>SUM($D$3:D50)</f>
        <v>22793</v>
      </c>
      <c r="F50" s="371">
        <f t="shared" si="1"/>
        <v>7</v>
      </c>
    </row>
    <row r="51" spans="1:6">
      <c r="A51" s="153"/>
      <c r="B51" s="135" t="s">
        <v>233</v>
      </c>
      <c r="C51" s="136">
        <f>SUM(C4:C50)</f>
        <v>22793</v>
      </c>
    </row>
    <row r="52" spans="1:6">
      <c r="A52" s="505" t="s">
        <v>525</v>
      </c>
      <c r="B52" s="506"/>
      <c r="C52" s="507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G9" sqref="G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P!X3</f>
        <v>45972</v>
      </c>
    </row>
    <row r="2" spans="1:7" ht="34.5" customHeight="1">
      <c r="A2" s="508" t="s">
        <v>440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412" t="s">
        <v>474</v>
      </c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1</v>
      </c>
    </row>
    <row r="5" spans="1:7">
      <c r="A5" s="153">
        <f>SUBTOTAL(103,B$4:B5)</f>
        <v>2</v>
      </c>
      <c r="B5" s="412" t="s">
        <v>475</v>
      </c>
      <c r="C5" s="169"/>
      <c r="D5" s="161">
        <f t="shared" si="0"/>
        <v>0</v>
      </c>
      <c r="E5" s="163">
        <f>SUM($D$3:D5)</f>
        <v>0</v>
      </c>
      <c r="F5" s="371">
        <f t="shared" si="1"/>
        <v>2</v>
      </c>
    </row>
    <row r="6" spans="1:7">
      <c r="A6" s="153">
        <f>SUBTOTAL(103,B$4:B6)</f>
        <v>3</v>
      </c>
      <c r="B6" s="412" t="s">
        <v>476</v>
      </c>
      <c r="C6" s="169"/>
      <c r="D6" s="161">
        <f t="shared" si="0"/>
        <v>0</v>
      </c>
      <c r="E6" s="163">
        <f>SUM($D$3:D6)</f>
        <v>0</v>
      </c>
      <c r="F6" s="371">
        <f t="shared" si="1"/>
        <v>3</v>
      </c>
    </row>
    <row r="7" spans="1:7">
      <c r="A7" s="153">
        <f>SUBTOTAL(103,B$4:B7)</f>
        <v>4</v>
      </c>
      <c r="B7" s="412" t="s">
        <v>477</v>
      </c>
      <c r="C7" s="169"/>
      <c r="D7" s="161">
        <f t="shared" si="0"/>
        <v>0</v>
      </c>
      <c r="E7" s="163">
        <f>SUM($D$3:D7)</f>
        <v>0</v>
      </c>
      <c r="F7" s="371">
        <f t="shared" si="1"/>
        <v>4</v>
      </c>
    </row>
    <row r="8" spans="1:7">
      <c r="A8" s="153">
        <f>SUBTOTAL(103,B$4:B8)</f>
        <v>5</v>
      </c>
      <c r="B8" s="412" t="s">
        <v>123</v>
      </c>
      <c r="C8" s="169"/>
      <c r="D8" s="161">
        <f t="shared" si="0"/>
        <v>0</v>
      </c>
      <c r="E8" s="163">
        <f>SUM($D$3:D8)</f>
        <v>0</v>
      </c>
      <c r="F8" s="371">
        <f t="shared" si="1"/>
        <v>5</v>
      </c>
    </row>
    <row r="9" spans="1:7">
      <c r="A9" s="153">
        <f>SUBTOTAL(103,B$4:B9)</f>
        <v>6</v>
      </c>
      <c r="B9" s="412" t="s">
        <v>478</v>
      </c>
      <c r="C9" s="169"/>
      <c r="D9" s="161">
        <f t="shared" si="0"/>
        <v>0</v>
      </c>
      <c r="E9" s="163">
        <f>SUM($D$3:D9)</f>
        <v>0</v>
      </c>
      <c r="F9" s="371">
        <f t="shared" si="1"/>
        <v>6</v>
      </c>
    </row>
    <row r="10" spans="1:7">
      <c r="A10" s="153">
        <f>SUBTOTAL(103,B$4:B10)</f>
        <v>7</v>
      </c>
      <c r="B10" s="412" t="s">
        <v>479</v>
      </c>
      <c r="C10" s="169"/>
      <c r="D10" s="161">
        <f t="shared" si="0"/>
        <v>0</v>
      </c>
      <c r="E10" s="163">
        <f>SUM($D$3:D10)</f>
        <v>0</v>
      </c>
      <c r="F10" s="371">
        <f t="shared" si="1"/>
        <v>7</v>
      </c>
    </row>
    <row r="11" spans="1:7">
      <c r="A11" s="153">
        <f>SUBTOTAL(103,B$4:B10)</f>
        <v>7</v>
      </c>
      <c r="B11" s="412" t="s">
        <v>480</v>
      </c>
      <c r="C11" s="169"/>
      <c r="D11" s="161">
        <f>C11</f>
        <v>0</v>
      </c>
      <c r="E11" s="163">
        <f>SUM($D$3:D11)</f>
        <v>0</v>
      </c>
      <c r="F11" s="371">
        <f t="shared" si="1"/>
        <v>7</v>
      </c>
    </row>
    <row r="12" spans="1:7">
      <c r="A12" s="153">
        <f>SUBTOTAL(103,B$4:B11)</f>
        <v>8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8</v>
      </c>
    </row>
    <row r="13" spans="1:7">
      <c r="A13" s="153">
        <f>SUBTOTAL(103,B$4:B12)</f>
        <v>8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8</v>
      </c>
    </row>
    <row r="14" spans="1:7">
      <c r="A14" s="153">
        <f>SUBTOTAL(103,B$4:B14)</f>
        <v>8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8</v>
      </c>
    </row>
    <row r="15" spans="1:7">
      <c r="A15" s="153">
        <f>SUBTOTAL(103,B$4:B15)</f>
        <v>8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8</v>
      </c>
    </row>
    <row r="16" spans="1:7">
      <c r="A16" s="153">
        <f>SUBTOTAL(103,B$4:B16)</f>
        <v>8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8</v>
      </c>
    </row>
    <row r="17" spans="1:6">
      <c r="A17" s="153">
        <f>SUBTOTAL(103,B$4:B17)</f>
        <v>8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8</v>
      </c>
    </row>
    <row r="18" spans="1:6">
      <c r="A18" s="153">
        <f>SUBTOTAL(103,B$4:B18)</f>
        <v>8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8</v>
      </c>
    </row>
    <row r="19" spans="1:6">
      <c r="A19" s="153">
        <f>SUBTOTAL(103,B$4:B19)</f>
        <v>8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8</v>
      </c>
    </row>
    <row r="20" spans="1:6">
      <c r="A20" s="153">
        <f>SUBTOTAL(103,B$4:B20)</f>
        <v>8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8</v>
      </c>
    </row>
    <row r="21" spans="1:6">
      <c r="A21" s="153">
        <f>SUBTOTAL(103,B$4:B21)</f>
        <v>8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8</v>
      </c>
    </row>
    <row r="22" spans="1:6">
      <c r="A22" s="153">
        <f>SUBTOTAL(103,B$4:B22)</f>
        <v>8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8</v>
      </c>
    </row>
    <row r="23" spans="1:6">
      <c r="A23" s="153">
        <f>SUBTOTAL(103,B$4:B23)</f>
        <v>8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8</v>
      </c>
    </row>
    <row r="24" spans="1:6">
      <c r="A24" s="153">
        <f>SUBTOTAL(103,B$4:B24)</f>
        <v>8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8</v>
      </c>
    </row>
    <row r="25" spans="1:6">
      <c r="A25" s="153">
        <f>SUBTOTAL(103,B$4:B25)</f>
        <v>8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8</v>
      </c>
    </row>
    <row r="26" spans="1:6">
      <c r="A26" s="153">
        <f>SUBTOTAL(103,B$4:B26)</f>
        <v>8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8</v>
      </c>
    </row>
    <row r="27" spans="1:6">
      <c r="A27" s="153">
        <f>SUBTOTAL(103,B$4:B27)</f>
        <v>8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8</v>
      </c>
    </row>
    <row r="28" spans="1:6">
      <c r="A28" s="153">
        <f>SUBTOTAL(103,B$4:B28)</f>
        <v>8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8</v>
      </c>
    </row>
    <row r="29" spans="1:6">
      <c r="A29" s="153">
        <f>SUBTOTAL(103,B$4:B29)</f>
        <v>8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8</v>
      </c>
    </row>
    <row r="30" spans="1:6">
      <c r="A30" s="153">
        <f>SUBTOTAL(103,B$4:B30)</f>
        <v>8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8</v>
      </c>
    </row>
    <row r="31" spans="1:6">
      <c r="A31" s="153">
        <f>SUBTOTAL(103,B$4:B31)</f>
        <v>8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8</v>
      </c>
    </row>
    <row r="32" spans="1:6">
      <c r="A32" s="153">
        <f>SUBTOTAL(103,B$4:B32)</f>
        <v>8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8</v>
      </c>
    </row>
    <row r="33" spans="1:6">
      <c r="A33" s="153">
        <f>SUBTOTAL(103,B$4:B33)</f>
        <v>8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8</v>
      </c>
    </row>
    <row r="34" spans="1:6">
      <c r="A34" s="153">
        <f>SUBTOTAL(103,B$4:B34)</f>
        <v>8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8</v>
      </c>
    </row>
    <row r="35" spans="1:6">
      <c r="A35" s="153">
        <f>SUBTOTAL(103,B$4:B35)</f>
        <v>8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8</v>
      </c>
    </row>
    <row r="36" spans="1:6">
      <c r="A36" s="153">
        <f>SUBTOTAL(103,B$4:B36)</f>
        <v>8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8</v>
      </c>
    </row>
    <row r="37" spans="1:6">
      <c r="A37" s="153">
        <f>SUBTOTAL(103,B$4:B37)</f>
        <v>8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8</v>
      </c>
    </row>
    <row r="38" spans="1:6">
      <c r="A38" s="153">
        <f>SUBTOTAL(103,B$4:B38)</f>
        <v>8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8</v>
      </c>
    </row>
    <row r="39" spans="1:6">
      <c r="A39" s="153">
        <f>SUBTOTAL(103,B$4:B39)</f>
        <v>8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8</v>
      </c>
    </row>
    <row r="40" spans="1:6">
      <c r="A40" s="153">
        <f>SUBTOTAL(103,B$4:B40)</f>
        <v>8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8</v>
      </c>
    </row>
    <row r="41" spans="1:6">
      <c r="A41" s="153">
        <f>SUBTOTAL(103,B$4:B41)</f>
        <v>8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8</v>
      </c>
    </row>
    <row r="42" spans="1:6">
      <c r="A42" s="153">
        <f>SUBTOTAL(103,B$4:B42)</f>
        <v>8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8</v>
      </c>
    </row>
    <row r="43" spans="1:6">
      <c r="A43" s="153">
        <f>SUBTOTAL(103,B$4:B43)</f>
        <v>8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8</v>
      </c>
    </row>
    <row r="44" spans="1:6">
      <c r="A44" s="153">
        <f>SUBTOTAL(103,B$4:B44)</f>
        <v>8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8</v>
      </c>
    </row>
    <row r="45" spans="1:6">
      <c r="A45" s="153">
        <f>SUBTOTAL(103,B$4:B45)</f>
        <v>8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8</v>
      </c>
    </row>
    <row r="46" spans="1:6">
      <c r="A46" s="153">
        <f>SUBTOTAL(103,B$4:B46)</f>
        <v>8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8</v>
      </c>
    </row>
    <row r="47" spans="1:6">
      <c r="A47" s="153">
        <f>SUBTOTAL(103,B$4:B47)</f>
        <v>8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8</v>
      </c>
    </row>
    <row r="48" spans="1:6">
      <c r="A48" s="153">
        <f>SUBTOTAL(103,B$4:B48)</f>
        <v>8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8</v>
      </c>
    </row>
    <row r="49" spans="1:6">
      <c r="A49" s="153">
        <f>SUBTOTAL(103,B$4:B49)</f>
        <v>8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8</v>
      </c>
    </row>
    <row r="50" spans="1:6">
      <c r="A50" s="153">
        <f>SUBTOTAL(103,B$4:B50)</f>
        <v>8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8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5" t="s">
        <v>442</v>
      </c>
      <c r="B52" s="506"/>
      <c r="C52" s="507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P!X3+1</f>
        <v>45973</v>
      </c>
    </row>
    <row r="2" spans="1:7" ht="34.5" customHeight="1">
      <c r="A2" s="508" t="s">
        <v>410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05" t="s">
        <v>370</v>
      </c>
      <c r="B52" s="506"/>
      <c r="C52" s="507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P!AB3</f>
        <v>45974</v>
      </c>
    </row>
    <row r="2" spans="1:7" ht="34.5" customHeight="1">
      <c r="A2" s="508" t="s">
        <v>412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5" t="s">
        <v>370</v>
      </c>
      <c r="B52" s="506"/>
      <c r="C52" s="507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P!AD3</f>
        <v>45975</v>
      </c>
    </row>
    <row r="2" spans="1:7" ht="34.5" customHeight="1">
      <c r="A2" s="508" t="s">
        <v>411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5" t="s">
        <v>370</v>
      </c>
      <c r="B52" s="506"/>
      <c r="C52" s="507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P!AH3</f>
        <v>45977</v>
      </c>
    </row>
    <row r="2" spans="1:7" ht="34.5" customHeight="1">
      <c r="A2" s="508" t="s">
        <v>413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5" t="s">
        <v>370</v>
      </c>
      <c r="B52" s="506"/>
      <c r="C52" s="507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6" t="s">
        <v>235</v>
      </c>
      <c r="B1" s="436"/>
      <c r="C1" s="436"/>
      <c r="G1" s="159">
        <f>P!AH3</f>
        <v>45977</v>
      </c>
    </row>
    <row r="2" spans="1:7" ht="34.5" customHeight="1">
      <c r="A2" s="508" t="s">
        <v>424</v>
      </c>
      <c r="B2" s="508"/>
      <c r="C2" s="508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5" t="s">
        <v>370</v>
      </c>
      <c r="B52" s="506"/>
      <c r="C52" s="507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zoomScaleNormal="100" workbookViewId="0">
      <selection activeCell="C28" sqref="C28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1" t="s">
        <v>235</v>
      </c>
      <c r="B1" s="501"/>
      <c r="C1" s="501"/>
      <c r="D1" s="501"/>
      <c r="E1" s="501"/>
      <c r="G1" s="416" t="b">
        <f>D20=P!AM2</f>
        <v>1</v>
      </c>
    </row>
    <row r="2" spans="1:7" ht="54" customHeight="1">
      <c r="A2" s="508" t="s">
        <v>514</v>
      </c>
      <c r="B2" s="508"/>
      <c r="C2" s="508"/>
      <c r="D2" s="508"/>
      <c r="E2" s="508"/>
      <c r="F2" s="24" t="s">
        <v>376</v>
      </c>
      <c r="G2" s="417" t="b">
        <f>D20=PL!T254</f>
        <v>1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45962</v>
      </c>
      <c r="C4" s="249" t="str">
        <f>'1'!A2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30973</v>
      </c>
      <c r="E4" s="11" t="s">
        <v>526</v>
      </c>
      <c r="F4" s="24">
        <f>'1'!F48</f>
        <v>8</v>
      </c>
    </row>
    <row r="5" spans="1:7" ht="36">
      <c r="A5" s="21">
        <f>SUBTOTAL(103,B$4:B5)</f>
        <v>2</v>
      </c>
      <c r="B5" s="173">
        <f>P!F3</f>
        <v>45963</v>
      </c>
      <c r="C5" s="249" t="str">
        <f>'2'!A2</f>
        <v xml:space="preserve">0২ নভেম্বর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45332</v>
      </c>
      <c r="E5" s="11" t="s">
        <v>527</v>
      </c>
      <c r="F5" s="24">
        <f>'2'!F50</f>
        <v>7</v>
      </c>
    </row>
    <row r="6" spans="1:7" ht="36">
      <c r="A6" s="21">
        <f>SUBTOTAL(103,B$4:B6)</f>
        <v>3</v>
      </c>
      <c r="B6" s="173">
        <f>P!H3</f>
        <v>45964</v>
      </c>
      <c r="C6" s="249" t="str">
        <f>'3'!A2</f>
        <v>03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36590</v>
      </c>
      <c r="E6" s="11" t="s">
        <v>528</v>
      </c>
      <c r="F6" s="24">
        <f>'3'!F50</f>
        <v>7</v>
      </c>
    </row>
    <row r="7" spans="1:7" ht="36">
      <c r="A7" s="21">
        <f>SUBTOTAL(103,B$4:B7)</f>
        <v>4</v>
      </c>
      <c r="B7" s="173">
        <f>P!J3</f>
        <v>45965</v>
      </c>
      <c r="C7" s="249" t="str">
        <f>'4'!A2</f>
        <v>04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51192</v>
      </c>
      <c r="E7" s="11" t="s">
        <v>529</v>
      </c>
      <c r="F7" s="24">
        <f>'4'!F50</f>
        <v>8</v>
      </c>
    </row>
    <row r="8" spans="1:7" ht="36">
      <c r="A8" s="21">
        <f>SUBTOTAL(103,B$4:B8)</f>
        <v>5</v>
      </c>
      <c r="B8" s="173">
        <f>P!L3</f>
        <v>45966</v>
      </c>
      <c r="C8" s="249" t="str">
        <f>'5'!A2</f>
        <v>05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116719</v>
      </c>
      <c r="E8" s="11" t="s">
        <v>530</v>
      </c>
      <c r="F8" s="24">
        <f>'5'!F50</f>
        <v>9</v>
      </c>
    </row>
    <row r="9" spans="1:7" ht="36">
      <c r="A9" s="21">
        <f>SUBTOTAL(103,B$4:B9)</f>
        <v>6</v>
      </c>
      <c r="B9" s="173">
        <f>P!N3</f>
        <v>45967</v>
      </c>
      <c r="C9" s="249" t="str">
        <f>'6'!A2</f>
        <v>06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39698</v>
      </c>
      <c r="E9" s="11" t="s">
        <v>531</v>
      </c>
      <c r="F9" s="24">
        <f>'6'!F50</f>
        <v>8</v>
      </c>
    </row>
    <row r="10" spans="1:7" ht="36">
      <c r="A10" s="21">
        <f>SUBTOTAL(103,B$4:B10)</f>
        <v>7</v>
      </c>
      <c r="B10" s="173">
        <f>P!P3</f>
        <v>45968</v>
      </c>
      <c r="C10" s="249" t="str">
        <f>'7'!A2</f>
        <v>07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7638</v>
      </c>
      <c r="E10" s="11" t="s">
        <v>532</v>
      </c>
      <c r="F10" s="24">
        <f>'7'!F50</f>
        <v>4</v>
      </c>
    </row>
    <row r="11" spans="1:7" ht="36">
      <c r="A11" s="21">
        <f>SUBTOTAL(103,B$4:B11)</f>
        <v>8</v>
      </c>
      <c r="B11" s="173">
        <f>P!R3</f>
        <v>45969</v>
      </c>
      <c r="C11" s="249" t="str">
        <f>'8'!A2</f>
        <v>08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34091</v>
      </c>
      <c r="E11" s="11" t="s">
        <v>533</v>
      </c>
      <c r="F11" s="24">
        <f>'8'!F50</f>
        <v>9</v>
      </c>
    </row>
    <row r="12" spans="1:7" ht="36">
      <c r="A12" s="21">
        <f>SUBTOTAL(103,B$4:B12)</f>
        <v>9</v>
      </c>
      <c r="B12" s="173">
        <f>P!T3</f>
        <v>45970</v>
      </c>
      <c r="C12" s="249" t="str">
        <f>'9'!A2</f>
        <v>9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18323</v>
      </c>
      <c r="E12" s="11" t="s">
        <v>534</v>
      </c>
      <c r="F12" s="24">
        <f>'9'!F50</f>
        <v>6</v>
      </c>
    </row>
    <row r="13" spans="1:7" ht="36">
      <c r="A13" s="21">
        <f>SUBTOTAL(103,B$4:B13)</f>
        <v>10</v>
      </c>
      <c r="B13" s="173">
        <f>P!V3</f>
        <v>45971</v>
      </c>
      <c r="C13" s="249" t="str">
        <f>'10'!A2</f>
        <v>10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22793</v>
      </c>
      <c r="E13" s="11" t="s">
        <v>443</v>
      </c>
      <c r="F13" s="24">
        <f>'10'!F50</f>
        <v>7</v>
      </c>
    </row>
    <row r="14" spans="1:7" ht="36" hidden="1">
      <c r="A14" s="21">
        <f>SUBTOTAL(103,B$4:B14)</f>
        <v>10</v>
      </c>
      <c r="B14" s="173">
        <f>P!X3</f>
        <v>45972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444</v>
      </c>
      <c r="F14" s="24">
        <f>'11'!F50</f>
        <v>8</v>
      </c>
    </row>
    <row r="15" spans="1:7" ht="36" hidden="1">
      <c r="A15" s="21">
        <f>SUBTOTAL(103,B$4:B15)</f>
        <v>10</v>
      </c>
      <c r="B15" s="173">
        <f>P!Z3</f>
        <v>45973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10</v>
      </c>
      <c r="B16" s="173">
        <f>P!AB3</f>
        <v>45974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10</v>
      </c>
      <c r="B17" s="173">
        <f>P!AD3</f>
        <v>45975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10</v>
      </c>
      <c r="B18" s="173">
        <f>P!AF3</f>
        <v>45976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10</v>
      </c>
      <c r="B19" s="173">
        <f>P!AH3</f>
        <v>45977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1">
        <f>SUM(D4:D19)</f>
        <v>403349</v>
      </c>
      <c r="E20" s="512"/>
      <c r="F20" s="139"/>
    </row>
    <row r="21" spans="1:6" ht="19.5">
      <c r="C21" s="510" t="s">
        <v>515</v>
      </c>
      <c r="D21" s="510"/>
      <c r="E21" s="510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5" t="s">
        <v>0</v>
      </c>
      <c r="B2" s="515" t="s">
        <v>1</v>
      </c>
      <c r="C2" s="515" t="s">
        <v>2</v>
      </c>
      <c r="D2" s="516" t="s">
        <v>243</v>
      </c>
      <c r="E2" s="516"/>
      <c r="F2" s="517" t="s">
        <v>244</v>
      </c>
      <c r="G2" s="517"/>
      <c r="H2" s="516" t="s">
        <v>427</v>
      </c>
      <c r="I2" s="516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5"/>
      <c r="B3" s="515"/>
      <c r="C3" s="515"/>
      <c r="D3" s="513" t="s">
        <v>428</v>
      </c>
      <c r="E3" s="513"/>
      <c r="F3" s="514" t="s">
        <v>429</v>
      </c>
      <c r="G3" s="514"/>
      <c r="H3" s="513" t="s">
        <v>430</v>
      </c>
      <c r="I3" s="513"/>
    </row>
    <row r="4" spans="1:39" ht="21" customHeight="1">
      <c r="A4" s="515"/>
      <c r="B4" s="515"/>
      <c r="C4" s="515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filterMode="1"/>
  <dimension ref="A1:I252"/>
  <sheetViews>
    <sheetView showGridLines="0" workbookViewId="0">
      <selection activeCell="H126" sqref="H12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8"/>
      <c r="B1" s="519"/>
      <c r="C1" s="520"/>
      <c r="D1" s="521">
        <f>P!D3</f>
        <v>45962</v>
      </c>
      <c r="E1" s="521"/>
      <c r="F1" s="521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25</v>
      </c>
      <c r="E5" s="171">
        <f>P!D7</f>
        <v>25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4.2</v>
      </c>
      <c r="E8" s="171">
        <f>P!D10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5</v>
      </c>
      <c r="E10" s="171">
        <f>P!D12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14</v>
      </c>
      <c r="E13" s="171">
        <f>P!D15</f>
        <v>15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0.5</v>
      </c>
      <c r="E14" s="171">
        <f>P!D16</f>
        <v>1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2</v>
      </c>
      <c r="E15" s="171">
        <f>P!D17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10</v>
      </c>
      <c r="E19" s="171">
        <f>P!D21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0.5</v>
      </c>
      <c r="E20" s="171">
        <f>P!D22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100</v>
      </c>
      <c r="E22" s="171">
        <f>P!D24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3</v>
      </c>
      <c r="E34" s="171">
        <f>P!D36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100</v>
      </c>
      <c r="F54" s="263" t="str">
        <f t="shared" si="0"/>
        <v>নাই</v>
      </c>
      <c r="G54" s="284" t="str">
        <f t="shared" si="1"/>
        <v>++</v>
      </c>
      <c r="H54" s="131" t="s">
        <v>536</v>
      </c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6</v>
      </c>
      <c r="E56" s="171">
        <f>P!D58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2</v>
      </c>
      <c r="E58" s="171">
        <f>P!D60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2</v>
      </c>
      <c r="E60" s="171">
        <f>P!D62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0.4</v>
      </c>
      <c r="E61" s="171">
        <f>P!D63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0.5</v>
      </c>
      <c r="E62" s="171">
        <f>P!D64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0.1</v>
      </c>
      <c r="E65" s="171">
        <f>P!D67</f>
        <v>0.1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0.05</v>
      </c>
      <c r="E68" s="171">
        <f>P!D70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0.1</v>
      </c>
      <c r="E69" s="171">
        <f>P!D71</f>
        <v>0.1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0.02</v>
      </c>
      <c r="E70" s="171">
        <f>P!D72</f>
        <v>2.5000000000000001E-2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</v>
      </c>
      <c r="E78" s="171">
        <f>P!D80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1</v>
      </c>
      <c r="E80" s="171">
        <f>P!D82</f>
        <v>1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4</v>
      </c>
      <c r="E87" s="171">
        <f>P!D89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2</v>
      </c>
      <c r="E88" s="171">
        <f>P!D90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140</v>
      </c>
      <c r="E89" s="171">
        <f>P!D91</f>
        <v>150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2</v>
      </c>
      <c r="E95" s="171">
        <f>P!D97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1</v>
      </c>
      <c r="E99" s="171">
        <f>P!D101</f>
        <v>0.45</v>
      </c>
      <c r="F99" s="263" t="str">
        <f t="shared" si="2"/>
        <v>হ্যা</v>
      </c>
      <c r="G99" s="284" t="str">
        <f t="shared" si="3"/>
        <v>--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30</v>
      </c>
      <c r="E124" s="171">
        <f>P!D126</f>
        <v>48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5.6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1</v>
      </c>
      <c r="F128" s="263" t="str">
        <f t="shared" si="2"/>
        <v>নাই</v>
      </c>
      <c r="G128" s="284" t="str">
        <f t="shared" si="3"/>
        <v>++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5</v>
      </c>
      <c r="E130" s="171">
        <f>P!D132</f>
        <v>5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7</v>
      </c>
      <c r="E133" s="171">
        <f>P!D135</f>
        <v>7.1</v>
      </c>
      <c r="F133" s="263" t="str">
        <f t="shared" si="4"/>
        <v>হ্যা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445</v>
      </c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20</v>
      </c>
      <c r="E150" s="171">
        <f>P!D152</f>
        <v>20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12</v>
      </c>
      <c r="E153" s="171">
        <f>P!D155</f>
        <v>13.5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0</v>
      </c>
      <c r="E161" s="171">
        <f>P!D163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0</v>
      </c>
      <c r="E168" s="171">
        <f>P!D170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15</v>
      </c>
      <c r="E177" s="171">
        <f>P!D179</f>
        <v>15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10</v>
      </c>
      <c r="E178" s="171">
        <f>P!D180</f>
        <v>10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1</v>
      </c>
      <c r="E179" s="171">
        <f>P!D181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0.5</v>
      </c>
      <c r="E180" s="171">
        <f>P!D182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1.5</v>
      </c>
      <c r="E181" s="171">
        <f>P!D183</f>
        <v>1.5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25</v>
      </c>
      <c r="E182" s="171">
        <f>P!D184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5</v>
      </c>
      <c r="E183" s="171">
        <f>P!D185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1</v>
      </c>
      <c r="E184" s="171">
        <f>P!D186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7</v>
      </c>
      <c r="E195" s="171">
        <f>P!D197</f>
        <v>7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1</v>
      </c>
      <c r="E197" s="171">
        <f>P!D199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0.5</v>
      </c>
      <c r="E198" s="171">
        <f>P!D200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10</v>
      </c>
      <c r="E203" s="171">
        <f>P!D205</f>
        <v>10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7</v>
      </c>
      <c r="E204" s="171">
        <f>P!D206</f>
        <v>7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4</v>
      </c>
      <c r="E205" s="171">
        <f>P!D207</f>
        <v>4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2</v>
      </c>
      <c r="E206" s="171">
        <f>P!D208</f>
        <v>2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10</v>
      </c>
      <c r="E207" s="171">
        <f>P!D209</f>
        <v>10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4</v>
      </c>
      <c r="E214" s="171">
        <f>P!D216</f>
        <v>4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S!H229</f>
        <v>0</v>
      </c>
      <c r="E229" s="171">
        <f>P!D231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4</v>
      </c>
      <c r="E230" s="171">
        <f>P!D232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230</v>
      </c>
      <c r="E231" s="171">
        <f>P!D233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80</v>
      </c>
      <c r="E232" s="171">
        <f>P!D234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215</v>
      </c>
      <c r="F243" s="263" t="str">
        <f t="shared" si="6"/>
        <v>নাই</v>
      </c>
      <c r="G243" s="284" t="str">
        <f t="shared" si="7"/>
        <v>++</v>
      </c>
      <c r="H243" s="131"/>
    </row>
    <row r="244" spans="1:9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চিকেন বার্গার, ওয়ানটাইম মাস্ক, ওয়ানটাইম হ্যান্ড গ্লভস...)</v>
      </c>
      <c r="C247" s="295" t="str">
        <f>P!C249</f>
        <v>টাকা</v>
      </c>
      <c r="D247" s="295">
        <f>S!H247</f>
        <v>0</v>
      </c>
      <c r="E247" s="295">
        <f>P!D249</f>
        <v>680</v>
      </c>
      <c r="F247" s="306"/>
      <c r="G247" s="284" t="str">
        <f t="shared" si="7"/>
        <v>++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130</v>
      </c>
      <c r="F250" s="306"/>
      <c r="G250" s="284" t="str">
        <f t="shared" si="7"/>
        <v>++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400</v>
      </c>
      <c r="F251" s="306"/>
      <c r="G251" s="284" t="str">
        <f t="shared" si="7"/>
        <v>++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1200</v>
      </c>
      <c r="F252" s="306"/>
      <c r="G252" s="284" t="str">
        <f t="shared" si="7"/>
        <v>++</v>
      </c>
      <c r="H252" s="131"/>
    </row>
  </sheetData>
  <autoFilter ref="F1:F252" xr:uid="{40CA27F1-17E2-4066-ABAE-7818B8FF4FF1}">
    <filterColumn colId="0">
      <filters blank="1">
        <filter val="নাই"/>
        <filter val="বাজারশীটের ভিত্তিতে ক্রয়"/>
      </filters>
    </filterColumn>
  </autoFilter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filterMode="1"/>
  <dimension ref="A1:H253"/>
  <sheetViews>
    <sheetView showGridLines="0" zoomScale="115" zoomScaleNormal="115" workbookViewId="0">
      <selection activeCell="C243" sqref="C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P!F3</f>
        <v>45963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32</v>
      </c>
      <c r="E5" s="171">
        <f>P!F7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5</v>
      </c>
      <c r="E8" s="171">
        <f>P!F10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0</v>
      </c>
      <c r="E9" s="171">
        <f>P!F11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5</v>
      </c>
      <c r="E10" s="171">
        <f>P!F12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15</v>
      </c>
      <c r="E13" s="171">
        <f>P!F15</f>
        <v>15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0.5</v>
      </c>
      <c r="E14" s="171">
        <f>P!F16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3</v>
      </c>
      <c r="E15" s="171">
        <f>P!F17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14</v>
      </c>
      <c r="E19" s="171">
        <f>P!F21</f>
        <v>63</v>
      </c>
      <c r="F19" s="263" t="str">
        <f t="shared" si="0"/>
        <v>হ্যা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1</v>
      </c>
      <c r="E20" s="171">
        <f>P!F22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100</v>
      </c>
      <c r="E22" s="171">
        <f>P!F24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2</v>
      </c>
      <c r="E34" s="171">
        <f>P!F36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0</v>
      </c>
      <c r="E39" s="171">
        <f>P!F41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1</v>
      </c>
      <c r="F40" s="263" t="str">
        <f t="shared" si="0"/>
        <v>নাই</v>
      </c>
      <c r="G40" s="284" t="str">
        <f t="shared" si="1"/>
        <v>++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6</v>
      </c>
      <c r="E56" s="171">
        <f>P!F58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2</v>
      </c>
      <c r="E58" s="171">
        <f>P!F60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2</v>
      </c>
      <c r="E60" s="171">
        <f>P!F62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0.3</v>
      </c>
      <c r="E61" s="171">
        <f>P!F63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0.5</v>
      </c>
      <c r="E62" s="171">
        <f>P!F64</f>
        <v>0.5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0.1</v>
      </c>
      <c r="E65" s="171">
        <f>P!F67</f>
        <v>0.1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0.05</v>
      </c>
      <c r="E68" s="171">
        <f>P!F70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0.1</v>
      </c>
      <c r="E69" s="171">
        <f>P!F71</f>
        <v>0.1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0.02</v>
      </c>
      <c r="E70" s="171">
        <f>P!F72</f>
        <v>2.5000000000000001E-2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0</v>
      </c>
      <c r="E71" s="171">
        <f>P!F73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453</v>
      </c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</v>
      </c>
      <c r="E77" s="171">
        <f>P!F79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0.1</v>
      </c>
      <c r="E78" s="171">
        <f>P!F80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1</v>
      </c>
      <c r="E80" s="171">
        <f>P!F82</f>
        <v>1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446</v>
      </c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</v>
      </c>
      <c r="E86" s="171">
        <f>P!F88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3</v>
      </c>
      <c r="E87" s="171">
        <f>P!F89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2</v>
      </c>
      <c r="E88" s="171">
        <f>P!F90</f>
        <v>20</v>
      </c>
      <c r="F88" s="263" t="str">
        <f t="shared" si="2"/>
        <v>হ্যা</v>
      </c>
      <c r="G88" s="284" t="str">
        <f t="shared" si="3"/>
        <v>++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240</v>
      </c>
      <c r="E89" s="171">
        <f>P!F91</f>
        <v>240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0.5</v>
      </c>
      <c r="E92" s="171">
        <f>P!F94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457</v>
      </c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2</v>
      </c>
      <c r="E95" s="171">
        <f>P!F97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2</v>
      </c>
      <c r="E102" s="171">
        <f>P!F104</f>
        <v>2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0</v>
      </c>
      <c r="E105" s="171">
        <f>P!F107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0.32</v>
      </c>
      <c r="F123" s="263" t="str">
        <f t="shared" si="2"/>
        <v>নাই</v>
      </c>
      <c r="G123" s="284" t="str">
        <f t="shared" si="3"/>
        <v>++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80</v>
      </c>
      <c r="E124" s="171">
        <f>P!F126</f>
        <v>86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457</v>
      </c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457</v>
      </c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15</v>
      </c>
      <c r="E134" s="171">
        <f>P!F136</f>
        <v>15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457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0</v>
      </c>
      <c r="E143" s="171">
        <f>P!F145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26</v>
      </c>
      <c r="E150" s="171">
        <f>P!F152</f>
        <v>26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2.1</v>
      </c>
      <c r="E152" s="171">
        <f>P!F154</f>
        <v>2.1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8</v>
      </c>
      <c r="F169" s="263" t="str">
        <f t="shared" si="4"/>
        <v>নাই</v>
      </c>
      <c r="G169" s="284" t="str">
        <f t="shared" si="5"/>
        <v>++</v>
      </c>
      <c r="H169" s="131" t="s">
        <v>537</v>
      </c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10</v>
      </c>
      <c r="E177" s="171">
        <f>P!F179</f>
        <v>10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10</v>
      </c>
      <c r="E178" s="171">
        <f>P!F180</f>
        <v>10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2</v>
      </c>
      <c r="E179" s="171">
        <f>P!F181</f>
        <v>2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1</v>
      </c>
      <c r="E180" s="171">
        <f>P!F182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2</v>
      </c>
      <c r="E181" s="171">
        <f>P!F183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25</v>
      </c>
      <c r="E182" s="171">
        <f>P!F184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7</v>
      </c>
      <c r="E183" s="171">
        <f>P!F185</f>
        <v>7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2</v>
      </c>
      <c r="E184" s="171">
        <f>P!F186</f>
        <v>2.5</v>
      </c>
      <c r="F184" s="263" t="str">
        <f t="shared" si="4"/>
        <v>হ্যা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5</v>
      </c>
      <c r="E185" s="171">
        <f>P!F187</f>
        <v>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20</v>
      </c>
      <c r="E193" s="171">
        <f>P!F195</f>
        <v>20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0</v>
      </c>
      <c r="E194" s="171">
        <f>P!F196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0</v>
      </c>
      <c r="E195" s="171">
        <f>P!F197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2</v>
      </c>
      <c r="E197" s="171">
        <f>P!F199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1</v>
      </c>
      <c r="E198" s="171">
        <f>P!F200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10</v>
      </c>
      <c r="E202" s="171">
        <f>P!F204</f>
        <v>10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0</v>
      </c>
      <c r="E206" s="171">
        <f>P!F208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0</v>
      </c>
      <c r="E209" s="171">
        <f>P!F211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3</v>
      </c>
      <c r="E214" s="171">
        <f>P!F216</f>
        <v>3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4</v>
      </c>
      <c r="E230" s="171">
        <f>P!F232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230</v>
      </c>
      <c r="E231" s="171">
        <f>P!F233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80</v>
      </c>
      <c r="E232" s="171">
        <f>P!F234</f>
        <v>70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206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2</v>
      </c>
      <c r="E245" s="171">
        <f>P!F247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S!J247</f>
        <v>0</v>
      </c>
      <c r="E247" s="307">
        <f>P!F249</f>
        <v>0</v>
      </c>
      <c r="F247" s="306"/>
      <c r="G247" s="308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160</v>
      </c>
      <c r="F250" s="306"/>
      <c r="G250" s="308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470</v>
      </c>
      <c r="F251" s="306"/>
      <c r="G251" s="308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3800</v>
      </c>
      <c r="F252" s="306"/>
      <c r="G252" s="308" t="str">
        <f t="shared" si="7"/>
        <v>++</v>
      </c>
      <c r="H252" s="131"/>
    </row>
    <row r="253" spans="1:8">
      <c r="F253" s="296"/>
    </row>
  </sheetData>
  <autoFilter ref="F1:F252" xr:uid="{00000000-0009-0000-0000-00001B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46" sqref="H24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8"/>
      <c r="B1" s="519"/>
      <c r="C1" s="520"/>
      <c r="D1" s="521">
        <f>P!D3+2</f>
        <v>45964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2</v>
      </c>
      <c r="E5" s="171">
        <f>P!H7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7</v>
      </c>
      <c r="E6" s="171">
        <f>P!H8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5</v>
      </c>
      <c r="E8" s="171">
        <f>P!H10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3</v>
      </c>
      <c r="E9" s="171">
        <f>P!H11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15</v>
      </c>
      <c r="E13" s="171">
        <f>P!H15</f>
        <v>15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0.5</v>
      </c>
      <c r="E14" s="171">
        <f>P!H16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4</v>
      </c>
      <c r="E15" s="171">
        <f>P!H17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13</v>
      </c>
      <c r="E19" s="171">
        <f>P!H21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1</v>
      </c>
      <c r="E20" s="171">
        <f>P!H22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115</v>
      </c>
      <c r="E22" s="171">
        <f>P!H24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0.5</v>
      </c>
      <c r="E31" s="171">
        <f>P!H33</f>
        <v>0</v>
      </c>
      <c r="F31" s="263" t="str">
        <f t="shared" si="0"/>
        <v>হ্যা</v>
      </c>
      <c r="G31" s="284" t="str">
        <f t="shared" si="1"/>
        <v>--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4</v>
      </c>
      <c r="E34" s="171">
        <f>P!H36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8</v>
      </c>
      <c r="E54" s="171">
        <f>P!H56</f>
        <v>0</v>
      </c>
      <c r="F54" s="263" t="str">
        <f t="shared" si="0"/>
        <v>হ্যা</v>
      </c>
      <c r="G54" s="284" t="str">
        <f t="shared" si="1"/>
        <v>--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0</v>
      </c>
      <c r="E56" s="171">
        <f>P!H58</f>
        <v>8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3</v>
      </c>
      <c r="E58" s="171">
        <f>P!H60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5</v>
      </c>
      <c r="E60" s="171">
        <f>P!H62</f>
        <v>5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0.3</v>
      </c>
      <c r="E61" s="171">
        <f>P!H63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0.5</v>
      </c>
      <c r="E62" s="171">
        <f>P!H64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0.1</v>
      </c>
      <c r="E63" s="171">
        <f>P!H65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0.2</v>
      </c>
      <c r="E65" s="171">
        <f>P!H67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0.05</v>
      </c>
      <c r="E68" s="171">
        <f>P!H70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0.1</v>
      </c>
      <c r="E69" s="171">
        <f>P!H71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0.02</v>
      </c>
      <c r="E70" s="171">
        <f>P!H72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0.5</v>
      </c>
      <c r="E75" s="171">
        <f>P!H77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0.1</v>
      </c>
      <c r="E78" s="171">
        <f>P!H80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1</v>
      </c>
      <c r="E80" s="171">
        <f>P!H82</f>
        <v>1</v>
      </c>
      <c r="F80" s="263" t="str">
        <f t="shared" si="2"/>
        <v>হ্যা</v>
      </c>
      <c r="G80" s="284" t="str">
        <f t="shared" si="3"/>
        <v>OK</v>
      </c>
      <c r="H80" s="131" t="s">
        <v>447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0.05</v>
      </c>
      <c r="E86" s="171">
        <f>P!H88</f>
        <v>0.1</v>
      </c>
      <c r="F86" s="263" t="str">
        <f t="shared" si="2"/>
        <v>হ্যা</v>
      </c>
      <c r="G86" s="284" t="str">
        <f t="shared" si="3"/>
        <v>++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5</v>
      </c>
      <c r="E87" s="171">
        <f>P!H89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2</v>
      </c>
      <c r="E88" s="171">
        <f>P!H90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120</v>
      </c>
      <c r="E89" s="171">
        <f>P!H91</f>
        <v>60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0</v>
      </c>
      <c r="E92" s="171">
        <f>P!H94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4</v>
      </c>
      <c r="E95" s="171">
        <f>P!H97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8</v>
      </c>
      <c r="E104" s="171">
        <f>P!H106</f>
        <v>12</v>
      </c>
      <c r="F104" s="263" t="str">
        <f t="shared" si="2"/>
        <v>হ্যা</v>
      </c>
      <c r="G104" s="284" t="str">
        <f t="shared" si="3"/>
        <v>++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1</v>
      </c>
      <c r="E106" s="171">
        <f>P!H108</f>
        <v>0</v>
      </c>
      <c r="F106" s="263" t="str">
        <f t="shared" si="2"/>
        <v>হ্যা</v>
      </c>
      <c r="G106" s="284" t="str">
        <f t="shared" si="3"/>
        <v>--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454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30</v>
      </c>
      <c r="E124" s="171">
        <f>P!H126</f>
        <v>30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10</v>
      </c>
      <c r="E126" s="171">
        <f>P!H128</f>
        <v>10.199999999999999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1</v>
      </c>
      <c r="F129" s="263" t="str">
        <f t="shared" si="2"/>
        <v>নাই</v>
      </c>
      <c r="G129" s="284" t="str">
        <f t="shared" si="3"/>
        <v>++</v>
      </c>
      <c r="H129" s="131" t="s">
        <v>396</v>
      </c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5</v>
      </c>
      <c r="E130" s="171">
        <f>P!H132</f>
        <v>5</v>
      </c>
      <c r="F130" s="263" t="str">
        <f t="shared" si="2"/>
        <v>হ্যা</v>
      </c>
      <c r="G130" s="284" t="str">
        <f t="shared" si="3"/>
        <v>OK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22</v>
      </c>
      <c r="E150" s="171">
        <f>P!H152</f>
        <v>22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2.5</v>
      </c>
      <c r="E152" s="171">
        <f>P!H154</f>
        <v>2.4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10</v>
      </c>
      <c r="E168" s="171">
        <f>P!H170</f>
        <v>0</v>
      </c>
      <c r="F168" s="263" t="str">
        <f t="shared" si="4"/>
        <v>হ্যা</v>
      </c>
      <c r="G168" s="284" t="str">
        <f t="shared" si="5"/>
        <v>--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18</v>
      </c>
      <c r="E170" s="171">
        <f>P!H172</f>
        <v>18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12</v>
      </c>
      <c r="E177" s="171">
        <f>P!H179</f>
        <v>12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12</v>
      </c>
      <c r="E178" s="171">
        <f>P!H180</f>
        <v>12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1</v>
      </c>
      <c r="E179" s="171">
        <f>P!H181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0.5</v>
      </c>
      <c r="E180" s="171">
        <f>P!H182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3</v>
      </c>
      <c r="E181" s="171">
        <f>P!H183</f>
        <v>3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32</v>
      </c>
      <c r="E182" s="171">
        <f>P!H184</f>
        <v>32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5</v>
      </c>
      <c r="E183" s="171">
        <f>P!H185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3</v>
      </c>
      <c r="E184" s="171">
        <f>P!H186</f>
        <v>3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1</v>
      </c>
      <c r="E185" s="171">
        <f>P!H187</f>
        <v>1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22</v>
      </c>
      <c r="E187" s="171">
        <f>P!H189</f>
        <v>22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70</v>
      </c>
      <c r="F188" s="263" t="str">
        <f t="shared" si="4"/>
        <v>নাই</v>
      </c>
      <c r="G188" s="284" t="str">
        <f t="shared" si="5"/>
        <v>++</v>
      </c>
      <c r="H188" s="131" t="s">
        <v>537</v>
      </c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2</v>
      </c>
      <c r="E194" s="171">
        <f>P!H196</f>
        <v>3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4</v>
      </c>
      <c r="E195" s="171">
        <f>P!H197</f>
        <v>5</v>
      </c>
      <c r="F195" s="263" t="str">
        <f t="shared" si="4"/>
        <v>হ্যা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3</v>
      </c>
      <c r="E197" s="171">
        <f>P!H199</f>
        <v>3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1</v>
      </c>
      <c r="E198" s="171">
        <f>P!H200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3</v>
      </c>
      <c r="E204" s="171">
        <f>P!H206</f>
        <v>3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2</v>
      </c>
      <c r="E205" s="171">
        <f>P!H207</f>
        <v>2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2</v>
      </c>
      <c r="E206" s="171">
        <f>P!H208</f>
        <v>2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10</v>
      </c>
      <c r="E207" s="171">
        <f>P!H209</f>
        <v>10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2</v>
      </c>
      <c r="E214" s="171">
        <f>P!H216</f>
        <v>2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458</v>
      </c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S!L229</f>
        <v>16</v>
      </c>
      <c r="E229" s="171">
        <f>P!H231</f>
        <v>1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1</v>
      </c>
      <c r="E230" s="171">
        <f>P!H232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195</v>
      </c>
      <c r="E231" s="171">
        <f>P!H233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92</v>
      </c>
      <c r="E232" s="171">
        <f>P!H234</f>
        <v>90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0</v>
      </c>
      <c r="F24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S!L247</f>
        <v>0</v>
      </c>
      <c r="E247" s="171">
        <f>P!H249</f>
        <v>0</v>
      </c>
      <c r="F247" s="306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180</v>
      </c>
      <c r="F250" s="306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500</v>
      </c>
      <c r="F251" s="306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4200</v>
      </c>
      <c r="F252" s="306"/>
      <c r="G252" s="284" t="str">
        <f t="shared" si="7"/>
        <v>++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P!D3+3</f>
        <v>45965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27</v>
      </c>
      <c r="E5" s="171">
        <f>P!J7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0</v>
      </c>
      <c r="E6" s="171">
        <f>P!J8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8</v>
      </c>
      <c r="E8" s="171">
        <f>P!J10</f>
        <v>25</v>
      </c>
      <c r="F8" s="263" t="str">
        <f t="shared" si="0"/>
        <v>হ্যা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0</v>
      </c>
      <c r="E9" s="171">
        <f>P!J11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5</v>
      </c>
      <c r="E10" s="171">
        <f>P!J12</f>
        <v>25</v>
      </c>
      <c r="F10" s="263" t="str">
        <f t="shared" si="0"/>
        <v>হ্যা</v>
      </c>
      <c r="G10" s="284" t="str">
        <f t="shared" si="1"/>
        <v>++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14</v>
      </c>
      <c r="E13" s="171">
        <f>P!J15</f>
        <v>15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0.5</v>
      </c>
      <c r="E14" s="171">
        <f>P!J16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3</v>
      </c>
      <c r="E15" s="171">
        <f>P!J17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12</v>
      </c>
      <c r="E19" s="171">
        <f>P!J21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1.5</v>
      </c>
      <c r="E20" s="171">
        <f>P!J22</f>
        <v>1.5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50</v>
      </c>
      <c r="E22" s="171">
        <f>P!J24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3</v>
      </c>
      <c r="E34" s="171">
        <f>P!J36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8</v>
      </c>
      <c r="E56" s="171">
        <f>P!J58</f>
        <v>8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2</v>
      </c>
      <c r="E58" s="171">
        <f>P!J60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3</v>
      </c>
      <c r="E60" s="171">
        <f>P!J62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0.5</v>
      </c>
      <c r="E61" s="171">
        <f>P!J63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0.5</v>
      </c>
      <c r="E62" s="171">
        <f>P!J64</f>
        <v>0.5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0.1</v>
      </c>
      <c r="E63" s="171">
        <f>P!J65</f>
        <v>0</v>
      </c>
      <c r="F63" s="263" t="str">
        <f t="shared" si="0"/>
        <v>হ্যা</v>
      </c>
      <c r="G63" s="284" t="str">
        <f t="shared" si="1"/>
        <v>--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0.2</v>
      </c>
      <c r="E65" s="171">
        <f>P!J67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0.05</v>
      </c>
      <c r="E68" s="171">
        <f>P!J70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0.1</v>
      </c>
      <c r="E69" s="171">
        <f>P!J71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0.02</v>
      </c>
      <c r="E70" s="171">
        <f>P!J72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</v>
      </c>
      <c r="E75" s="171">
        <f>P!J77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0.1</v>
      </c>
      <c r="E78" s="171">
        <f>P!J80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1</v>
      </c>
      <c r="E80" s="171">
        <f>P!J82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5</v>
      </c>
      <c r="E87" s="171">
        <f>P!J89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1</v>
      </c>
      <c r="E88" s="171">
        <f>P!J90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100</v>
      </c>
      <c r="E89" s="171">
        <f>P!J91</f>
        <v>210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4</v>
      </c>
      <c r="E95" s="171">
        <f>P!J97</f>
        <v>1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0.1</v>
      </c>
      <c r="E99" s="171">
        <f>P!J101</f>
        <v>0</v>
      </c>
      <c r="F99" s="263" t="str">
        <f t="shared" si="2"/>
        <v>হ্যা</v>
      </c>
      <c r="G99" s="284" t="str">
        <f t="shared" si="3"/>
        <v>--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3</v>
      </c>
      <c r="E100" s="171">
        <f>P!J102</f>
        <v>3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0</v>
      </c>
      <c r="E105" s="171">
        <f>P!J107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0.99</v>
      </c>
      <c r="E112" s="171">
        <f>P!J114</f>
        <v>0.5</v>
      </c>
      <c r="F112" s="263" t="str">
        <f t="shared" si="2"/>
        <v>হ্যা</v>
      </c>
      <c r="G112" s="284" t="str">
        <f t="shared" si="3"/>
        <v>--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80</v>
      </c>
      <c r="E124" s="171">
        <f>P!J126</f>
        <v>85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5.6</v>
      </c>
      <c r="F126" s="263" t="str">
        <f t="shared" si="2"/>
        <v>নাই</v>
      </c>
      <c r="G126" s="284" t="str">
        <f t="shared" si="3"/>
        <v>++</v>
      </c>
      <c r="H126" s="131" t="s">
        <v>461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6</v>
      </c>
      <c r="E133" s="171">
        <f>P!J135</f>
        <v>6.3</v>
      </c>
      <c r="F133" s="263" t="str">
        <f t="shared" si="4"/>
        <v>হ্যা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1</v>
      </c>
      <c r="E144" s="171">
        <f>P!J146</f>
        <v>0</v>
      </c>
      <c r="F144" s="263" t="str">
        <f t="shared" si="4"/>
        <v>হ্যা</v>
      </c>
      <c r="G144" s="284" t="str">
        <f t="shared" si="5"/>
        <v>--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1</v>
      </c>
      <c r="F145" s="263" t="str">
        <f t="shared" si="4"/>
        <v>নাই</v>
      </c>
      <c r="G145" s="284" t="str">
        <f t="shared" si="5"/>
        <v>++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27</v>
      </c>
      <c r="E150" s="171">
        <f>P!J152</f>
        <v>27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9</v>
      </c>
      <c r="E153" s="171">
        <f>P!J155</f>
        <v>0</v>
      </c>
      <c r="F153" s="263" t="str">
        <f t="shared" si="4"/>
        <v>হ্যা</v>
      </c>
      <c r="G153" s="284" t="str">
        <f t="shared" si="5"/>
        <v>--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9.3000000000000007</v>
      </c>
      <c r="F154" s="263" t="str">
        <f t="shared" si="4"/>
        <v>নাই</v>
      </c>
      <c r="G154" s="284" t="str">
        <f t="shared" si="5"/>
        <v>++</v>
      </c>
      <c r="H154" s="131" t="s">
        <v>538</v>
      </c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2</v>
      </c>
      <c r="E161" s="171">
        <f>P!J163</f>
        <v>2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5</v>
      </c>
      <c r="E177" s="171">
        <f>P!J179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10</v>
      </c>
      <c r="E178" s="171">
        <f>P!J180</f>
        <v>10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1</v>
      </c>
      <c r="E179" s="171">
        <f>P!J181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1</v>
      </c>
      <c r="E180" s="171">
        <f>P!J182</f>
        <v>0</v>
      </c>
      <c r="F180" s="263" t="str">
        <f t="shared" si="4"/>
        <v>হ্যা</v>
      </c>
      <c r="G180" s="284" t="str">
        <f t="shared" si="5"/>
        <v>--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2</v>
      </c>
      <c r="E181" s="171">
        <f>P!J183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30</v>
      </c>
      <c r="E182" s="171">
        <f>P!J184</f>
        <v>30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5</v>
      </c>
      <c r="E183" s="171">
        <f>P!J185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2</v>
      </c>
      <c r="E184" s="171">
        <f>P!J186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25</v>
      </c>
      <c r="E194" s="171">
        <f>P!J196</f>
        <v>30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2</v>
      </c>
      <c r="E197" s="171">
        <f>P!J199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1</v>
      </c>
      <c r="E198" s="171">
        <f>P!J200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10</v>
      </c>
      <c r="E203" s="171">
        <f>P!J205</f>
        <v>10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10</v>
      </c>
      <c r="F206" s="263" t="str">
        <f t="shared" si="6"/>
        <v>নাই</v>
      </c>
      <c r="G206" s="284" t="str">
        <f t="shared" si="7"/>
        <v>++</v>
      </c>
      <c r="H206" s="131" t="s">
        <v>539</v>
      </c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10</v>
      </c>
      <c r="E210" s="171">
        <f>P!J212</f>
        <v>0</v>
      </c>
      <c r="F210" s="263" t="str">
        <f t="shared" si="6"/>
        <v>হ্যা</v>
      </c>
      <c r="G210" s="284" t="str">
        <f t="shared" si="7"/>
        <v>--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2</v>
      </c>
      <c r="E214" s="171">
        <f>P!J216</f>
        <v>2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0.5</v>
      </c>
      <c r="E230" s="171">
        <f>P!J232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180</v>
      </c>
      <c r="E231" s="171">
        <f>P!J233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80</v>
      </c>
      <c r="E232" s="171">
        <f>P!J234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100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500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5400</v>
      </c>
      <c r="F252" s="263"/>
      <c r="G252" s="284" t="str">
        <f t="shared" si="7"/>
        <v>++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247" sqref="H24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P!D3+4</f>
        <v>45966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15</v>
      </c>
      <c r="E5" s="171">
        <f>P!L7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9</v>
      </c>
      <c r="E6" s="171">
        <f>P!L8</f>
        <v>50</v>
      </c>
      <c r="F6" s="263" t="str">
        <f t="shared" si="0"/>
        <v>হ্যা</v>
      </c>
      <c r="G6" s="284" t="str">
        <f t="shared" si="1"/>
        <v>++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3</v>
      </c>
      <c r="E8" s="171">
        <f>P!L10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5</v>
      </c>
      <c r="E9" s="171">
        <f>P!L11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0</v>
      </c>
      <c r="E10" s="171">
        <f>P!L12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2</v>
      </c>
      <c r="E12" s="171">
        <f>P!L14</f>
        <v>2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5</v>
      </c>
      <c r="E13" s="171">
        <f>P!L15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0.4</v>
      </c>
      <c r="E14" s="171">
        <f>P!L16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2</v>
      </c>
      <c r="E15" s="171">
        <f>P!L17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0.1</v>
      </c>
      <c r="E17" s="171">
        <f>P!L19</f>
        <v>0.1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12</v>
      </c>
      <c r="E19" s="171">
        <f>P!L21</f>
        <v>126</v>
      </c>
      <c r="F19" s="263" t="str">
        <f t="shared" si="0"/>
        <v>হ্যা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1</v>
      </c>
      <c r="E20" s="171">
        <f>P!L22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1</v>
      </c>
      <c r="E21" s="171">
        <f>P!L23</f>
        <v>0</v>
      </c>
      <c r="F21" s="263" t="str">
        <f t="shared" si="0"/>
        <v>হ্যা</v>
      </c>
      <c r="G21" s="284" t="str">
        <f t="shared" si="1"/>
        <v>--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50</v>
      </c>
      <c r="E22" s="171">
        <f>P!L24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1</v>
      </c>
      <c r="E23" s="171">
        <f>P!L25</f>
        <v>1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1</v>
      </c>
      <c r="E24" s="171">
        <f>P!L26</f>
        <v>1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1</v>
      </c>
      <c r="E27" s="171">
        <f>P!L29</f>
        <v>0</v>
      </c>
      <c r="F27" s="263" t="str">
        <f t="shared" si="0"/>
        <v>হ্যা</v>
      </c>
      <c r="G27" s="284" t="str">
        <f t="shared" si="1"/>
        <v>--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1</v>
      </c>
      <c r="E28" s="171">
        <f>P!L30</f>
        <v>0</v>
      </c>
      <c r="F28" s="263" t="str">
        <f t="shared" si="0"/>
        <v>হ্যা</v>
      </c>
      <c r="G28" s="284" t="str">
        <f t="shared" si="1"/>
        <v>--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1E-3</v>
      </c>
      <c r="E29" s="171">
        <f>P!L31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2.5000000000000001E-2</v>
      </c>
      <c r="E30" s="171">
        <f>P!L32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2</v>
      </c>
      <c r="E34" s="171">
        <f>P!L36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0.2</v>
      </c>
      <c r="E36" s="171">
        <f>P!L38</f>
        <v>0</v>
      </c>
      <c r="F36" s="263" t="str">
        <f t="shared" si="0"/>
        <v>হ্যা</v>
      </c>
      <c r="G36" s="284" t="str">
        <f t="shared" si="1"/>
        <v>--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1</v>
      </c>
      <c r="E39" s="171">
        <f>P!L41</f>
        <v>0</v>
      </c>
      <c r="F39" s="263" t="str">
        <f t="shared" si="0"/>
        <v>হ্যা</v>
      </c>
      <c r="G39" s="284" t="str">
        <f t="shared" si="1"/>
        <v>--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50</v>
      </c>
      <c r="E41" s="171">
        <f>P!L43</f>
        <v>0</v>
      </c>
      <c r="F41" s="263" t="str">
        <f t="shared" si="0"/>
        <v>হ্যা</v>
      </c>
      <c r="G41" s="284" t="str">
        <f t="shared" si="1"/>
        <v>--</v>
      </c>
      <c r="H41" s="131" t="s">
        <v>449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2</v>
      </c>
      <c r="E50" s="171">
        <f>P!L52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8</v>
      </c>
      <c r="E56" s="171">
        <f>P!L58</f>
        <v>6</v>
      </c>
      <c r="F56" s="263" t="str">
        <f t="shared" si="0"/>
        <v>হ্যা</v>
      </c>
      <c r="G56" s="284" t="str">
        <f t="shared" si="1"/>
        <v>--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0.5</v>
      </c>
      <c r="E57" s="171">
        <f>P!L59</f>
        <v>0</v>
      </c>
      <c r="F57" s="263" t="str">
        <f t="shared" si="0"/>
        <v>হ্যা</v>
      </c>
      <c r="G57" s="284" t="str">
        <f t="shared" si="1"/>
        <v>--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2</v>
      </c>
      <c r="E58" s="171">
        <f>P!L60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3</v>
      </c>
      <c r="E60" s="171">
        <f>P!L62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0.2</v>
      </c>
      <c r="E61" s="171">
        <f>P!L63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0.5</v>
      </c>
      <c r="E62" s="171">
        <f>P!L64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0.1</v>
      </c>
      <c r="E63" s="171">
        <f>P!L65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0.2</v>
      </c>
      <c r="E65" s="171">
        <f>P!L67</f>
        <v>0.2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1</v>
      </c>
      <c r="E66" s="171">
        <f>P!L68</f>
        <v>1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1</v>
      </c>
      <c r="E67" s="171">
        <f>P!L69</f>
        <v>1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0.05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0.1</v>
      </c>
      <c r="E69" s="171">
        <f>P!L71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2.5000000000000001E-2</v>
      </c>
      <c r="E70" s="171">
        <f>P!L72</f>
        <v>2.5000000000000001E-2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2</v>
      </c>
      <c r="E71" s="171">
        <f>P!L73</f>
        <v>0</v>
      </c>
      <c r="F71" s="263" t="str">
        <f t="shared" si="2"/>
        <v>হ্যা</v>
      </c>
      <c r="G71" s="284" t="str">
        <f t="shared" si="3"/>
        <v>--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0.25</v>
      </c>
      <c r="E72" s="171">
        <f>P!L74</f>
        <v>0.25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0.25</v>
      </c>
      <c r="E73" s="171">
        <f>P!L75</f>
        <v>0</v>
      </c>
      <c r="F73" s="263" t="str">
        <f t="shared" si="2"/>
        <v>হ্যা</v>
      </c>
      <c r="G73" s="284" t="str">
        <f t="shared" si="3"/>
        <v>--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0.5</v>
      </c>
      <c r="E75" s="171">
        <f>P!L77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0.01</v>
      </c>
      <c r="E77" s="171">
        <f>P!L79</f>
        <v>0</v>
      </c>
      <c r="F77" s="263" t="str">
        <f t="shared" si="2"/>
        <v>হ্যা</v>
      </c>
      <c r="G77" s="284" t="str">
        <f t="shared" si="3"/>
        <v>--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0.1</v>
      </c>
      <c r="E78" s="171">
        <f>P!L80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1</v>
      </c>
      <c r="E80" s="171">
        <f>P!L82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0.01</v>
      </c>
      <c r="E84" s="171">
        <f>P!L86</f>
        <v>2.5000000000000001E-2</v>
      </c>
      <c r="F84" s="263" t="str">
        <f t="shared" si="2"/>
        <v>হ্যা</v>
      </c>
      <c r="G84" s="284" t="str">
        <f t="shared" si="3"/>
        <v>++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0.05</v>
      </c>
      <c r="E86" s="171">
        <f>P!L88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12</v>
      </c>
      <c r="E87" s="171">
        <f>P!L89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6</v>
      </c>
      <c r="E88" s="171">
        <f>P!L90</f>
        <v>20</v>
      </c>
      <c r="F88" s="263" t="str">
        <f t="shared" si="2"/>
        <v>হ্যা</v>
      </c>
      <c r="G88" s="284" t="str">
        <f t="shared" si="3"/>
        <v>++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210</v>
      </c>
      <c r="E89" s="171">
        <f>P!L91</f>
        <v>330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2</v>
      </c>
      <c r="E95" s="171">
        <f>P!L97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1</v>
      </c>
      <c r="E107" s="171">
        <f>P!L109</f>
        <v>0</v>
      </c>
      <c r="F107" s="263" t="str">
        <f t="shared" si="2"/>
        <v>হ্যা</v>
      </c>
      <c r="G107" s="284" t="str">
        <f t="shared" si="3"/>
        <v>--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288</v>
      </c>
      <c r="F116" s="263" t="str">
        <f t="shared" si="2"/>
        <v>নাই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2</v>
      </c>
      <c r="E120" s="171">
        <f>P!L122</f>
        <v>2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1.5</v>
      </c>
      <c r="F123" s="263" t="str">
        <f t="shared" si="2"/>
        <v>নাই</v>
      </c>
      <c r="G123" s="284" t="str">
        <f t="shared" si="3"/>
        <v>++</v>
      </c>
      <c r="H123" s="131" t="s">
        <v>537</v>
      </c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80</v>
      </c>
      <c r="E124" s="171">
        <f>P!L126</f>
        <v>97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7</v>
      </c>
      <c r="E126" s="171">
        <f>P!L128</f>
        <v>7.9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50</v>
      </c>
      <c r="F141" s="263" t="str">
        <f t="shared" si="4"/>
        <v>নাই</v>
      </c>
      <c r="G141" s="284" t="str">
        <f t="shared" si="5"/>
        <v>++</v>
      </c>
      <c r="H141" s="131" t="s">
        <v>537</v>
      </c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15</v>
      </c>
      <c r="E143" s="171">
        <f>P!L145</f>
        <v>15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8</v>
      </c>
      <c r="E150" s="171">
        <f>P!L152</f>
        <v>8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2</v>
      </c>
      <c r="E152" s="171">
        <f>P!L154</f>
        <v>1.9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8</v>
      </c>
      <c r="E153" s="171">
        <f>P!L155</f>
        <v>8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10</v>
      </c>
      <c r="E177" s="171">
        <f>P!L179</f>
        <v>10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8</v>
      </c>
      <c r="E178" s="171">
        <f>P!L180</f>
        <v>8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1</v>
      </c>
      <c r="E179" s="171">
        <f>P!L181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1</v>
      </c>
      <c r="E180" s="171">
        <f>P!L182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2</v>
      </c>
      <c r="E181" s="171">
        <f>P!L183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24</v>
      </c>
      <c r="E182" s="171">
        <f>P!L184</f>
        <v>24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5</v>
      </c>
      <c r="E183" s="171">
        <f>P!L185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2</v>
      </c>
      <c r="E184" s="171">
        <f>P!L186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4</v>
      </c>
      <c r="E185" s="171">
        <f>P!L187</f>
        <v>4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8</v>
      </c>
      <c r="E193" s="171">
        <f>P!L195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8</v>
      </c>
      <c r="E195" s="171">
        <f>P!L197</f>
        <v>8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2</v>
      </c>
      <c r="E197" s="171">
        <f>P!L199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2</v>
      </c>
      <c r="E198" s="171">
        <f>P!L200</f>
        <v>2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10</v>
      </c>
      <c r="E203" s="171">
        <f>P!L205</f>
        <v>10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5</v>
      </c>
      <c r="E204" s="171">
        <f>P!L206</f>
        <v>5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5</v>
      </c>
      <c r="E205" s="171">
        <f>P!L207</f>
        <v>5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3</v>
      </c>
      <c r="E206" s="171">
        <f>P!L208</f>
        <v>3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0</v>
      </c>
      <c r="E209" s="171">
        <f>P!L211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5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S!P229</f>
        <v>0</v>
      </c>
      <c r="E229" s="171">
        <f>P!L231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2.5</v>
      </c>
      <c r="E230" s="171">
        <f>P!L232</f>
        <v>56</v>
      </c>
      <c r="F230" s="263" t="str">
        <f t="shared" si="6"/>
        <v>হ্যা</v>
      </c>
      <c r="G230" s="284" t="str">
        <f t="shared" si="7"/>
        <v>++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130</v>
      </c>
      <c r="E231" s="171">
        <f>P!L233</f>
        <v>4000</v>
      </c>
      <c r="F231" s="263" t="str">
        <f t="shared" si="6"/>
        <v>হ্যা</v>
      </c>
      <c r="G231" s="284" t="str">
        <f t="shared" si="7"/>
        <v>++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30</v>
      </c>
      <c r="E232" s="171">
        <f>P!L234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10</v>
      </c>
      <c r="E245" s="171">
        <f>P!L247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S!P247</f>
        <v>0</v>
      </c>
      <c r="E247" s="171">
        <f>P!L249</f>
        <v>650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80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630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4200</v>
      </c>
      <c r="F252" s="263"/>
      <c r="G252" s="284" t="str">
        <f t="shared" si="7"/>
        <v>++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H250" sqref="H25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P!D3+5</f>
        <v>45967</v>
      </c>
      <c r="E1" s="521"/>
      <c r="F1" s="521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16</v>
      </c>
      <c r="E5" s="171">
        <f>P!N7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3</v>
      </c>
      <c r="E8" s="171">
        <f>P!N10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2</v>
      </c>
      <c r="E10" s="171">
        <f>P!N12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25</v>
      </c>
      <c r="E13" s="171">
        <f>P!N15</f>
        <v>25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0.4</v>
      </c>
      <c r="E14" s="171">
        <f>P!N16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3</v>
      </c>
      <c r="E15" s="171">
        <f>P!N17</f>
        <v>25</v>
      </c>
      <c r="F15" s="263" t="str">
        <f t="shared" si="0"/>
        <v>হ্যা</v>
      </c>
      <c r="G15" s="284" t="str">
        <f t="shared" si="1"/>
        <v>++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6</v>
      </c>
      <c r="E19" s="171">
        <f>P!N21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1</v>
      </c>
      <c r="E20" s="171">
        <f>P!N22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710</v>
      </c>
      <c r="E22" s="171">
        <f>P!N24</f>
        <v>720</v>
      </c>
      <c r="F22" s="263" t="str">
        <f t="shared" si="0"/>
        <v>হ্যা</v>
      </c>
      <c r="G22" s="284" t="str">
        <f t="shared" si="1"/>
        <v>++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2</v>
      </c>
      <c r="E34" s="171">
        <f>P!N36</f>
        <v>32</v>
      </c>
      <c r="F34" s="263" t="str">
        <f t="shared" si="0"/>
        <v>হ্যা</v>
      </c>
      <c r="G34" s="284" t="str">
        <f t="shared" si="1"/>
        <v>++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450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5</v>
      </c>
      <c r="E56" s="171">
        <f>P!N58</f>
        <v>6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2</v>
      </c>
      <c r="E58" s="171">
        <f>P!N60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5</v>
      </c>
      <c r="E60" s="171">
        <f>P!N62</f>
        <v>5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0.2</v>
      </c>
      <c r="E61" s="171">
        <f>P!N63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0.5</v>
      </c>
      <c r="E62" s="171">
        <f>P!N64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0.1</v>
      </c>
      <c r="E65" s="171">
        <f>P!N67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0.05</v>
      </c>
      <c r="E68" s="171">
        <f>P!N70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0.1</v>
      </c>
      <c r="E69" s="171">
        <f>P!N71</f>
        <v>0.5</v>
      </c>
      <c r="F69" s="263" t="str">
        <f t="shared" si="2"/>
        <v>হ্যা</v>
      </c>
      <c r="G69" s="284" t="str">
        <f t="shared" si="3"/>
        <v>++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0.02</v>
      </c>
      <c r="E70" s="171">
        <f>P!N72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0.1</v>
      </c>
      <c r="E78" s="171">
        <f>P!N80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1</v>
      </c>
      <c r="E80" s="171">
        <f>P!N82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30</v>
      </c>
      <c r="E87" s="171">
        <f>P!N89</f>
        <v>24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13</v>
      </c>
      <c r="E88" s="171">
        <f>P!N90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330</v>
      </c>
      <c r="E89" s="171">
        <f>P!N91</f>
        <v>90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1</v>
      </c>
      <c r="E95" s="171">
        <f>P!N97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1</v>
      </c>
      <c r="F98" s="263" t="str">
        <f t="shared" si="2"/>
        <v>নাই</v>
      </c>
      <c r="G98" s="284" t="str">
        <f t="shared" si="3"/>
        <v>++</v>
      </c>
      <c r="H98" s="131" t="s">
        <v>375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1</v>
      </c>
      <c r="E107" s="171">
        <f>P!N109</f>
        <v>1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0.25</v>
      </c>
      <c r="F112" s="263" t="str">
        <f t="shared" si="2"/>
        <v>নাই</v>
      </c>
      <c r="G112" s="284" t="str">
        <f t="shared" si="3"/>
        <v>++</v>
      </c>
      <c r="H112" s="418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30</v>
      </c>
      <c r="E124" s="171">
        <f>P!N126</f>
        <v>35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450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1.5</v>
      </c>
      <c r="E133" s="171">
        <f>P!N135</f>
        <v>1.65</v>
      </c>
      <c r="F133" s="263" t="str">
        <f t="shared" si="4"/>
        <v>হ্যা</v>
      </c>
      <c r="G133" s="284" t="str">
        <f t="shared" si="5"/>
        <v>++</v>
      </c>
      <c r="H133" s="131" t="s">
        <v>450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450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</v>
      </c>
      <c r="E145" s="171">
        <f>P!N147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15</v>
      </c>
      <c r="E150" s="171">
        <f>P!N152</f>
        <v>15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0</v>
      </c>
      <c r="E153" s="171">
        <f>P!N155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450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450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1</v>
      </c>
      <c r="E160" s="171">
        <f>P!N162</f>
        <v>1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3</v>
      </c>
      <c r="E169" s="171">
        <f>P!N171</f>
        <v>2</v>
      </c>
      <c r="F169" s="263" t="str">
        <f t="shared" si="4"/>
        <v>হ্যা</v>
      </c>
      <c r="G169" s="284" t="str">
        <f t="shared" si="5"/>
        <v>--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15</v>
      </c>
      <c r="E177" s="171">
        <f>P!N179</f>
        <v>15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5</v>
      </c>
      <c r="E178" s="171">
        <f>P!N180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1</v>
      </c>
      <c r="E179" s="171">
        <f>P!N181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1</v>
      </c>
      <c r="E180" s="171">
        <f>P!N182</f>
        <v>4</v>
      </c>
      <c r="F180" s="263" t="str">
        <f t="shared" si="4"/>
        <v>হ্যা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2</v>
      </c>
      <c r="E181" s="171">
        <f>P!N183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15</v>
      </c>
      <c r="E182" s="171">
        <f>P!N184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4</v>
      </c>
      <c r="E183" s="171">
        <f>P!N185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5</v>
      </c>
      <c r="E184" s="171">
        <f>P!N186</f>
        <v>5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5</v>
      </c>
      <c r="E185" s="171">
        <f>P!N187</f>
        <v>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6</v>
      </c>
      <c r="E186" s="171">
        <f>P!N188</f>
        <v>6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6</v>
      </c>
      <c r="E187" s="171">
        <f>P!N189</f>
        <v>6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0</v>
      </c>
      <c r="E195" s="171">
        <f>P!N197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450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450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2</v>
      </c>
      <c r="E197" s="171">
        <f>P!N199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2</v>
      </c>
      <c r="E198" s="171">
        <f>P!N200</f>
        <v>2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10</v>
      </c>
      <c r="E202" s="171">
        <f>P!N204</f>
        <v>10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10</v>
      </c>
      <c r="E204" s="171">
        <f>P!N206</f>
        <v>10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10</v>
      </c>
      <c r="E205" s="171">
        <f>P!N207</f>
        <v>10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10</v>
      </c>
      <c r="E206" s="171">
        <f>P!N208</f>
        <v>10</v>
      </c>
      <c r="F206" s="263" t="str">
        <f t="shared" si="6"/>
        <v>হ্যা</v>
      </c>
      <c r="G206" s="284" t="str">
        <f t="shared" si="7"/>
        <v>OK</v>
      </c>
      <c r="H206" s="131" t="s">
        <v>450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3</v>
      </c>
      <c r="E209" s="171">
        <f>P!N211</f>
        <v>3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3</v>
      </c>
      <c r="E210" s="171">
        <f>P!N212</f>
        <v>0</v>
      </c>
      <c r="F210" s="263" t="str">
        <f t="shared" si="6"/>
        <v>হ্যা</v>
      </c>
      <c r="G210" s="284" t="str">
        <f t="shared" si="7"/>
        <v>--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10</v>
      </c>
      <c r="E214" s="171">
        <f>P!N216</f>
        <v>10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1</v>
      </c>
      <c r="E230" s="171">
        <f>P!N232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40</v>
      </c>
      <c r="E231" s="171">
        <f>P!N233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38</v>
      </c>
      <c r="E232" s="171">
        <f>P!N234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450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94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10</v>
      </c>
      <c r="E245" s="171">
        <f>P!N247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s="218" customFormat="1" ht="58.5">
      <c r="A247" s="435">
        <f>P!A249</f>
        <v>245</v>
      </c>
      <c r="B247" s="302" t="str">
        <f>P!B249</f>
        <v>বিবিধ (পাইপ ক্রয়, চিকেন বার্গার, ওয়ানটাইম মাস্ক, ওয়ানটাইম হ্যান্ড গ্লভস...)</v>
      </c>
      <c r="C247" s="435" t="str">
        <f>P!C249</f>
        <v>টাকা</v>
      </c>
      <c r="D247" s="435">
        <f>S!R247</f>
        <v>0</v>
      </c>
      <c r="E247" s="435">
        <f>P!N249</f>
        <v>1240</v>
      </c>
      <c r="F247" s="435" t="str">
        <f t="shared" si="6"/>
        <v>নাই</v>
      </c>
      <c r="G247" s="284" t="str">
        <f t="shared" si="7"/>
        <v>++</v>
      </c>
      <c r="H247" s="303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40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550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3800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P!D3+6</f>
        <v>45968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10</v>
      </c>
      <c r="E5" s="171">
        <f>P!P7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3</v>
      </c>
      <c r="E6" s="171">
        <f>P!P8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3</v>
      </c>
      <c r="E8" s="171">
        <f>P!P10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1.5</v>
      </c>
      <c r="E9" s="171">
        <f>P!P11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4</v>
      </c>
      <c r="E13" s="171">
        <f>P!P15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0.3</v>
      </c>
      <c r="E14" s="171">
        <f>P!P16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1</v>
      </c>
      <c r="E15" s="171">
        <f>P!P17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3</v>
      </c>
      <c r="E19" s="171">
        <f>P!P21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0.2</v>
      </c>
      <c r="E20" s="171">
        <f>P!P22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0</v>
      </c>
      <c r="E22" s="171">
        <f>P!P24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1</v>
      </c>
      <c r="E34" s="171">
        <f>P!P36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451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2</v>
      </c>
      <c r="E56" s="171">
        <f>P!P58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1</v>
      </c>
      <c r="E58" s="171">
        <f>P!P60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1</v>
      </c>
      <c r="E60" s="171">
        <f>P!P62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0.2</v>
      </c>
      <c r="E61" s="171">
        <f>P!P63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0.3</v>
      </c>
      <c r="E62" s="171">
        <f>P!P64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0.5</v>
      </c>
      <c r="E65" s="171">
        <f>P!P67</f>
        <v>0.5</v>
      </c>
      <c r="F65" s="263" t="str">
        <f t="shared" si="0"/>
        <v>হ্যা</v>
      </c>
      <c r="G65" s="284" t="str">
        <f t="shared" si="1"/>
        <v>OK</v>
      </c>
      <c r="H65" s="131" t="s">
        <v>448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0.02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0.05</v>
      </c>
      <c r="E69" s="171">
        <f>P!P71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0.01</v>
      </c>
      <c r="E70" s="171">
        <f>P!P72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0.3</v>
      </c>
      <c r="E75" s="171">
        <f>P!P77</f>
        <v>0.2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0.05</v>
      </c>
      <c r="E78" s="171">
        <f>P!P80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0.5</v>
      </c>
      <c r="E80" s="171">
        <f>P!P82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0</v>
      </c>
      <c r="E87" s="171">
        <f>P!P89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0.5</v>
      </c>
      <c r="E88" s="171">
        <f>P!P90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40</v>
      </c>
      <c r="E89" s="171">
        <f>P!P91</f>
        <v>40</v>
      </c>
      <c r="F89" s="263" t="str">
        <f t="shared" si="2"/>
        <v>হ্যা</v>
      </c>
      <c r="G89" s="284" t="str">
        <f t="shared" si="3"/>
        <v>OK</v>
      </c>
      <c r="H89" s="131" t="s">
        <v>448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1</v>
      </c>
      <c r="E95" s="171">
        <f>P!P97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3</v>
      </c>
      <c r="E104" s="171">
        <f>P!P106</f>
        <v>0</v>
      </c>
      <c r="F104" s="263" t="str">
        <f t="shared" si="2"/>
        <v>হ্যা</v>
      </c>
      <c r="G104" s="284" t="str">
        <f t="shared" si="3"/>
        <v>--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6</v>
      </c>
      <c r="F116" s="263" t="str">
        <f t="shared" si="2"/>
        <v>নাই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30</v>
      </c>
      <c r="E124" s="171">
        <f>P!P126</f>
        <v>30</v>
      </c>
      <c r="F124" s="263" t="str">
        <f t="shared" si="2"/>
        <v>হ্যা</v>
      </c>
      <c r="G124" s="284" t="str">
        <f t="shared" si="3"/>
        <v>OK</v>
      </c>
      <c r="H124" s="131" t="s">
        <v>448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8</v>
      </c>
      <c r="E150" s="171">
        <f>P!P152</f>
        <v>8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0</v>
      </c>
      <c r="E152" s="171">
        <f>P!P154</f>
        <v>0</v>
      </c>
      <c r="F152" s="263" t="str">
        <f t="shared" si="4"/>
        <v>হ্যা</v>
      </c>
      <c r="G152" s="284" t="str">
        <f t="shared" si="5"/>
        <v>OK</v>
      </c>
      <c r="H152" s="131" t="s">
        <v>448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448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5</v>
      </c>
      <c r="E154" s="171">
        <f>P!P156</f>
        <v>0</v>
      </c>
      <c r="F154" s="263" t="str">
        <f t="shared" si="4"/>
        <v>হ্যা</v>
      </c>
      <c r="G154" s="284" t="str">
        <f t="shared" si="5"/>
        <v>--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5</v>
      </c>
      <c r="E177" s="171">
        <f>P!P179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4</v>
      </c>
      <c r="E178" s="171">
        <f>P!P180</f>
        <v>4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0.5</v>
      </c>
      <c r="E179" s="171">
        <f>P!P181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0.5</v>
      </c>
      <c r="E180" s="171">
        <f>P!P182</f>
        <v>0</v>
      </c>
      <c r="F180" s="263" t="str">
        <f t="shared" si="4"/>
        <v>হ্যা</v>
      </c>
      <c r="G180" s="284" t="str">
        <f t="shared" si="5"/>
        <v>--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0.5</v>
      </c>
      <c r="E181" s="171">
        <f>P!P183</f>
        <v>0.5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10</v>
      </c>
      <c r="E182" s="171">
        <f>P!P184</f>
        <v>10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2</v>
      </c>
      <c r="E183" s="171">
        <f>P!P185</f>
        <v>2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1</v>
      </c>
      <c r="E184" s="171">
        <f>P!P186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1</v>
      </c>
      <c r="E197" s="171">
        <f>P!P199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0.5</v>
      </c>
      <c r="E198" s="171">
        <f>P!P200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5</v>
      </c>
      <c r="E207" s="171">
        <f>P!P209</f>
        <v>5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0</v>
      </c>
      <c r="E214" s="171">
        <f>P!P216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0.5</v>
      </c>
      <c r="E230" s="171">
        <f>P!P232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30</v>
      </c>
      <c r="E231" s="171">
        <f>P!P233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30</v>
      </c>
      <c r="E232" s="171">
        <f>P!P234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S!T247</f>
        <v>0</v>
      </c>
      <c r="E247" s="171">
        <f>P!P249</f>
        <v>780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100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1400</v>
      </c>
      <c r="F252" s="263"/>
      <c r="G252" s="284" t="str">
        <f t="shared" si="7"/>
        <v>++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252"/>
  <sheetViews>
    <sheetView topLeftCell="A11" workbookViewId="0">
      <selection activeCell="H10" sqref="H10"/>
    </sheetView>
  </sheetViews>
  <sheetFormatPr defaultRowHeight="19.5"/>
  <cols>
    <col min="1" max="1" width="7.28515625" style="139" customWidth="1"/>
    <col min="2" max="2" width="32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1.8554687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P!D3+7</f>
        <v>45969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12</v>
      </c>
      <c r="E5" s="171">
        <f>P!R7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3</v>
      </c>
      <c r="E8" s="171">
        <f>P!R10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2</v>
      </c>
      <c r="E10" s="171">
        <f>P!R12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5</v>
      </c>
      <c r="E13" s="171">
        <f>P!R15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0.3</v>
      </c>
      <c r="E14" s="171">
        <f>P!R16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1</v>
      </c>
      <c r="E15" s="171">
        <f>P!R17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0.2</v>
      </c>
      <c r="F17" s="263" t="str">
        <f t="shared" si="0"/>
        <v>নাই</v>
      </c>
      <c r="G17" s="284" t="str">
        <f t="shared" si="1"/>
        <v>++</v>
      </c>
      <c r="H17" s="131" t="s">
        <v>540</v>
      </c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5</v>
      </c>
      <c r="E19" s="171">
        <f>P!R21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0.2</v>
      </c>
      <c r="E20" s="171">
        <f>P!R22</f>
        <v>1</v>
      </c>
      <c r="F20" s="263" t="str">
        <f t="shared" si="0"/>
        <v>হ্যা</v>
      </c>
      <c r="G20" s="284" t="str">
        <f t="shared" si="1"/>
        <v>++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</v>
      </c>
      <c r="E21" s="171">
        <f>P!R23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0</v>
      </c>
      <c r="E22" s="171">
        <f>P!R24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1</v>
      </c>
      <c r="E34" s="171">
        <f>P!R36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1</v>
      </c>
      <c r="F38" s="263" t="str">
        <f t="shared" si="0"/>
        <v>নাই</v>
      </c>
      <c r="G38" s="284" t="str">
        <f t="shared" si="1"/>
        <v>++</v>
      </c>
      <c r="H38" s="131" t="s">
        <v>540</v>
      </c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0.25</v>
      </c>
      <c r="F46" s="263" t="str">
        <f t="shared" si="0"/>
        <v>নাই</v>
      </c>
      <c r="G46" s="284" t="str">
        <f t="shared" si="1"/>
        <v>++</v>
      </c>
      <c r="H46" s="131" t="s">
        <v>540</v>
      </c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100</v>
      </c>
      <c r="F54" s="263" t="str">
        <f t="shared" si="0"/>
        <v>নাই</v>
      </c>
      <c r="G54" s="284" t="str">
        <f t="shared" si="1"/>
        <v>++</v>
      </c>
      <c r="H54" s="131" t="s">
        <v>540</v>
      </c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100</v>
      </c>
      <c r="F55" s="263" t="str">
        <f t="shared" si="0"/>
        <v>নাই</v>
      </c>
      <c r="G55" s="284" t="str">
        <f t="shared" si="1"/>
        <v>++</v>
      </c>
      <c r="H55" s="131" t="s">
        <v>540</v>
      </c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4</v>
      </c>
      <c r="E56" s="171">
        <f>P!R58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1</v>
      </c>
      <c r="E58" s="171">
        <f>P!R60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1</v>
      </c>
      <c r="E60" s="171">
        <f>P!R62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0.2</v>
      </c>
      <c r="E61" s="171">
        <f>P!R63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300</v>
      </c>
      <c r="E62" s="171">
        <f>P!R64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0.1</v>
      </c>
      <c r="E65" s="171">
        <f>P!R67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1</v>
      </c>
      <c r="F66" s="263" t="str">
        <f t="shared" si="0"/>
        <v>নাই</v>
      </c>
      <c r="G66" s="284" t="str">
        <f t="shared" si="1"/>
        <v>++</v>
      </c>
      <c r="H66" s="131" t="s">
        <v>540</v>
      </c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1</v>
      </c>
      <c r="F67" s="263" t="str">
        <f t="shared" si="0"/>
        <v>নাই</v>
      </c>
      <c r="G67" s="284" t="str">
        <f t="shared" si="1"/>
        <v>++</v>
      </c>
      <c r="H67" s="131" t="s">
        <v>540</v>
      </c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2.5000000000000001E-2</v>
      </c>
      <c r="E68" s="171">
        <f>P!R70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0.05</v>
      </c>
      <c r="E69" s="171">
        <f>P!R71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0.01</v>
      </c>
      <c r="E70" s="171">
        <f>P!R72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0.1</v>
      </c>
      <c r="F72" s="263" t="str">
        <f t="shared" si="2"/>
        <v>নাই</v>
      </c>
      <c r="G72" s="284" t="str">
        <f t="shared" si="3"/>
        <v>++</v>
      </c>
      <c r="H72" s="131" t="s">
        <v>540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0.2</v>
      </c>
      <c r="F73" s="263" t="str">
        <f t="shared" si="2"/>
        <v>নাই</v>
      </c>
      <c r="G73" s="284" t="str">
        <f t="shared" si="3"/>
        <v>++</v>
      </c>
      <c r="H73" s="131" t="s">
        <v>540</v>
      </c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0.45</v>
      </c>
      <c r="F75" s="263" t="str">
        <f t="shared" si="2"/>
        <v>নাই</v>
      </c>
      <c r="G75" s="284" t="str">
        <f t="shared" si="3"/>
        <v>++</v>
      </c>
      <c r="H75" s="131" t="s">
        <v>540</v>
      </c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0.05</v>
      </c>
      <c r="E78" s="171">
        <f>P!R80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0.5</v>
      </c>
      <c r="E80" s="171">
        <f>P!R82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0</v>
      </c>
      <c r="E87" s="171">
        <f>P!R89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0.5</v>
      </c>
      <c r="E88" s="171">
        <f>P!R90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40</v>
      </c>
      <c r="E89" s="171">
        <f>P!R91</f>
        <v>30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1</v>
      </c>
      <c r="E95" s="171">
        <f>P!R97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0.24</v>
      </c>
      <c r="F112" s="263" t="str">
        <f t="shared" si="2"/>
        <v>নাই</v>
      </c>
      <c r="G112" s="284" t="str">
        <f t="shared" si="3"/>
        <v>++</v>
      </c>
      <c r="H112" s="131" t="s">
        <v>540</v>
      </c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459</v>
      </c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30</v>
      </c>
      <c r="E124" s="171">
        <f>P!R126</f>
        <v>35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0.95</v>
      </c>
      <c r="F126" s="263" t="str">
        <f t="shared" si="2"/>
        <v>নাই</v>
      </c>
      <c r="G126" s="284" t="str">
        <f t="shared" si="3"/>
        <v>++</v>
      </c>
      <c r="H126" s="131" t="s">
        <v>540</v>
      </c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26</v>
      </c>
      <c r="F141" s="263" t="str">
        <f t="shared" si="4"/>
        <v>নাই</v>
      </c>
      <c r="G141" s="284" t="str">
        <f t="shared" si="5"/>
        <v>++</v>
      </c>
      <c r="H141" s="131" t="s">
        <v>540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4</v>
      </c>
      <c r="F142" s="263" t="str">
        <f t="shared" si="4"/>
        <v>নাই</v>
      </c>
      <c r="G142" s="284" t="str">
        <f t="shared" si="5"/>
        <v>++</v>
      </c>
      <c r="H142" s="131" t="s">
        <v>540</v>
      </c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12</v>
      </c>
      <c r="F143" s="263" t="str">
        <f t="shared" si="4"/>
        <v>নাই</v>
      </c>
      <c r="G143" s="284" t="str">
        <f t="shared" si="5"/>
        <v>++</v>
      </c>
      <c r="H143" s="131" t="s">
        <v>540</v>
      </c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12</v>
      </c>
      <c r="E150" s="171">
        <f>P!R152</f>
        <v>12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6</v>
      </c>
      <c r="E153" s="171">
        <f>P!R155</f>
        <v>5</v>
      </c>
      <c r="F153" s="263" t="str">
        <f t="shared" si="4"/>
        <v>হ্যা</v>
      </c>
      <c r="G153" s="284" t="str">
        <f t="shared" si="5"/>
        <v>--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15</v>
      </c>
      <c r="E177" s="171">
        <f>P!R179</f>
        <v>17</v>
      </c>
      <c r="F177" s="263" t="str">
        <f t="shared" si="4"/>
        <v>হ্যা</v>
      </c>
      <c r="G177" s="284" t="str">
        <f t="shared" si="5"/>
        <v>++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5</v>
      </c>
      <c r="E178" s="171">
        <f>P!R180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0.5</v>
      </c>
      <c r="E179" s="171">
        <f>P!R181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0.5</v>
      </c>
      <c r="E180" s="171">
        <f>P!R182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1</v>
      </c>
      <c r="E181" s="171">
        <f>P!R183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12</v>
      </c>
      <c r="E182" s="171">
        <f>P!R184</f>
        <v>12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3</v>
      </c>
      <c r="E183" s="171">
        <f>P!R185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1</v>
      </c>
      <c r="E184" s="171">
        <f>P!R186</f>
        <v>3.5</v>
      </c>
      <c r="F184" s="263" t="str">
        <f t="shared" si="4"/>
        <v>হ্যা</v>
      </c>
      <c r="G184" s="284" t="str">
        <f t="shared" si="5"/>
        <v>++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0.5</v>
      </c>
      <c r="E185" s="171">
        <f>P!R187</f>
        <v>0.5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45</v>
      </c>
      <c r="E188" s="171">
        <f>P!R190</f>
        <v>45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0.02</v>
      </c>
      <c r="E194" s="171">
        <f>P!R196</f>
        <v>2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5</v>
      </c>
      <c r="E195" s="171">
        <f>P!R197</f>
        <v>5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2</v>
      </c>
      <c r="E197" s="171">
        <f>P!R199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0.5</v>
      </c>
      <c r="E198" s="171">
        <f>P!R200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5</v>
      </c>
      <c r="E203" s="171">
        <f>P!R205</f>
        <v>5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3</v>
      </c>
      <c r="E204" s="171">
        <f>P!R206</f>
        <v>3</v>
      </c>
      <c r="F204" s="263" t="str">
        <f t="shared" si="6"/>
        <v>হ্যা</v>
      </c>
      <c r="G204" s="284" t="str">
        <f t="shared" si="7"/>
        <v>OK</v>
      </c>
      <c r="H204" s="131" t="s">
        <v>459</v>
      </c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3</v>
      </c>
      <c r="E206" s="171">
        <f>P!R208</f>
        <v>3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0</v>
      </c>
      <c r="E214" s="171">
        <f>P!R216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0.5</v>
      </c>
      <c r="E230" s="171">
        <f>P!R232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30</v>
      </c>
      <c r="E231" s="171">
        <f>P!R233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40</v>
      </c>
      <c r="E232" s="171">
        <f>P!R234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88</v>
      </c>
      <c r="F243" s="263"/>
      <c r="G243" s="284" t="str">
        <f t="shared" si="7"/>
        <v>++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S!V247</f>
        <v>0</v>
      </c>
      <c r="E247" s="171">
        <f>P!R249</f>
        <v>470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50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370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2000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70C53EAF-803C-48D0-840C-333F54B510A6}"/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P!D3+8</f>
        <v>45970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15</v>
      </c>
      <c r="E5" s="171">
        <f>P!T7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3</v>
      </c>
      <c r="E8" s="171">
        <f>P!T10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0</v>
      </c>
      <c r="E9" s="171">
        <f>P!T11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2.5</v>
      </c>
      <c r="E10" s="171">
        <f>P!T12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5</v>
      </c>
      <c r="E13" s="171">
        <f>P!T15</f>
        <v>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0.4</v>
      </c>
      <c r="E14" s="171">
        <f>P!T16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2</v>
      </c>
      <c r="E15" s="171">
        <f>P!T17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5</v>
      </c>
      <c r="E19" s="171">
        <f>P!T21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0.2</v>
      </c>
      <c r="E20" s="171">
        <f>P!T22</f>
        <v>0.2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0</v>
      </c>
      <c r="E22" s="171">
        <f>P!T24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2</v>
      </c>
      <c r="E34" s="171">
        <f>P!T36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5</v>
      </c>
      <c r="E56" s="171">
        <f>P!T58</f>
        <v>5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2</v>
      </c>
      <c r="E58" s="171">
        <f>P!T60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2</v>
      </c>
      <c r="E60" s="171">
        <f>P!T62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0.5</v>
      </c>
      <c r="E61" s="171">
        <f>P!T63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0.5</v>
      </c>
      <c r="E62" s="171">
        <f>P!T64</f>
        <v>0.5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0.1</v>
      </c>
      <c r="E65" s="171">
        <f>P!T67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0.05</v>
      </c>
      <c r="E68" s="171">
        <f>P!T70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0.05</v>
      </c>
      <c r="E69" s="171">
        <f>P!T71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0.05</v>
      </c>
      <c r="E70" s="171">
        <f>P!T72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0.1</v>
      </c>
      <c r="E78" s="171">
        <f>P!T80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1</v>
      </c>
      <c r="E80" s="171">
        <f>P!T82</f>
        <v>1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0.5</v>
      </c>
      <c r="E88" s="171">
        <f>P!T90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100</v>
      </c>
      <c r="E89" s="171">
        <f>P!T91</f>
        <v>90</v>
      </c>
      <c r="F89" s="263" t="str">
        <f t="shared" si="2"/>
        <v>হ্যা</v>
      </c>
      <c r="G89" s="284" t="str">
        <f t="shared" si="3"/>
        <v>--</v>
      </c>
      <c r="H89" s="131" t="s">
        <v>448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1</v>
      </c>
      <c r="E95" s="171">
        <f>P!T97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2</v>
      </c>
      <c r="E102" s="171">
        <f>P!T104</f>
        <v>3</v>
      </c>
      <c r="F102" s="263" t="str">
        <f t="shared" si="2"/>
        <v>হ্যা</v>
      </c>
      <c r="G102" s="284" t="str">
        <f t="shared" si="3"/>
        <v>++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448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40</v>
      </c>
      <c r="E124" s="171">
        <f>P!T126</f>
        <v>40</v>
      </c>
      <c r="F124" s="263" t="str">
        <f t="shared" si="2"/>
        <v>হ্যা</v>
      </c>
      <c r="G124" s="284" t="str">
        <f t="shared" si="3"/>
        <v>OK</v>
      </c>
      <c r="H124" s="131" t="s">
        <v>460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461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14</v>
      </c>
      <c r="E150" s="171">
        <f>P!T152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0</v>
      </c>
      <c r="E152" s="171">
        <f>P!T154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3</v>
      </c>
      <c r="E168" s="171">
        <f>P!T170</f>
        <v>3</v>
      </c>
      <c r="F168" s="263" t="str">
        <f t="shared" si="4"/>
        <v>হ্যা</v>
      </c>
      <c r="G168" s="284" t="str">
        <f t="shared" si="5"/>
        <v>OK</v>
      </c>
      <c r="H168" s="131" t="s">
        <v>461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5</v>
      </c>
      <c r="E177" s="171">
        <f>P!T179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5</v>
      </c>
      <c r="E178" s="171">
        <f>P!T180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1</v>
      </c>
      <c r="E179" s="171">
        <f>P!T181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1</v>
      </c>
      <c r="E180" s="171">
        <f>P!T182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1</v>
      </c>
      <c r="E181" s="171">
        <f>P!T183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15</v>
      </c>
      <c r="E182" s="171">
        <f>P!T184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3</v>
      </c>
      <c r="E183" s="171">
        <f>P!T185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1</v>
      </c>
      <c r="E184" s="171">
        <f>P!T186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10</v>
      </c>
      <c r="E185" s="171">
        <f>P!T187</f>
        <v>10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8</v>
      </c>
      <c r="E193" s="171">
        <f>P!T195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1</v>
      </c>
      <c r="E197" s="171">
        <f>P!T199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0.5</v>
      </c>
      <c r="E198" s="171">
        <f>P!T200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3</v>
      </c>
      <c r="E203" s="171">
        <f>P!T205</f>
        <v>3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0.5</v>
      </c>
      <c r="E230" s="171">
        <f>P!T232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30</v>
      </c>
      <c r="E231" s="171">
        <f>P!T233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30</v>
      </c>
      <c r="E232" s="171">
        <f>P!T234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112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S!X247</f>
        <v>0</v>
      </c>
      <c r="E247" s="171">
        <f>P!T249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60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160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2200</v>
      </c>
      <c r="F252" s="263"/>
      <c r="G252" s="284" t="str">
        <f t="shared" si="7"/>
        <v>++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E247" sqref="E24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P!D3+9</f>
        <v>45971</v>
      </c>
      <c r="E1" s="521"/>
      <c r="F1" s="521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15</v>
      </c>
      <c r="E5" s="171">
        <f>P!V7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4</v>
      </c>
      <c r="E8" s="171">
        <f>P!V10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2</v>
      </c>
      <c r="E9" s="171">
        <f>P!V11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5</v>
      </c>
      <c r="E13" s="171">
        <f>P!V15</f>
        <v>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0.4</v>
      </c>
      <c r="E14" s="171">
        <f>P!V16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2</v>
      </c>
      <c r="E15" s="171">
        <f>P!V17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4</v>
      </c>
      <c r="E19" s="171">
        <f>P!V21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0.2</v>
      </c>
      <c r="E20" s="171">
        <f>P!V22</f>
        <v>1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2</v>
      </c>
      <c r="E34" s="171">
        <f>P!V36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4</v>
      </c>
      <c r="E56" s="171">
        <f>P!V58</f>
        <v>4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2</v>
      </c>
      <c r="E58" s="171">
        <f>P!V60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2</v>
      </c>
      <c r="E60" s="171">
        <f>P!V62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0.2</v>
      </c>
      <c r="E61" s="171">
        <f>P!V63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0.3</v>
      </c>
      <c r="E62" s="171">
        <f>P!V64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0.1</v>
      </c>
      <c r="E63" s="171">
        <f>P!V65</f>
        <v>0</v>
      </c>
      <c r="F63" s="263" t="str">
        <f t="shared" si="0"/>
        <v>হ্যা</v>
      </c>
      <c r="G63" s="284" t="str">
        <f t="shared" si="1"/>
        <v>--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0.1</v>
      </c>
      <c r="E65" s="171">
        <f>P!V67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0.02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0.05</v>
      </c>
      <c r="E69" s="171">
        <f>P!V71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0.01</v>
      </c>
      <c r="E70" s="171">
        <f>P!V72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0.1</v>
      </c>
      <c r="E78" s="171">
        <f>P!V80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0.5</v>
      </c>
      <c r="E80" s="171">
        <f>P!V82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0.5</v>
      </c>
      <c r="E88" s="171">
        <f>P!V90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40</v>
      </c>
      <c r="E89" s="171">
        <f>P!V91</f>
        <v>60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4</v>
      </c>
      <c r="E95" s="171">
        <f>P!V97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30</v>
      </c>
      <c r="E124" s="171">
        <f>P!V126</f>
        <v>26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1</v>
      </c>
      <c r="F130" s="263" t="str">
        <f t="shared" si="2"/>
        <v>নাই</v>
      </c>
      <c r="G130" s="284" t="str">
        <f t="shared" si="3"/>
        <v>++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8</v>
      </c>
      <c r="E150" s="171">
        <f>P!V152</f>
        <v>8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8</v>
      </c>
      <c r="E170" s="171">
        <f>P!V172</f>
        <v>8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5</v>
      </c>
      <c r="E177" s="171">
        <f>P!V179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5</v>
      </c>
      <c r="E178" s="171">
        <f>P!V180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0.5</v>
      </c>
      <c r="E179" s="171">
        <f>P!V181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0.5</v>
      </c>
      <c r="E180" s="171">
        <f>P!V182</f>
        <v>0</v>
      </c>
      <c r="F180" s="263" t="str">
        <f t="shared" si="4"/>
        <v>হ্যা</v>
      </c>
      <c r="G180" s="284" t="str">
        <f t="shared" si="5"/>
        <v>--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0.5</v>
      </c>
      <c r="E181" s="171">
        <f>P!V183</f>
        <v>0.5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15</v>
      </c>
      <c r="E182" s="171">
        <f>P!V184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3</v>
      </c>
      <c r="E183" s="171">
        <f>P!V185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1</v>
      </c>
      <c r="E184" s="171">
        <f>P!V186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12</v>
      </c>
      <c r="E187" s="171">
        <f>P!V189</f>
        <v>0</v>
      </c>
      <c r="F187" s="263" t="str">
        <f t="shared" si="4"/>
        <v>হ্যা</v>
      </c>
      <c r="G187" s="284" t="str">
        <f t="shared" si="5"/>
        <v>--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7</v>
      </c>
      <c r="F191" s="263" t="str">
        <f t="shared" si="4"/>
        <v>নাই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3</v>
      </c>
      <c r="E194" s="171">
        <f>P!V196</f>
        <v>12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8</v>
      </c>
      <c r="E195" s="171">
        <f>P!V197</f>
        <v>8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1</v>
      </c>
      <c r="E197" s="171">
        <f>P!V199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0.5</v>
      </c>
      <c r="E198" s="171">
        <f>P!V200</f>
        <v>0</v>
      </c>
      <c r="F198" s="263" t="str">
        <f t="shared" si="6"/>
        <v>হ্যা</v>
      </c>
      <c r="G198" s="284" t="str">
        <f t="shared" si="7"/>
        <v>--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0.5</v>
      </c>
      <c r="F199" s="263" t="str">
        <f t="shared" si="6"/>
        <v>নাই</v>
      </c>
      <c r="G199" s="284" t="str">
        <f t="shared" si="7"/>
        <v>++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5</v>
      </c>
      <c r="E203" s="171">
        <f>P!V205</f>
        <v>5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0.5</v>
      </c>
      <c r="E230" s="171">
        <f>P!V232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30</v>
      </c>
      <c r="E231" s="171">
        <f>P!V233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30</v>
      </c>
      <c r="E232" s="171">
        <f>P!V234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67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20</v>
      </c>
      <c r="F245" s="263" t="str">
        <f t="shared" si="6"/>
        <v>নাই</v>
      </c>
      <c r="G245" s="284" t="str">
        <f t="shared" si="7"/>
        <v>++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S!Z247</f>
        <v>0</v>
      </c>
      <c r="E247" s="171">
        <f>P!V249</f>
        <v>510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80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260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3200</v>
      </c>
      <c r="F252" s="263"/>
      <c r="G252" s="284" t="str">
        <f t="shared" si="7"/>
        <v>++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P!D3+10</f>
        <v>45972</v>
      </c>
      <c r="E1" s="521"/>
      <c r="F1" s="521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452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452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452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452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452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452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452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452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452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452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452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8"/>
      <c r="B1" s="519"/>
      <c r="C1" s="520"/>
      <c r="D1" s="521">
        <f>P!D3+11</f>
        <v>45973</v>
      </c>
      <c r="E1" s="521"/>
      <c r="F1" s="521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চিকেন বার্গার, ওয়ানটাইম মাস্ক, ওয়ানটাইম হ্যান্ড গ্লভস...)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2025-11-19T04:39:12Z</cp:lastPrinted>
  <dcterms:created xsi:type="dcterms:W3CDTF">2024-07-22T13:09:54Z</dcterms:created>
  <dcterms:modified xsi:type="dcterms:W3CDTF">2025-11-20T06:54:25Z</dcterms:modified>
</cp:coreProperties>
</file>