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11-20 NOV 2025\"/>
    </mc:Choice>
  </mc:AlternateContent>
  <xr:revisionPtr revIDLastSave="0" documentId="13_ncr:1_{C602D9F2-0CF0-4536-A3DA-37C1414BCE62}" xr6:coauthVersionLast="43" xr6:coauthVersionMax="43" xr10:uidLastSave="{00000000-0000-0000-0000-000000000000}"/>
  <bookViews>
    <workbookView xWindow="-120" yWindow="-120" windowWidth="20730" windowHeight="11160" tabRatio="906" activeTab="6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158" i="15" l="1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<sst xmlns="http://schemas.openxmlformats.org/spreadsheetml/2006/main" count="2560" uniqueCount="506">
  <si>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</si>
  <si>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</si>
  <si>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</si>
  <si>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</si>
  <si>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</si>
  <si>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</si>
  <si>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</si>
  <si>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</si>
  <si>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</si>
  <si>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</si>
  <si>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</si>
  <si>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</si>
  <si>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</si>
  <si>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</si>
  <si>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</si>
  <si>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</si>
  <si>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</si>
  <si>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</si>
  <si>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</si>
  <si>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</si>
  <si>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</si>
  <si>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</si>
  <si>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</si>
  <si>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</si>
  <si>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</si>
  <si>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</si>
  <si>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</si>
  <si>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</si>
  <si>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</si>
  <si>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</si>
  <si>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</si>
  <si>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</si>
  <si>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</si>
  <si>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</si>
  <si>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</si>
  <si>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</si>
  <si>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</si>
  <si>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</si>
  <si>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</si>
  <si>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</si>
  <si>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</si>
  <si>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</si>
  <si>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</si>
  <si>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</si>
  <si>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</si>
  <si>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</si>
  <si>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</si>
  <si>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</si>
  <si>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</si>
  <si>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</si>
  <si>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</si>
  <si>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</si>
  <si>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</si>
  <si>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</si>
  <si>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</si>
  <si>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</si>
  <si>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</si>
  <si>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</si>
  <si>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</si>
  <si>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</si>
  <si>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</si>
  <si>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</si>
  <si>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</si>
  <si>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</si>
  <si>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</si>
  <si>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</si>
  <si>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</si>
  <si>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</si>
  <si>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</si>
  <si>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</si>
  <si>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</si>
  <si>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</si>
  <si>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</si>
  <si>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</si>
  <si>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</si>
  <si>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</si>
  <si>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</si>
  <si>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</si>
  <si>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</si>
  <si>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</si>
  <si>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</si>
  <si>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</si>
  <si>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</si>
  <si>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</si>
  <si>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</si>
  <si>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</si>
  <si>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</si>
  <si>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</si>
  <si>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</si>
  <si>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</si>
  <si>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</si>
  <si>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</si>
  <si>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</si>
  <si>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</si>
  <si>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</si>
  <si>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</si>
  <si>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</si>
  <si>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</si>
  <si>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</si>
  <si>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</si>
  <si>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</si>
  <si>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</si>
  <si>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</si>
  <si>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</si>
  <si>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</si>
  <si>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</si>
  <si>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</si>
  <si>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</si>
  <si>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</si>
  <si>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</si>
  <si>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</si>
  <si>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</si>
  <si>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</si>
  <si>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</si>
  <si>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</si>
  <si>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</si>
  <si>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</si>
  <si>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</si>
  <si>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</si>
  <si>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</si>
  <si>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</si>
  <si>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</si>
  <si>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</si>
  <si>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</si>
  <si>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</si>
  <si>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</si>
  <si>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</si>
  <si>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</si>
  <si>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</si>
  <si>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</si>
  <si>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</si>
  <si>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</si>
  <si>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</si>
  <si>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</si>
  <si>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</si>
  <si>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</si>
  <si>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</si>
  <si>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</si>
  <si>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</si>
  <si>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</si>
  <si>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</si>
  <si>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</si>
  <si>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</si>
  <si>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</si>
  <si>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</si>
  <si>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</si>
  <si>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</si>
  <si>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</si>
  <si>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</si>
  <si>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</si>
  <si>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</si>
  <si>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</si>
  <si>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</si>
  <si>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</si>
  <si>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</si>
  <si>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</si>
  <si>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</si>
  <si>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</si>
  <si>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</si>
  <si>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</si>
  <si>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</si>
  <si>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</si>
  <si>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</si>
  <si>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</si>
  <si>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</si>
  <si>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</si>
  <si>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</si>
  <si>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</si>
  <si>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</si>
  <si>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</si>
  <si>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</si>
  <si>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</si>
  <si>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</si>
  <si>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</si>
  <si>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</si>
  <si>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</si>
  <si>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</si>
  <si>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</si>
  <si>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</si>
  <si>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</si>
  <si>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</si>
  <si>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</si>
  <si>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</si>
  <si>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</si>
  <si>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</si>
  <si>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</si>
  <si>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</si>
  <si>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</si>
  <si>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</si>
  <si>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</si>
  <si>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</si>
  <si>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</si>
  <si>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</si>
  <si>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</si>
  <si>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</si>
  <si>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</si>
  <si>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</si>
  <si>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</si>
  <si>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</si>
  <si>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</si>
  <si>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</si>
  <si>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</si>
  <si>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</si>
  <si>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</si>
  <si>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</si>
  <si>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</si>
  <si>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</si>
  <si>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</si>
  <si>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</si>
  <si>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</si>
  <si>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</si>
  <si>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</si>
  <si>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</si>
  <si>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</si>
  <si>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</si>
  <si>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</si>
  <si>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</si>
  <si>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</si>
  <si>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</si>
  <si>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</si>
  <si>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</si>
  <si>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</si>
  <si>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</si>
  <si>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</si>
  <si>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</si>
  <si>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</si>
  <si>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</si>
  <si>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</si>
  <si>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</si>
  <si>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</si>
  <si>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</si>
  <si>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</si>
  <si>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</si>
  <si>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</si>
  <si>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</si>
  <si>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</si>
  <si>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</si>
  <si>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</si>
  <si>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</si>
  <si>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</si>
  <si>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</si>
  <si>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</si>
  <si>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</si>
  <si>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</si>
  <si>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</si>
  <si>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</si>
  <si>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</si>
  <si>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</si>
  <si>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</si>
  <si>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</si>
  <si>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</si>
  <si>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</si>
  <si>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</si>
  <si>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</si>
  <si>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</si>
  <si>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</si>
  <si>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</si>
  <si>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</si>
  <si>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</si>
  <si>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</si>
  <si>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</si>
  <si>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</si>
  <si>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</si>
  <si>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</si>
  <si>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</si>
  <si>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</si>
  <si>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</si>
  <si>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</si>
  <si>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</si>
  <si>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</si>
  <si>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</si>
  <si>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</si>
  <si>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</si>
  <si>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</si>
  <si>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</si>
  <si>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</si>
  <si>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</si>
  <si>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</si>
  <si>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</si>
  <si>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</si>
  <si>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</si>
  <si>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</si>
  <si>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</si>
  <si>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</si>
  <si>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</si>
  <si>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</si>
  <si>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</si>
  <si>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</si>
  <si>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</si>
  <si>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</si>
  <si>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</si>
  <si>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</si>
  <si>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</si>
  <si>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</si>
  <si>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</si>
  <si>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</si>
  <si>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</si>
  <si>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</si>
  <si>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</si>
  <si>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</si>
  <si>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</si>
  <si>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</si>
  <si>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</si>
  <si>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</si>
  <si>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</si>
  <si>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</si>
  <si>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</si>
  <si>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</si>
  <si>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</si>
  <si>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</si>
  <si>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</si>
  <si>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</si>
  <si>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</si>
  <si>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</si>
  <si>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</si>
  <si>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</si>
  <si>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</si>
  <si>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</si>
  <si>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</si>
  <si>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</si>
  <si>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</si>
  <si>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</si>
  <si>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</si>
  <si>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</si>
  <si>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</si>
  <si>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</si>
  <si>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</si>
  <si>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</si>
  <si>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</si>
  <si>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</si>
  <si>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</si>
  <si>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</si>
  <si>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</si>
  <si>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</si>
  <si>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</si>
  <si>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</si>
  <si>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</si>
  <si>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</si>
  <si>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</si>
  <si>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</si>
  <si>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</si>
  <si>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</si>
  <si>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</si>
  <si>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</si>
  <si>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</si>
  <si>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</si>
  <si>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</si>
  <si>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</si>
  <si>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</si>
  <si>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</si>
  <si>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</si>
  <si>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</si>
  <si>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</si>
  <si>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</si>
  <si>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</si>
  <si>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</si>
  <si>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</si>
  <si>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</si>
  <si>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</si>
  <si>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</si>
  <si>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</si>
  <si>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</si>
  <si>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</si>
  <si>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</si>
  <si>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</si>
  <si>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</si>
  <si>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</si>
  <si>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</si>
  <si>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</si>
  <si>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</si>
  <si>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</si>
  <si>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</si>
  <si>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</si>
  <si>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</si>
  <si>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</si>
  <si>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</si>
  <si>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</si>
  <si>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</si>
  <si>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</si>
  <si>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</si>
  <si>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</si>
  <si>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</si>
  <si>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</si>
  <si>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</si>
  <si>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</si>
  <si>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</si>
  <si>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</si>
  <si>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</si>
  <si>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</si>
  <si>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</si>
  <si>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</si>
  <si>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</si>
  <si>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</si>
  <si>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</si>
  <si>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</si>
  <si>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</si>
  <si>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</si>
  <si>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</si>
  <si>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</si>
  <si>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</si>
  <si>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</si>
  <si>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</si>
  <si>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</si>
  <si>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</si>
  <si>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</si>
  <si>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</si>
  <si>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</si>
  <si>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</si>
  <si>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</si>
  <si>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</si>
  <si>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</si>
  <si>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</si>
  <si>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</si>
  <si>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</si>
  <si>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</si>
  <si>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</si>
  <si>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</si>
  <si>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</si>
  <si>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</si>
  <si>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</si>
  <si>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</si>
  <si>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</si>
  <si>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</si>
  <si>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</si>
  <si>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</si>
  <si>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</si>
  <si>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</si>
  <si>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</si>
  <si>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</si>
  <si>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</si>
  <si>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</si>
  <si>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</si>
  <si>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</si>
  <si>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</si>
  <si>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</si>
  <si>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</si>
  <si>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</si>
  <si>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</si>
  <si>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</si>
  <si>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</si>
  <si>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</si>
  <si>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</si>
  <si>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</si>
  <si>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</si>
  <si>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</si>
  <si>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</si>
  <si>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</si>
  <si>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</si>
  <si>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</si>
  <si>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</si>
  <si>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</si>
  <si>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</si>
  <si>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</si>
  <si>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</si>
  <si>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</si>
  <si>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</si>
  <si>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</si>
  <si>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</si>
  <si>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</si>
  <si>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</si>
  <si>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</si>
  <si>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</si>
  <si>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</si>
  <si>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</si>
  <si>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</si>
  <si>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</si>
  <si>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</si>
  <si>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</si>
  <si>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</si>
  <si>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</si>
  <si>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</si>
  <si>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</si>
  <si>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</si>
  <si>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</si>
  <si>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</si>
  <si>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</si>
  <si>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</si>
  <si>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</si>
  <si>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</si>
  <si>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</si>
  <si>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</si>
  <si>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</si>
  <si>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</si>
  <si>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</si>
  <si>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</si>
  <si>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</si>
  <si>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</si>
  <si>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</si>
  <si>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</si>
  <si>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</si>
  <si>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</si>
  <si>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</si>
  <si>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</si>
  <si>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</si>
  <si>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</si>
  <si>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</si>
  <si>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</si>
  <si>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</si>
  <si>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</si>
  <si>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</si>
  <si>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</si>
  <si>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</si>
  <si>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</si>
  <si>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</si>
  <si>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</si>
  <si>
    <t>১০ দিন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</si>
</sst>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5" t="s">
        <v>340</v>
      </c>
      <c r="B1" s="435"/>
      <c r="C1" s="214" t="s">
        <v>341</v>
      </c>
      <c r="D1" s="215">
        <f>P!D3</f>
        <v>45972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0</v>
      </c>
      <c r="D3" s="220">
        <f>P!AK5</f>
        <v>0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0</v>
      </c>
      <c r="D5" s="220">
        <f>P!AK7</f>
        <v>0</v>
      </c>
      <c r="E5" s="219">
        <f t="shared" si="0"/>
        <v>0</v>
      </c>
      <c r="F5" s="226" t="str">
        <f t="shared" si="1"/>
        <v>×</v>
      </c>
      <c r="G5" s="217"/>
    </row>
    <row r="6" spans="1:9">
      <c r="A6" s="180" t="s">
        <v>18</v>
      </c>
      <c r="B6" s="205" t="s">
        <v>9</v>
      </c>
      <c r="C6" s="220">
        <f>S!D6</f>
        <v>0</v>
      </c>
      <c r="D6" s="220">
        <f>P!AK8</f>
        <v>0</v>
      </c>
      <c r="E6" s="219">
        <f t="shared" si="0"/>
        <v>0</v>
      </c>
      <c r="F6" s="226" t="str">
        <f t="shared" si="1"/>
        <v>×</v>
      </c>
    </row>
    <row r="7" spans="1:9">
      <c r="A7" s="180" t="s">
        <v>19</v>
      </c>
      <c r="B7" s="205" t="s">
        <v>9</v>
      </c>
      <c r="C7" s="220">
        <f>S!D7</f>
        <v>0</v>
      </c>
      <c r="D7" s="220">
        <f>P!AK9</f>
        <v>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0</v>
      </c>
      <c r="D8" s="220">
        <f>P!AK10</f>
        <v>0</v>
      </c>
      <c r="E8" s="219">
        <f t="shared" si="0"/>
        <v>0</v>
      </c>
      <c r="F8" s="226" t="str">
        <f t="shared" si="1"/>
        <v>×</v>
      </c>
    </row>
    <row r="9" spans="1:9">
      <c r="A9" s="180" t="s">
        <v>21</v>
      </c>
      <c r="B9" s="205" t="s">
        <v>9</v>
      </c>
      <c r="C9" s="220">
        <f>S!D9</f>
        <v>0</v>
      </c>
      <c r="D9" s="220">
        <f>P!AK11</f>
        <v>0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0</v>
      </c>
      <c r="D10" s="220">
        <f>P!AK12</f>
        <v>0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0</v>
      </c>
      <c r="D11" s="220">
        <f>P!AK13</f>
        <v>0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0</v>
      </c>
      <c r="D12" s="220">
        <f>P!AK14</f>
        <v>0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0</v>
      </c>
      <c r="D13" s="220">
        <f>P!AK15</f>
        <v>0</v>
      </c>
      <c r="E13" s="219">
        <f t="shared" si="0"/>
        <v>0</v>
      </c>
      <c r="F13" s="226" t="str">
        <f t="shared" si="1"/>
        <v>×</v>
      </c>
    </row>
    <row r="14" spans="1:9">
      <c r="A14" s="180" t="s">
        <v>27</v>
      </c>
      <c r="B14" s="205" t="s">
        <v>26</v>
      </c>
      <c r="C14" s="220">
        <f>S!D14</f>
        <v>0</v>
      </c>
      <c r="D14" s="220">
        <f>P!AK16</f>
        <v>0</v>
      </c>
      <c r="E14" s="219">
        <f t="shared" si="0"/>
        <v>0</v>
      </c>
      <c r="F14" s="226" t="str">
        <f t="shared" si="1"/>
        <v>×</v>
      </c>
    </row>
    <row r="15" spans="1:9">
      <c r="A15" s="180" t="s">
        <v>5</v>
      </c>
      <c r="B15" s="205" t="s">
        <v>9</v>
      </c>
      <c r="C15" s="220">
        <f>S!D15</f>
        <v>0</v>
      </c>
      <c r="D15" s="220">
        <f>P!AK17</f>
        <v>0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0</v>
      </c>
      <c r="D16" s="220">
        <f>P!AK18</f>
        <v>0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0</v>
      </c>
      <c r="D17" s="220">
        <f>P!AK19</f>
        <v>0</v>
      </c>
      <c r="E17" s="219">
        <f t="shared" si="0"/>
        <v>0</v>
      </c>
      <c r="F17" s="226" t="str">
        <f t="shared" si="1"/>
        <v>×</v>
      </c>
    </row>
    <row r="18" spans="1:6">
      <c r="A18" s="180" t="s">
        <v>29</v>
      </c>
      <c r="B18" s="205" t="s">
        <v>9</v>
      </c>
      <c r="C18" s="220">
        <f>S!D18</f>
        <v>0</v>
      </c>
      <c r="D18" s="220">
        <f>P!AK20</f>
        <v>0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0</v>
      </c>
      <c r="D19" s="220">
        <f>P!AK21</f>
        <v>0</v>
      </c>
      <c r="E19" s="219">
        <f t="shared" si="0"/>
        <v>0</v>
      </c>
      <c r="F19" s="226" t="str">
        <f t="shared" si="1"/>
        <v>×</v>
      </c>
    </row>
    <row r="20" spans="1:6">
      <c r="A20" s="180" t="s">
        <v>32</v>
      </c>
      <c r="B20" s="205" t="s">
        <v>9</v>
      </c>
      <c r="C20" s="220">
        <f>S!D20</f>
        <v>0</v>
      </c>
      <c r="D20" s="220">
        <f>P!AK22</f>
        <v>0</v>
      </c>
      <c r="E20" s="219">
        <f t="shared" si="0"/>
        <v>0</v>
      </c>
      <c r="F20" s="226" t="str">
        <f t="shared" si="1"/>
        <v>×</v>
      </c>
    </row>
    <row r="21" spans="1:6">
      <c r="A21" s="180" t="s">
        <v>33</v>
      </c>
      <c r="B21" s="205" t="s">
        <v>9</v>
      </c>
      <c r="C21" s="220">
        <f>S!D21</f>
        <v>0</v>
      </c>
      <c r="D21" s="220">
        <f>P!AK23</f>
        <v>0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0</v>
      </c>
      <c r="D22" s="220">
        <f>P!AK24</f>
        <v>0</v>
      </c>
      <c r="E22" s="219">
        <f t="shared" si="0"/>
        <v>0</v>
      </c>
      <c r="F22" s="226" t="str">
        <f t="shared" si="1"/>
        <v>×</v>
      </c>
    </row>
    <row r="23" spans="1:6">
      <c r="A23" s="180" t="s">
        <v>35</v>
      </c>
      <c r="B23" s="205" t="s">
        <v>31</v>
      </c>
      <c r="C23" s="220">
        <f>S!D23</f>
        <v>0</v>
      </c>
      <c r="D23" s="220">
        <f>P!AK25</f>
        <v>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0</v>
      </c>
      <c r="D24" s="220">
        <f>P!AK26</f>
        <v>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0</v>
      </c>
      <c r="D25" s="220">
        <f>P!AK27</f>
        <v>0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0</v>
      </c>
      <c r="D27" s="220">
        <f>P!AK29</f>
        <v>0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0</v>
      </c>
      <c r="D28" s="220">
        <f>P!AK30</f>
        <v>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0</v>
      </c>
      <c r="D29" s="220">
        <f>P!AK31</f>
        <v>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0</v>
      </c>
      <c r="D30" s="220">
        <f>P!AK32</f>
        <v>0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0</v>
      </c>
      <c r="D31" s="220">
        <f>P!AK33</f>
        <v>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0</v>
      </c>
      <c r="D32" s="220">
        <f>P!AK34</f>
        <v>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0</v>
      </c>
      <c r="D34" s="220">
        <f>P!AK36</f>
        <v>0</v>
      </c>
      <c r="E34" s="219">
        <f t="shared" si="0"/>
        <v>0</v>
      </c>
      <c r="F34" s="226" t="str">
        <f t="shared" si="1"/>
        <v>×</v>
      </c>
    </row>
    <row r="35" spans="1:6">
      <c r="A35" s="180" t="s">
        <v>45</v>
      </c>
      <c r="B35" s="205" t="s">
        <v>9</v>
      </c>
      <c r="C35" s="220">
        <f>S!D35</f>
        <v>0</v>
      </c>
      <c r="D35" s="220">
        <f>P!AK37</f>
        <v>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0</v>
      </c>
      <c r="D36" s="220">
        <f>P!AK38</f>
        <v>0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0</v>
      </c>
      <c r="D38" s="220">
        <f>P!AK40</f>
        <v>0</v>
      </c>
      <c r="E38" s="219">
        <f t="shared" si="0"/>
        <v>0</v>
      </c>
      <c r="F38" s="226" t="str">
        <f t="shared" si="1"/>
        <v>×</v>
      </c>
    </row>
    <row r="39" spans="1:6">
      <c r="A39" s="180" t="s">
        <v>48</v>
      </c>
      <c r="B39" s="205" t="s">
        <v>9</v>
      </c>
      <c r="C39" s="220">
        <f>S!D39</f>
        <v>0</v>
      </c>
      <c r="D39" s="220">
        <f>P!AK41</f>
        <v>0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0</v>
      </c>
      <c r="D40" s="220">
        <f>P!AK42</f>
        <v>0</v>
      </c>
      <c r="E40" s="219">
        <f t="shared" si="0"/>
        <v>0</v>
      </c>
      <c r="F40" s="226" t="str">
        <f t="shared" si="1"/>
        <v>×</v>
      </c>
    </row>
    <row r="41" spans="1:6">
      <c r="A41" s="180" t="s">
        <v>298</v>
      </c>
      <c r="B41" s="205" t="s">
        <v>31</v>
      </c>
      <c r="C41" s="220">
        <f>S!D41</f>
        <v>0</v>
      </c>
      <c r="D41" s="220">
        <f>P!AK43</f>
        <v>0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0</v>
      </c>
      <c r="D42" s="220">
        <f>P!AK44</f>
        <v>0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</v>
      </c>
      <c r="D43" s="220">
        <f>P!AK45</f>
        <v>0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0</v>
      </c>
      <c r="D44" s="220">
        <f>P!AK46</f>
        <v>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0</v>
      </c>
      <c r="D45" s="220">
        <f>P!AK47</f>
        <v>0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0</v>
      </c>
      <c r="D46" s="220">
        <f>P!AK48</f>
        <v>0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0</v>
      </c>
      <c r="D47" s="220">
        <f>P!AK49</f>
        <v>0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0</v>
      </c>
      <c r="D48" s="220">
        <f>P!AK50</f>
        <v>0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0</v>
      </c>
      <c r="D50" s="220">
        <f>P!AK52</f>
        <v>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0</v>
      </c>
      <c r="D51" s="220">
        <f>P!AK53</f>
        <v>0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0</v>
      </c>
      <c r="D52" s="220">
        <f>P!AK54</f>
        <v>0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0</v>
      </c>
      <c r="D53" s="220">
        <f>P!AK55</f>
        <v>0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</v>
      </c>
      <c r="D54" s="220">
        <f>P!AK56</f>
        <v>0</v>
      </c>
      <c r="E54" s="219">
        <f t="shared" si="0"/>
        <v>0</v>
      </c>
      <c r="F54" s="226" t="str">
        <f t="shared" si="1"/>
        <v>×</v>
      </c>
    </row>
    <row r="55" spans="1:6">
      <c r="A55" s="180" t="s">
        <v>63</v>
      </c>
      <c r="B55" s="205" t="s">
        <v>31</v>
      </c>
      <c r="C55" s="220">
        <f>S!D55</f>
        <v>0</v>
      </c>
      <c r="D55" s="220">
        <f>P!AK57</f>
        <v>0</v>
      </c>
      <c r="E55" s="219">
        <f t="shared" si="0"/>
        <v>0</v>
      </c>
      <c r="F55" s="226" t="str">
        <f t="shared" si="1"/>
        <v>×</v>
      </c>
    </row>
    <row r="56" spans="1:6">
      <c r="A56" s="180" t="s">
        <v>64</v>
      </c>
      <c r="B56" s="205" t="s">
        <v>31</v>
      </c>
      <c r="C56" s="220">
        <f>S!D56</f>
        <v>0</v>
      </c>
      <c r="D56" s="220">
        <f>P!AK58</f>
        <v>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0</v>
      </c>
      <c r="D57" s="220">
        <f>P!AK59</f>
        <v>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0</v>
      </c>
      <c r="D58" s="220">
        <f>P!AK60</f>
        <v>0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0</v>
      </c>
      <c r="D59" s="220">
        <f>P!AK61</f>
        <v>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0</v>
      </c>
      <c r="D60" s="220">
        <f>P!AK62</f>
        <v>0</v>
      </c>
      <c r="E60" s="219">
        <f t="shared" si="0"/>
        <v>0</v>
      </c>
      <c r="F60" s="226" t="str">
        <f t="shared" si="1"/>
        <v>×</v>
      </c>
    </row>
    <row r="61" spans="1:6">
      <c r="A61" s="180" t="s">
        <v>70</v>
      </c>
      <c r="B61" s="205" t="s">
        <v>9</v>
      </c>
      <c r="C61" s="220">
        <f>S!D61</f>
        <v>0</v>
      </c>
      <c r="D61" s="220">
        <f>P!AK63</f>
        <v>0</v>
      </c>
      <c r="E61" s="219">
        <f t="shared" si="0"/>
        <v>0</v>
      </c>
      <c r="F61" s="226" t="str">
        <f t="shared" si="1"/>
        <v>×</v>
      </c>
    </row>
    <row r="62" spans="1:6">
      <c r="A62" s="180" t="s">
        <v>71</v>
      </c>
      <c r="B62" s="205" t="s">
        <v>9</v>
      </c>
      <c r="C62" s="220">
        <f>S!D62</f>
        <v>0</v>
      </c>
      <c r="D62" s="220">
        <f>P!AK64</f>
        <v>0</v>
      </c>
      <c r="E62" s="219">
        <f t="shared" si="0"/>
        <v>0</v>
      </c>
      <c r="F62" s="226" t="str">
        <f t="shared" si="1"/>
        <v>×</v>
      </c>
    </row>
    <row r="63" spans="1:6">
      <c r="A63" s="180" t="s">
        <v>72</v>
      </c>
      <c r="B63" s="205" t="s">
        <v>9</v>
      </c>
      <c r="C63" s="220">
        <f>S!D63</f>
        <v>0</v>
      </c>
      <c r="D63" s="220">
        <f>P!AK65</f>
        <v>0</v>
      </c>
      <c r="E63" s="219">
        <f t="shared" si="0"/>
        <v>0</v>
      </c>
      <c r="F63" s="226" t="str">
        <f t="shared" si="1"/>
        <v>×</v>
      </c>
    </row>
    <row r="64" spans="1:6">
      <c r="A64" s="180" t="s">
        <v>73</v>
      </c>
      <c r="B64" s="205" t="s">
        <v>9</v>
      </c>
      <c r="C64" s="220">
        <f>S!D64</f>
        <v>0</v>
      </c>
      <c r="D64" s="220">
        <f>P!AK66</f>
        <v>0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0</v>
      </c>
      <c r="D65" s="220">
        <f>P!AK67</f>
        <v>0</v>
      </c>
      <c r="E65" s="219">
        <f t="shared" si="0"/>
        <v>0</v>
      </c>
      <c r="F65" s="226" t="str">
        <f t="shared" si="1"/>
        <v>×</v>
      </c>
    </row>
    <row r="66" spans="1:6">
      <c r="A66" s="180" t="s">
        <v>75</v>
      </c>
      <c r="B66" s="205" t="s">
        <v>31</v>
      </c>
      <c r="C66" s="220">
        <f>S!D66</f>
        <v>0</v>
      </c>
      <c r="D66" s="220">
        <f>P!AK68</f>
        <v>0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0</v>
      </c>
      <c r="D67" s="220">
        <f>P!AK69</f>
        <v>0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0</v>
      </c>
      <c r="D68" s="220">
        <f>P!AK70</f>
        <v>0</v>
      </c>
      <c r="E68" s="219">
        <f t="shared" ref="E68:E131" si="2">ABS(C68-D68)</f>
        <v>0</v>
      </c>
      <c r="F68" s="226" t="str">
        <f t="shared" ref="F68:F131" si="3">IF(C68-D68=0, "×", IF(C68-D68&lt;0, "+", "-"))</f>
        <v>×</v>
      </c>
    </row>
    <row r="69" spans="1:6">
      <c r="A69" s="180" t="s">
        <v>78</v>
      </c>
      <c r="B69" s="205" t="s">
        <v>9</v>
      </c>
      <c r="C69" s="220">
        <f>S!D69</f>
        <v>0</v>
      </c>
      <c r="D69" s="220">
        <f>P!AK71</f>
        <v>0</v>
      </c>
      <c r="E69" s="219">
        <f t="shared" si="2"/>
        <v>0</v>
      </c>
      <c r="F69" s="226" t="str">
        <f t="shared" si="3"/>
        <v>×</v>
      </c>
    </row>
    <row r="70" spans="1:6">
      <c r="A70" s="180" t="s">
        <v>79</v>
      </c>
      <c r="B70" s="205" t="s">
        <v>9</v>
      </c>
      <c r="C70" s="220">
        <f>S!D70</f>
        <v>0</v>
      </c>
      <c r="D70" s="220">
        <f>P!AK72</f>
        <v>0</v>
      </c>
      <c r="E70" s="219">
        <f t="shared" si="2"/>
        <v>0</v>
      </c>
      <c r="F70" s="226" t="str">
        <f t="shared" si="3"/>
        <v>×</v>
      </c>
    </row>
    <row r="71" spans="1:6">
      <c r="A71" s="180" t="s">
        <v>80</v>
      </c>
      <c r="B71" s="205" t="s">
        <v>31</v>
      </c>
      <c r="C71" s="220">
        <f>S!D71</f>
        <v>0</v>
      </c>
      <c r="D71" s="220">
        <f>P!AK73</f>
        <v>0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0</v>
      </c>
      <c r="D72" s="220">
        <f>P!AK74</f>
        <v>0</v>
      </c>
      <c r="E72" s="219">
        <f t="shared" si="2"/>
        <v>0</v>
      </c>
      <c r="F72" s="226" t="str">
        <f t="shared" si="3"/>
        <v>×</v>
      </c>
    </row>
    <row r="73" spans="1:6">
      <c r="A73" s="180" t="s">
        <v>82</v>
      </c>
      <c r="B73" s="205" t="s">
        <v>9</v>
      </c>
      <c r="C73" s="220">
        <f>S!D73</f>
        <v>0</v>
      </c>
      <c r="D73" s="220">
        <f>P!AK75</f>
        <v>0</v>
      </c>
      <c r="E73" s="219">
        <f t="shared" si="2"/>
        <v>0</v>
      </c>
      <c r="F73" s="226" t="str">
        <f t="shared" si="3"/>
        <v>×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0</v>
      </c>
      <c r="D75" s="220">
        <f>P!AK77</f>
        <v>0</v>
      </c>
      <c r="E75" s="219">
        <f t="shared" si="2"/>
        <v>0</v>
      </c>
      <c r="F75" s="226" t="str">
        <f t="shared" si="3"/>
        <v>×</v>
      </c>
    </row>
    <row r="76" spans="1:6">
      <c r="A76" s="180" t="s">
        <v>84</v>
      </c>
      <c r="B76" s="205" t="s">
        <v>9</v>
      </c>
      <c r="C76" s="220">
        <f>S!D76</f>
        <v>0</v>
      </c>
      <c r="D76" s="220">
        <f>P!AK78</f>
        <v>0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0</v>
      </c>
      <c r="D77" s="220">
        <f>P!AK79</f>
        <v>0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0</v>
      </c>
      <c r="D78" s="220">
        <f>P!AK80</f>
        <v>0</v>
      </c>
      <c r="E78" s="219">
        <f t="shared" si="2"/>
        <v>0</v>
      </c>
      <c r="F78" s="226" t="str">
        <f t="shared" si="3"/>
        <v>×</v>
      </c>
    </row>
    <row r="79" spans="1:6">
      <c r="A79" s="180" t="s">
        <v>87</v>
      </c>
      <c r="B79" s="205" t="s">
        <v>9</v>
      </c>
      <c r="C79" s="220">
        <f>S!D79</f>
        <v>0</v>
      </c>
      <c r="D79" s="220">
        <f>P!AK81</f>
        <v>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0</v>
      </c>
      <c r="D80" s="220">
        <f>P!AK82</f>
        <v>0</v>
      </c>
      <c r="E80" s="219">
        <f t="shared" si="2"/>
        <v>0</v>
      </c>
      <c r="F80" s="226" t="str">
        <f t="shared" si="3"/>
        <v>×</v>
      </c>
    </row>
    <row r="81" spans="1:6">
      <c r="A81" s="180" t="s">
        <v>89</v>
      </c>
      <c r="B81" s="205" t="s">
        <v>9</v>
      </c>
      <c r="C81" s="220">
        <f>S!D81</f>
        <v>0</v>
      </c>
      <c r="D81" s="220">
        <f>P!AK83</f>
        <v>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0</v>
      </c>
      <c r="D82" s="220">
        <f>P!AK84</f>
        <v>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0</v>
      </c>
      <c r="D83" s="220">
        <f>P!AK85</f>
        <v>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0</v>
      </c>
      <c r="D84" s="220">
        <f>P!AK86</f>
        <v>0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0</v>
      </c>
      <c r="D85" s="220">
        <f>P!AK87</f>
        <v>0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0</v>
      </c>
      <c r="D86" s="220">
        <f>P!AK88</f>
        <v>0</v>
      </c>
      <c r="E86" s="219">
        <f t="shared" si="2"/>
        <v>0</v>
      </c>
      <c r="F86" s="226" t="str">
        <f t="shared" si="3"/>
        <v>×</v>
      </c>
    </row>
    <row r="87" spans="1:6">
      <c r="A87" s="180" t="s">
        <v>92</v>
      </c>
      <c r="B87" s="205" t="s">
        <v>9</v>
      </c>
      <c r="C87" s="220">
        <f>S!D87</f>
        <v>0</v>
      </c>
      <c r="D87" s="220">
        <f>P!AK89</f>
        <v>0</v>
      </c>
      <c r="E87" s="219">
        <f t="shared" si="2"/>
        <v>0</v>
      </c>
      <c r="F87" s="226" t="str">
        <f t="shared" si="3"/>
        <v>×</v>
      </c>
    </row>
    <row r="88" spans="1:6">
      <c r="A88" s="180" t="s">
        <v>93</v>
      </c>
      <c r="B88" s="205" t="s">
        <v>9</v>
      </c>
      <c r="C88" s="220">
        <f>S!D88</f>
        <v>0</v>
      </c>
      <c r="D88" s="220">
        <f>P!AK90</f>
        <v>0</v>
      </c>
      <c r="E88" s="219">
        <f t="shared" si="2"/>
        <v>0</v>
      </c>
      <c r="F88" s="226" t="str">
        <f t="shared" si="3"/>
        <v>×</v>
      </c>
    </row>
    <row r="89" spans="1:6">
      <c r="A89" s="180" t="s">
        <v>94</v>
      </c>
      <c r="B89" s="205" t="s">
        <v>31</v>
      </c>
      <c r="C89" s="220">
        <f>S!D89</f>
        <v>0</v>
      </c>
      <c r="D89" s="220">
        <f>P!AK91</f>
        <v>0</v>
      </c>
      <c r="E89" s="219">
        <f t="shared" si="2"/>
        <v>0</v>
      </c>
      <c r="F89" s="226" t="str">
        <f t="shared" si="3"/>
        <v>×</v>
      </c>
    </row>
    <row r="90" spans="1:6">
      <c r="A90" s="180" t="s">
        <v>313</v>
      </c>
      <c r="B90" s="205" t="s">
        <v>31</v>
      </c>
      <c r="C90" s="220">
        <f>S!D90</f>
        <v>0</v>
      </c>
      <c r="D90" s="220">
        <f>P!AK92</f>
        <v>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0</v>
      </c>
      <c r="D91" s="220">
        <f>P!AK93</f>
        <v>0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0</v>
      </c>
      <c r="D92" s="220">
        <f>P!AK94</f>
        <v>0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0</v>
      </c>
      <c r="D94" s="220">
        <f>P!AK96</f>
        <v>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0</v>
      </c>
      <c r="D95" s="220">
        <f>P!AK97</f>
        <v>0</v>
      </c>
      <c r="E95" s="219">
        <f t="shared" si="2"/>
        <v>0</v>
      </c>
      <c r="F95" s="226" t="str">
        <f t="shared" si="3"/>
        <v>×</v>
      </c>
    </row>
    <row r="96" spans="1:6">
      <c r="A96" s="180" t="s">
        <v>100</v>
      </c>
      <c r="B96" s="205" t="s">
        <v>31</v>
      </c>
      <c r="C96" s="220">
        <f>S!D96</f>
        <v>0</v>
      </c>
      <c r="D96" s="220">
        <f>P!AK98</f>
        <v>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0</v>
      </c>
      <c r="D97" s="220">
        <f>P!AK99</f>
        <v>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0</v>
      </c>
      <c r="D98" s="220">
        <f>P!AK100</f>
        <v>0</v>
      </c>
      <c r="E98" s="219">
        <f t="shared" si="2"/>
        <v>0</v>
      </c>
      <c r="F98" s="226" t="str">
        <f t="shared" si="3"/>
        <v>×</v>
      </c>
    </row>
    <row r="99" spans="1:6">
      <c r="A99" s="180" t="s">
        <v>102</v>
      </c>
      <c r="B99" s="205" t="s">
        <v>9</v>
      </c>
      <c r="C99" s="220">
        <f>S!D99</f>
        <v>0</v>
      </c>
      <c r="D99" s="220">
        <f>P!AK101</f>
        <v>0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0</v>
      </c>
      <c r="D100" s="220">
        <f>P!AK102</f>
        <v>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289</v>
      </c>
      <c r="B101" s="205" t="s">
        <v>31</v>
      </c>
      <c r="C101" s="220">
        <f>S!D101</f>
        <v>0</v>
      </c>
      <c r="D101" s="220">
        <f>P!AK103</f>
        <v>0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291</v>
      </c>
      <c r="B103" s="205" t="s">
        <v>31</v>
      </c>
      <c r="C103" s="220">
        <f>S!D103</f>
        <v>0</v>
      </c>
      <c r="D103" s="220">
        <f>P!AK105</f>
        <v>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0</v>
      </c>
      <c r="D104" s="220">
        <f>P!AK106</f>
        <v>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0</v>
      </c>
      <c r="D105" s="220">
        <f>P!AK107</f>
        <v>0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0</v>
      </c>
      <c r="D106" s="220">
        <f>P!AK108</f>
        <v>0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0</v>
      </c>
      <c r="D107" s="220">
        <f>P!AK109</f>
        <v>0</v>
      </c>
      <c r="E107" s="219">
        <f t="shared" si="2"/>
        <v>0</v>
      </c>
      <c r="F107" s="226" t="str">
        <f t="shared" si="3"/>
        <v>×</v>
      </c>
    </row>
    <row r="108" spans="1:6">
      <c r="A108" s="180" t="s">
        <v>109</v>
      </c>
      <c r="B108" s="205" t="s">
        <v>31</v>
      </c>
      <c r="C108" s="220">
        <f>S!D108</f>
        <v>0</v>
      </c>
      <c r="D108" s="220">
        <f>P!AK110</f>
        <v>0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0</v>
      </c>
      <c r="D109" s="220">
        <f>P!AK111</f>
        <v>0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0</v>
      </c>
      <c r="D110" s="220">
        <f>P!AK112</f>
        <v>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0</v>
      </c>
      <c r="D111" s="220">
        <f>P!AK113</f>
        <v>0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0</v>
      </c>
      <c r="D112" s="220">
        <f>P!AK114</f>
        <v>0</v>
      </c>
      <c r="E112" s="219">
        <f t="shared" si="2"/>
        <v>0</v>
      </c>
      <c r="F112" s="226" t="str">
        <f t="shared" si="3"/>
        <v>×</v>
      </c>
    </row>
    <row r="113" spans="1:6">
      <c r="A113" s="180" t="s">
        <v>112</v>
      </c>
      <c r="B113" s="205" t="s">
        <v>9</v>
      </c>
      <c r="C113" s="220">
        <f>S!D113</f>
        <v>0</v>
      </c>
      <c r="D113" s="220">
        <f>P!AK115</f>
        <v>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0</v>
      </c>
      <c r="D114" s="220">
        <f>P!AK116</f>
        <v>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0</v>
      </c>
      <c r="D115" s="220">
        <f>P!AK117</f>
        <v>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0</v>
      </c>
      <c r="D116" s="220">
        <f>P!AK118</f>
        <v>0</v>
      </c>
      <c r="E116" s="219">
        <f t="shared" si="2"/>
        <v>0</v>
      </c>
      <c r="F116" s="226" t="str">
        <f t="shared" si="3"/>
        <v>×</v>
      </c>
    </row>
    <row r="117" spans="1:6">
      <c r="A117" s="180" t="s">
        <v>115</v>
      </c>
      <c r="B117" s="205" t="s">
        <v>9</v>
      </c>
      <c r="C117" s="220">
        <f>S!D117</f>
        <v>0</v>
      </c>
      <c r="D117" s="220">
        <f>P!AK119</f>
        <v>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0</v>
      </c>
      <c r="D118" s="220">
        <f>P!AK120</f>
        <v>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0</v>
      </c>
      <c r="D119" s="220">
        <f>P!AK121</f>
        <v>0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0</v>
      </c>
      <c r="D120" s="220">
        <f>P!AK122</f>
        <v>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0</v>
      </c>
      <c r="D121" s="220">
        <f>P!AK123</f>
        <v>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0</v>
      </c>
      <c r="D122" s="220">
        <f>P!AK124</f>
        <v>0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0</v>
      </c>
      <c r="D123" s="220">
        <f>P!AK125</f>
        <v>0</v>
      </c>
      <c r="E123" s="219">
        <f t="shared" si="2"/>
        <v>0</v>
      </c>
      <c r="F123" s="226" t="str">
        <f t="shared" si="3"/>
        <v>×</v>
      </c>
    </row>
    <row r="124" spans="1:6">
      <c r="A124" s="180" t="s">
        <v>123</v>
      </c>
      <c r="B124" s="205" t="s">
        <v>31</v>
      </c>
      <c r="C124" s="220">
        <f>S!D124</f>
        <v>0</v>
      </c>
      <c r="D124" s="220">
        <f>P!AK126</f>
        <v>0</v>
      </c>
      <c r="E124" s="219">
        <f t="shared" si="2"/>
        <v>0</v>
      </c>
      <c r="F124" s="226" t="str">
        <f t="shared" si="3"/>
        <v>×</v>
      </c>
    </row>
    <row r="125" spans="1:6">
      <c r="A125" s="180" t="s">
        <v>263</v>
      </c>
      <c r="B125" s="205" t="s">
        <v>9</v>
      </c>
      <c r="C125" s="220">
        <f>S!D125</f>
        <v>0</v>
      </c>
      <c r="D125" s="220">
        <f>P!AK127</f>
        <v>0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0</v>
      </c>
      <c r="D126" s="220">
        <f>P!AK128</f>
        <v>0</v>
      </c>
      <c r="E126" s="219">
        <f t="shared" si="2"/>
        <v>0</v>
      </c>
      <c r="F126" s="226" t="str">
        <f t="shared" si="3"/>
        <v>×</v>
      </c>
    </row>
    <row r="127" spans="1:6">
      <c r="A127" s="180" t="s">
        <v>261</v>
      </c>
      <c r="B127" s="205" t="s">
        <v>9</v>
      </c>
      <c r="C127" s="220">
        <f>S!D127</f>
        <v>0</v>
      </c>
      <c r="D127" s="220">
        <f>P!AK129</f>
        <v>0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0</v>
      </c>
      <c r="D128" s="220">
        <f>P!AK130</f>
        <v>0</v>
      </c>
      <c r="E128" s="219">
        <f t="shared" si="2"/>
        <v>0</v>
      </c>
      <c r="F128" s="226" t="str">
        <f t="shared" si="3"/>
        <v>×</v>
      </c>
    </row>
    <row r="129" spans="1:6">
      <c r="A129" s="180" t="s">
        <v>262</v>
      </c>
      <c r="B129" s="205" t="s">
        <v>9</v>
      </c>
      <c r="C129" s="220">
        <f>S!D129</f>
        <v>0</v>
      </c>
      <c r="D129" s="220">
        <f>P!AK131</f>
        <v>0</v>
      </c>
      <c r="E129" s="219">
        <f t="shared" si="2"/>
        <v>0</v>
      </c>
      <c r="F129" s="226" t="str">
        <f t="shared" si="3"/>
        <v>×</v>
      </c>
    </row>
    <row r="130" spans="1:6">
      <c r="A130" s="180" t="s">
        <v>124</v>
      </c>
      <c r="B130" s="205" t="s">
        <v>9</v>
      </c>
      <c r="C130" s="220">
        <f>S!D130</f>
        <v>0</v>
      </c>
      <c r="D130" s="220">
        <f>P!AK132</f>
        <v>0</v>
      </c>
      <c r="E130" s="219">
        <f t="shared" si="2"/>
        <v>0</v>
      </c>
      <c r="F130" s="226" t="str">
        <f t="shared" si="3"/>
        <v>×</v>
      </c>
    </row>
    <row r="131" spans="1:6">
      <c r="A131" s="180" t="s">
        <v>125</v>
      </c>
      <c r="B131" s="205" t="s">
        <v>9</v>
      </c>
      <c r="C131" s="220">
        <f>S!D131</f>
        <v>0</v>
      </c>
      <c r="D131" s="220">
        <f>P!AK133</f>
        <v>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0</v>
      </c>
      <c r="D132" s="220">
        <f>P!AK134</f>
        <v>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0</v>
      </c>
      <c r="D133" s="220">
        <f>P!AK135</f>
        <v>0</v>
      </c>
      <c r="E133" s="219">
        <f t="shared" si="4"/>
        <v>0</v>
      </c>
      <c r="F133" s="226" t="str">
        <f t="shared" si="5"/>
        <v>×</v>
      </c>
    </row>
    <row r="134" spans="1:6">
      <c r="A134" s="180" t="s">
        <v>286</v>
      </c>
      <c r="B134" s="205" t="s">
        <v>31</v>
      </c>
      <c r="C134" s="220">
        <f>S!D134</f>
        <v>0</v>
      </c>
      <c r="D134" s="220">
        <f>P!AK136</f>
        <v>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0</v>
      </c>
      <c r="D135" s="220">
        <f>P!AK137</f>
        <v>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0</v>
      </c>
      <c r="D136" s="220">
        <f>P!AK138</f>
        <v>0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0</v>
      </c>
      <c r="D137" s="220">
        <f>P!AK139</f>
        <v>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0</v>
      </c>
      <c r="D138" s="220">
        <f>P!AK140</f>
        <v>0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0</v>
      </c>
      <c r="D139" s="220">
        <f>P!AK141</f>
        <v>0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0</v>
      </c>
      <c r="D141" s="220">
        <f>P!AK143</f>
        <v>0</v>
      </c>
      <c r="E141" s="219">
        <f t="shared" si="4"/>
        <v>0</v>
      </c>
      <c r="F141" s="226" t="str">
        <f t="shared" si="5"/>
        <v>×</v>
      </c>
    </row>
    <row r="142" spans="1:6">
      <c r="A142" s="180" t="s">
        <v>130</v>
      </c>
      <c r="B142" s="205" t="s">
        <v>31</v>
      </c>
      <c r="C142" s="220">
        <f>S!D142</f>
        <v>0</v>
      </c>
      <c r="D142" s="220">
        <f>P!AK144</f>
        <v>0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266</v>
      </c>
      <c r="B143" s="205" t="s">
        <v>9</v>
      </c>
      <c r="C143" s="220">
        <f>S!D143</f>
        <v>0</v>
      </c>
      <c r="D143" s="220">
        <f>P!AK145</f>
        <v>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0</v>
      </c>
      <c r="D144" s="220">
        <f>P!AK146</f>
        <v>0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0</v>
      </c>
      <c r="D145" s="220">
        <f>P!AK147</f>
        <v>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0</v>
      </c>
      <c r="D146" s="220">
        <f>P!AK148</f>
        <v>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0</v>
      </c>
      <c r="D147" s="220">
        <f>P!AK149</f>
        <v>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0</v>
      </c>
      <c r="D148" s="220">
        <f>P!AK150</f>
        <v>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0</v>
      </c>
      <c r="D149" s="220">
        <f>P!AK151</f>
        <v>0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0</v>
      </c>
      <c r="D150" s="220">
        <f>P!AK152</f>
        <v>0</v>
      </c>
      <c r="E150" s="219">
        <f t="shared" si="4"/>
        <v>0</v>
      </c>
      <c r="F150" s="226" t="str">
        <f t="shared" si="5"/>
        <v>×</v>
      </c>
    </row>
    <row r="151" spans="1:6">
      <c r="A151" s="180" t="s">
        <v>137</v>
      </c>
      <c r="B151" s="205" t="s">
        <v>9</v>
      </c>
      <c r="C151" s="220">
        <f>S!D151</f>
        <v>0</v>
      </c>
      <c r="D151" s="220">
        <f>P!AK153</f>
        <v>0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0</v>
      </c>
      <c r="D152" s="220">
        <f>P!AK154</f>
        <v>0</v>
      </c>
      <c r="E152" s="219">
        <f t="shared" si="4"/>
        <v>0</v>
      </c>
      <c r="F152" s="226" t="str">
        <f t="shared" si="5"/>
        <v>×</v>
      </c>
    </row>
    <row r="153" spans="1:6">
      <c r="A153" s="180" t="s">
        <v>138</v>
      </c>
      <c r="B153" s="205" t="s">
        <v>9</v>
      </c>
      <c r="C153" s="220">
        <f>S!D153</f>
        <v>0</v>
      </c>
      <c r="D153" s="220">
        <f>P!AK155</f>
        <v>0</v>
      </c>
      <c r="E153" s="219">
        <f t="shared" si="4"/>
        <v>0</v>
      </c>
      <c r="F153" s="226" t="str">
        <f t="shared" si="5"/>
        <v>×</v>
      </c>
    </row>
    <row r="154" spans="1:6">
      <c r="A154" s="180" t="s">
        <v>267</v>
      </c>
      <c r="B154" s="205" t="s">
        <v>9</v>
      </c>
      <c r="C154" s="220">
        <f>S!D154</f>
        <v>0</v>
      </c>
      <c r="D154" s="220">
        <f>P!AK156</f>
        <v>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0</v>
      </c>
      <c r="D155" s="220">
        <f>P!AK157</f>
        <v>0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0</v>
      </c>
      <c r="D156" s="220">
        <f>P!AK158</f>
        <v>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0</v>
      </c>
      <c r="D158" s="220">
        <f>P!AK160</f>
        <v>0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0</v>
      </c>
      <c r="D159" s="220">
        <f>P!AK161</f>
        <v>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0</v>
      </c>
      <c r="D160" s="220">
        <f>P!AK162</f>
        <v>0</v>
      </c>
      <c r="E160" s="219">
        <f t="shared" si="4"/>
        <v>0</v>
      </c>
      <c r="F160" s="226" t="str">
        <f t="shared" si="5"/>
        <v>×</v>
      </c>
    </row>
    <row r="161" spans="1:6">
      <c r="A161" s="180" t="s">
        <v>145</v>
      </c>
      <c r="B161" s="205" t="s">
        <v>9</v>
      </c>
      <c r="C161" s="220">
        <f>S!D161</f>
        <v>0</v>
      </c>
      <c r="D161" s="220">
        <f>P!AK163</f>
        <v>0</v>
      </c>
      <c r="E161" s="219">
        <f t="shared" si="4"/>
        <v>0</v>
      </c>
      <c r="F161" s="226" t="str">
        <f t="shared" si="5"/>
        <v>×</v>
      </c>
    </row>
    <row r="162" spans="1:6">
      <c r="A162" s="180" t="s">
        <v>146</v>
      </c>
      <c r="B162" s="205" t="s">
        <v>9</v>
      </c>
      <c r="C162" s="220">
        <f>S!D162</f>
        <v>0</v>
      </c>
      <c r="D162" s="220">
        <f>P!AK164</f>
        <v>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0</v>
      </c>
      <c r="D163" s="220">
        <f>P!AK165</f>
        <v>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0</v>
      </c>
      <c r="D164" s="220">
        <f>P!AK166</f>
        <v>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0</v>
      </c>
      <c r="D167" s="220">
        <f>P!AK169</f>
        <v>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0</v>
      </c>
      <c r="D168" s="220">
        <f>P!AK170</f>
        <v>0</v>
      </c>
      <c r="E168" s="219">
        <f t="shared" si="4"/>
        <v>0</v>
      </c>
      <c r="F168" s="226" t="str">
        <f t="shared" si="5"/>
        <v>×</v>
      </c>
    </row>
    <row r="169" spans="1:6">
      <c r="A169" s="180" t="s">
        <v>4</v>
      </c>
      <c r="B169" s="205" t="s">
        <v>9</v>
      </c>
      <c r="C169" s="220">
        <f>S!D169</f>
        <v>0</v>
      </c>
      <c r="D169" s="220">
        <f>P!AK171</f>
        <v>0</v>
      </c>
      <c r="E169" s="219">
        <f t="shared" si="4"/>
        <v>0</v>
      </c>
      <c r="F169" s="226" t="str">
        <f t="shared" si="5"/>
        <v>×</v>
      </c>
    </row>
    <row r="170" spans="1:6">
      <c r="A170" s="180" t="s">
        <v>153</v>
      </c>
      <c r="B170" s="205" t="s">
        <v>9</v>
      </c>
      <c r="C170" s="220">
        <f>S!D170</f>
        <v>0</v>
      </c>
      <c r="D170" s="220">
        <f>P!AK172</f>
        <v>0</v>
      </c>
      <c r="E170" s="219">
        <f t="shared" si="4"/>
        <v>0</v>
      </c>
      <c r="F170" s="226" t="str">
        <f t="shared" si="5"/>
        <v>×</v>
      </c>
    </row>
    <row r="171" spans="1:6">
      <c r="A171" s="180" t="s">
        <v>226</v>
      </c>
      <c r="B171" s="205" t="s">
        <v>9</v>
      </c>
      <c r="C171" s="220">
        <f>S!D171</f>
        <v>0</v>
      </c>
      <c r="D171" s="220">
        <f>P!AK173</f>
        <v>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0</v>
      </c>
      <c r="D172" s="220">
        <f>P!AK174</f>
        <v>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0</v>
      </c>
      <c r="D173" s="220">
        <f>P!AK175</f>
        <v>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0</v>
      </c>
      <c r="D175" s="220">
        <f>P!AK177</f>
        <v>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0</v>
      </c>
      <c r="D176" s="220">
        <f>P!AK178</f>
        <v>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0</v>
      </c>
      <c r="D177" s="220">
        <f>P!AK179</f>
        <v>0</v>
      </c>
      <c r="E177" s="219">
        <f t="shared" si="4"/>
        <v>0</v>
      </c>
      <c r="F177" s="226" t="str">
        <f t="shared" si="5"/>
        <v>×</v>
      </c>
    </row>
    <row r="178" spans="1:6">
      <c r="A178" s="180" t="s">
        <v>308</v>
      </c>
      <c r="B178" s="205" t="s">
        <v>9</v>
      </c>
      <c r="C178" s="220">
        <f>S!D178</f>
        <v>0</v>
      </c>
      <c r="D178" s="220">
        <f>P!AK180</f>
        <v>0</v>
      </c>
      <c r="E178" s="219">
        <f t="shared" si="4"/>
        <v>0</v>
      </c>
      <c r="F178" s="226" t="str">
        <f t="shared" si="5"/>
        <v>×</v>
      </c>
    </row>
    <row r="179" spans="1:6">
      <c r="A179" s="180" t="s">
        <v>157</v>
      </c>
      <c r="B179" s="205" t="s">
        <v>9</v>
      </c>
      <c r="C179" s="220">
        <f>S!D179</f>
        <v>0</v>
      </c>
      <c r="D179" s="220">
        <f>P!AK181</f>
        <v>0</v>
      </c>
      <c r="E179" s="219">
        <f t="shared" si="4"/>
        <v>0</v>
      </c>
      <c r="F179" s="226" t="str">
        <f t="shared" si="5"/>
        <v>×</v>
      </c>
    </row>
    <row r="180" spans="1:6">
      <c r="A180" s="180" t="s">
        <v>158</v>
      </c>
      <c r="B180" s="205" t="s">
        <v>9</v>
      </c>
      <c r="C180" s="220">
        <f>S!D180</f>
        <v>0</v>
      </c>
      <c r="D180" s="220">
        <f>P!AK182</f>
        <v>0</v>
      </c>
      <c r="E180" s="219">
        <f t="shared" si="4"/>
        <v>0</v>
      </c>
      <c r="F180" s="226" t="str">
        <f t="shared" si="5"/>
        <v>×</v>
      </c>
    </row>
    <row r="181" spans="1:6">
      <c r="A181" s="180" t="s">
        <v>317</v>
      </c>
      <c r="B181" s="205" t="s">
        <v>9</v>
      </c>
      <c r="C181" s="220">
        <f>S!D181</f>
        <v>0</v>
      </c>
      <c r="D181" s="220">
        <f>P!AK183</f>
        <v>0</v>
      </c>
      <c r="E181" s="219">
        <f t="shared" si="4"/>
        <v>0</v>
      </c>
      <c r="F181" s="226" t="str">
        <f t="shared" si="5"/>
        <v>×</v>
      </c>
    </row>
    <row r="182" spans="1:6">
      <c r="A182" s="180" t="s">
        <v>159</v>
      </c>
      <c r="B182" s="205" t="s">
        <v>31</v>
      </c>
      <c r="C182" s="220">
        <f>S!D182</f>
        <v>0</v>
      </c>
      <c r="D182" s="220">
        <f>P!AK184</f>
        <v>0</v>
      </c>
      <c r="E182" s="219">
        <f t="shared" si="4"/>
        <v>0</v>
      </c>
      <c r="F182" s="226" t="str">
        <f t="shared" si="5"/>
        <v>×</v>
      </c>
    </row>
    <row r="183" spans="1:6">
      <c r="A183" s="180" t="s">
        <v>160</v>
      </c>
      <c r="B183" s="205" t="s">
        <v>9</v>
      </c>
      <c r="C183" s="220">
        <f>S!D183</f>
        <v>0</v>
      </c>
      <c r="D183" s="220">
        <f>P!AK185</f>
        <v>0</v>
      </c>
      <c r="E183" s="219">
        <f t="shared" si="4"/>
        <v>0</v>
      </c>
      <c r="F183" s="226" t="str">
        <f t="shared" si="5"/>
        <v>×</v>
      </c>
    </row>
    <row r="184" spans="1:6">
      <c r="A184" s="180" t="s">
        <v>161</v>
      </c>
      <c r="B184" s="205" t="s">
        <v>9</v>
      </c>
      <c r="C184" s="220">
        <f>S!D184</f>
        <v>0</v>
      </c>
      <c r="D184" s="220">
        <f>P!AK186</f>
        <v>0</v>
      </c>
      <c r="E184" s="219">
        <f t="shared" si="4"/>
        <v>0</v>
      </c>
      <c r="F184" s="226" t="str">
        <f t="shared" si="5"/>
        <v>×</v>
      </c>
    </row>
    <row r="185" spans="1:6">
      <c r="A185" s="180" t="s">
        <v>162</v>
      </c>
      <c r="B185" s="205" t="s">
        <v>9</v>
      </c>
      <c r="C185" s="220">
        <f>S!D185</f>
        <v>0</v>
      </c>
      <c r="D185" s="220">
        <f>P!AK187</f>
        <v>0</v>
      </c>
      <c r="E185" s="219">
        <f t="shared" si="4"/>
        <v>0</v>
      </c>
      <c r="F185" s="226" t="str">
        <f t="shared" si="5"/>
        <v>×</v>
      </c>
    </row>
    <row r="186" spans="1:6">
      <c r="A186" s="180" t="s">
        <v>268</v>
      </c>
      <c r="B186" s="205" t="s">
        <v>9</v>
      </c>
      <c r="C186" s="220">
        <f>S!D186</f>
        <v>0</v>
      </c>
      <c r="D186" s="220">
        <f>P!AK188</f>
        <v>0</v>
      </c>
      <c r="E186" s="219">
        <f t="shared" si="4"/>
        <v>0</v>
      </c>
      <c r="F186" s="226" t="str">
        <f t="shared" si="5"/>
        <v>×</v>
      </c>
    </row>
    <row r="187" spans="1:6">
      <c r="A187" s="180" t="s">
        <v>163</v>
      </c>
      <c r="B187" s="205" t="s">
        <v>31</v>
      </c>
      <c r="C187" s="220">
        <f>S!D187</f>
        <v>0</v>
      </c>
      <c r="D187" s="220">
        <f>P!AK189</f>
        <v>0</v>
      </c>
      <c r="E187" s="219">
        <f t="shared" si="4"/>
        <v>0</v>
      </c>
      <c r="F187" s="226" t="str">
        <f t="shared" si="5"/>
        <v>×</v>
      </c>
    </row>
    <row r="188" spans="1:6">
      <c r="A188" s="180" t="s">
        <v>316</v>
      </c>
      <c r="B188" s="205" t="s">
        <v>31</v>
      </c>
      <c r="C188" s="220">
        <f>S!D188</f>
        <v>0</v>
      </c>
      <c r="D188" s="220">
        <f>P!AK190</f>
        <v>0</v>
      </c>
      <c r="E188" s="219">
        <f t="shared" si="4"/>
        <v>0</v>
      </c>
      <c r="F188" s="226" t="str">
        <f t="shared" si="5"/>
        <v>×</v>
      </c>
    </row>
    <row r="189" spans="1:6">
      <c r="A189" s="180" t="s">
        <v>164</v>
      </c>
      <c r="B189" s="205" t="s">
        <v>9</v>
      </c>
      <c r="C189" s="220">
        <f>S!D189</f>
        <v>0</v>
      </c>
      <c r="D189" s="220">
        <f>P!AK191</f>
        <v>0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0</v>
      </c>
      <c r="D190" s="220">
        <f>P!AK192</f>
        <v>0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0</v>
      </c>
      <c r="D191" s="220">
        <f>P!AK193</f>
        <v>0</v>
      </c>
      <c r="E191" s="219">
        <f t="shared" si="4"/>
        <v>0</v>
      </c>
      <c r="F191" s="226" t="str">
        <f t="shared" si="5"/>
        <v>×</v>
      </c>
    </row>
    <row r="192" spans="1:6">
      <c r="A192" s="180" t="s">
        <v>167</v>
      </c>
      <c r="B192" s="205" t="s">
        <v>9</v>
      </c>
      <c r="C192" s="220">
        <f>S!D192</f>
        <v>0</v>
      </c>
      <c r="D192" s="220">
        <f>P!AK194</f>
        <v>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0</v>
      </c>
      <c r="D193" s="220">
        <f>P!AK195</f>
        <v>0</v>
      </c>
      <c r="E193" s="219">
        <f t="shared" si="4"/>
        <v>0</v>
      </c>
      <c r="F193" s="226" t="str">
        <f t="shared" si="5"/>
        <v>×</v>
      </c>
    </row>
    <row r="194" spans="1:6">
      <c r="A194" s="180" t="s">
        <v>169</v>
      </c>
      <c r="B194" s="205" t="s">
        <v>9</v>
      </c>
      <c r="C194" s="220">
        <f>S!D194</f>
        <v>0</v>
      </c>
      <c r="D194" s="220">
        <f>P!AK196</f>
        <v>0</v>
      </c>
      <c r="E194" s="219">
        <f t="shared" si="4"/>
        <v>0</v>
      </c>
      <c r="F194" s="226" t="str">
        <f t="shared" si="5"/>
        <v>×</v>
      </c>
    </row>
    <row r="195" spans="1:6">
      <c r="A195" s="180" t="s">
        <v>318</v>
      </c>
      <c r="B195" s="205" t="s">
        <v>9</v>
      </c>
      <c r="C195" s="220">
        <f>S!D195</f>
        <v>0</v>
      </c>
      <c r="D195" s="220">
        <f>P!AK197</f>
        <v>0</v>
      </c>
      <c r="E195" s="219">
        <f t="shared" si="4"/>
        <v>0</v>
      </c>
      <c r="F195" s="226" t="str">
        <f t="shared" si="5"/>
        <v>×</v>
      </c>
    </row>
    <row r="196" spans="1:6">
      <c r="A196" s="180" t="s">
        <v>319</v>
      </c>
      <c r="B196" s="205" t="s">
        <v>9</v>
      </c>
      <c r="C196" s="220">
        <f>S!D196</f>
        <v>0</v>
      </c>
      <c r="D196" s="220">
        <f>P!AK198</f>
        <v>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0</v>
      </c>
      <c r="D197" s="220">
        <f>P!AK199</f>
        <v>0</v>
      </c>
      <c r="E197" s="219">
        <f t="shared" si="6"/>
        <v>0</v>
      </c>
      <c r="F197" s="226" t="str">
        <f t="shared" si="7"/>
        <v>×</v>
      </c>
    </row>
    <row r="198" spans="1:6">
      <c r="A198" s="180" t="s">
        <v>270</v>
      </c>
      <c r="B198" s="205" t="s">
        <v>9</v>
      </c>
      <c r="C198" s="220">
        <f>S!D198</f>
        <v>0</v>
      </c>
      <c r="D198" s="220">
        <f>P!AK200</f>
        <v>0</v>
      </c>
      <c r="E198" s="219">
        <f t="shared" si="6"/>
        <v>0</v>
      </c>
      <c r="F198" s="226" t="str">
        <f t="shared" si="7"/>
        <v>×</v>
      </c>
    </row>
    <row r="199" spans="1:6">
      <c r="A199" s="180" t="s">
        <v>271</v>
      </c>
      <c r="B199" s="205" t="s">
        <v>9</v>
      </c>
      <c r="C199" s="220">
        <f>S!D199</f>
        <v>0</v>
      </c>
      <c r="D199" s="220">
        <f>P!AK201</f>
        <v>0</v>
      </c>
      <c r="E199" s="219">
        <f t="shared" si="6"/>
        <v>0</v>
      </c>
      <c r="F199" s="226" t="str">
        <f t="shared" si="7"/>
        <v>×</v>
      </c>
    </row>
    <row r="200" spans="1:6">
      <c r="A200" s="180" t="s">
        <v>315</v>
      </c>
      <c r="B200" s="205" t="s">
        <v>9</v>
      </c>
      <c r="C200" s="220">
        <f>S!D200</f>
        <v>0</v>
      </c>
      <c r="D200" s="220">
        <f>P!AK202</f>
        <v>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0</v>
      </c>
      <c r="D201" s="220">
        <f>P!AK203</f>
        <v>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0</v>
      </c>
      <c r="D202" s="220">
        <f>P!AK204</f>
        <v>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0</v>
      </c>
      <c r="D203" s="220">
        <f>P!AK205</f>
        <v>0</v>
      </c>
      <c r="E203" s="219">
        <f t="shared" si="6"/>
        <v>0</v>
      </c>
      <c r="F203" s="226" t="str">
        <f t="shared" si="7"/>
        <v>×</v>
      </c>
    </row>
    <row r="204" spans="1:6">
      <c r="A204" s="180" t="s">
        <v>172</v>
      </c>
      <c r="B204" s="205" t="s">
        <v>9</v>
      </c>
      <c r="C204" s="220">
        <f>S!D204</f>
        <v>0</v>
      </c>
      <c r="D204" s="220">
        <f>P!AK206</f>
        <v>0</v>
      </c>
      <c r="E204" s="219">
        <f t="shared" si="6"/>
        <v>0</v>
      </c>
      <c r="F204" s="226" t="str">
        <f t="shared" si="7"/>
        <v>×</v>
      </c>
    </row>
    <row r="205" spans="1:6">
      <c r="A205" s="180" t="s">
        <v>173</v>
      </c>
      <c r="B205" s="205" t="s">
        <v>9</v>
      </c>
      <c r="C205" s="220">
        <f>S!D205</f>
        <v>0</v>
      </c>
      <c r="D205" s="220">
        <f>P!AK207</f>
        <v>0</v>
      </c>
      <c r="E205" s="219">
        <f t="shared" si="6"/>
        <v>0</v>
      </c>
      <c r="F205" s="226" t="str">
        <f t="shared" si="7"/>
        <v>×</v>
      </c>
    </row>
    <row r="206" spans="1:6">
      <c r="A206" s="180" t="s">
        <v>174</v>
      </c>
      <c r="B206" s="205" t="s">
        <v>9</v>
      </c>
      <c r="C206" s="220">
        <f>S!D206</f>
        <v>0</v>
      </c>
      <c r="D206" s="220">
        <f>P!AK208</f>
        <v>0</v>
      </c>
      <c r="E206" s="219">
        <f t="shared" si="6"/>
        <v>0</v>
      </c>
      <c r="F206" s="226" t="str">
        <f t="shared" si="7"/>
        <v>×</v>
      </c>
    </row>
    <row r="207" spans="1:6">
      <c r="A207" s="180" t="s">
        <v>175</v>
      </c>
      <c r="B207" s="205" t="s">
        <v>9</v>
      </c>
      <c r="C207" s="220">
        <f>S!D207</f>
        <v>0</v>
      </c>
      <c r="D207" s="220">
        <f>P!AK209</f>
        <v>0</v>
      </c>
      <c r="E207" s="219">
        <f t="shared" si="6"/>
        <v>0</v>
      </c>
      <c r="F207" s="226" t="str">
        <f t="shared" si="7"/>
        <v>×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0</v>
      </c>
      <c r="D209" s="220">
        <f>P!AK211</f>
        <v>0</v>
      </c>
      <c r="E209" s="219">
        <f t="shared" si="6"/>
        <v>0</v>
      </c>
      <c r="F209" s="226" t="str">
        <f t="shared" si="7"/>
        <v>×</v>
      </c>
    </row>
    <row r="210" spans="1:6">
      <c r="A210" s="180" t="s">
        <v>321</v>
      </c>
      <c r="B210" s="205" t="s">
        <v>9</v>
      </c>
      <c r="C210" s="220">
        <f>S!D210</f>
        <v>0</v>
      </c>
      <c r="D210" s="220">
        <f>P!AK212</f>
        <v>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0</v>
      </c>
      <c r="D211" s="220">
        <f>P!AK213</f>
        <v>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0</v>
      </c>
      <c r="D212" s="220">
        <f>P!AK214</f>
        <v>0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0</v>
      </c>
      <c r="D213" s="220">
        <f>P!AK215</f>
        <v>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0</v>
      </c>
      <c r="D214" s="220">
        <f>P!AK216</f>
        <v>0</v>
      </c>
      <c r="E214" s="219">
        <f t="shared" si="6"/>
        <v>0</v>
      </c>
      <c r="F214" s="226" t="str">
        <f t="shared" si="7"/>
        <v>×</v>
      </c>
    </row>
    <row r="215" spans="1:6">
      <c r="A215" s="180" t="s">
        <v>179</v>
      </c>
      <c r="B215" s="205" t="s">
        <v>118</v>
      </c>
      <c r="C215" s="220">
        <f>S!D215</f>
        <v>0</v>
      </c>
      <c r="D215" s="220">
        <f>P!AK217</f>
        <v>0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0</v>
      </c>
      <c r="D216" s="220">
        <f>P!AK218</f>
        <v>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0</v>
      </c>
      <c r="D217" s="220">
        <f>P!AK219</f>
        <v>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0</v>
      </c>
      <c r="D218" s="220">
        <f>P!AK220</f>
        <v>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0</v>
      </c>
      <c r="D221" s="220">
        <f>P!AK223</f>
        <v>0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0</v>
      </c>
      <c r="D228" s="220">
        <f>P!AK230</f>
        <v>0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0</v>
      </c>
      <c r="D229" s="220">
        <f>P!AK231</f>
        <v>0</v>
      </c>
      <c r="E229" s="219">
        <f t="shared" si="6"/>
        <v>0</v>
      </c>
      <c r="F229" s="226" t="str">
        <f t="shared" si="7"/>
        <v>×</v>
      </c>
    </row>
    <row r="230" spans="1:6">
      <c r="A230" s="180" t="s">
        <v>292</v>
      </c>
      <c r="B230" s="205" t="s">
        <v>9</v>
      </c>
      <c r="C230" s="220">
        <f>S!D230</f>
        <v>0</v>
      </c>
      <c r="D230" s="220">
        <f>P!AK232</f>
        <v>0</v>
      </c>
      <c r="E230" s="219">
        <f t="shared" si="6"/>
        <v>0</v>
      </c>
      <c r="F230" s="226" t="str">
        <f t="shared" si="7"/>
        <v>×</v>
      </c>
    </row>
    <row r="231" spans="1:6">
      <c r="A231" s="180" t="s">
        <v>56</v>
      </c>
      <c r="B231" s="205" t="s">
        <v>31</v>
      </c>
      <c r="C231" s="220">
        <f>S!D231</f>
        <v>0</v>
      </c>
      <c r="D231" s="220">
        <f>P!AK233</f>
        <v>0</v>
      </c>
      <c r="E231" s="219">
        <f t="shared" si="6"/>
        <v>0</v>
      </c>
      <c r="F231" s="226" t="str">
        <f t="shared" si="7"/>
        <v>×</v>
      </c>
    </row>
    <row r="232" spans="1:6">
      <c r="A232" s="180" t="s">
        <v>194</v>
      </c>
      <c r="B232" s="205" t="s">
        <v>31</v>
      </c>
      <c r="C232" s="220">
        <f>S!D232</f>
        <v>0</v>
      </c>
      <c r="D232" s="220">
        <f>P!AK234</f>
        <v>0</v>
      </c>
      <c r="E232" s="219">
        <f t="shared" si="6"/>
        <v>0</v>
      </c>
      <c r="F232" s="226" t="str">
        <f t="shared" si="7"/>
        <v>×</v>
      </c>
    </row>
    <row r="233" spans="1:6">
      <c r="A233" s="180" t="s">
        <v>274</v>
      </c>
      <c r="B233" s="205" t="s">
        <v>9</v>
      </c>
      <c r="C233" s="220">
        <f>S!D233</f>
        <v>0</v>
      </c>
      <c r="D233" s="220">
        <f>P!AK235</f>
        <v>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0</v>
      </c>
      <c r="D234" s="220">
        <f>P!AK236</f>
        <v>0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0</v>
      </c>
      <c r="D235" s="220">
        <f>P!AK237</f>
        <v>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0</v>
      </c>
      <c r="D236" s="220">
        <f>P!AK238</f>
        <v>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0</v>
      </c>
      <c r="D237" s="220">
        <f>P!AK239</f>
        <v>0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0</v>
      </c>
      <c r="D238" s="220">
        <f>P!AK240</f>
        <v>0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0</v>
      </c>
      <c r="D239" s="220">
        <f>P!AK241</f>
        <v>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0</v>
      </c>
      <c r="D240" s="220">
        <f>P!AK242</f>
        <v>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0</v>
      </c>
      <c r="D242" s="220">
        <f>P!AK244</f>
        <v>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0</v>
      </c>
      <c r="D243" s="220">
        <f>P!AK245</f>
        <v>0</v>
      </c>
      <c r="E243" s="219">
        <f t="shared" si="6"/>
        <v>0</v>
      </c>
      <c r="F243" s="226" t="str">
        <f t="shared" si="7"/>
        <v>×</v>
      </c>
    </row>
    <row r="244" spans="1:6">
      <c r="A244" s="180" t="s">
        <v>200</v>
      </c>
      <c r="B244" s="205" t="s">
        <v>9</v>
      </c>
      <c r="C244" s="220">
        <f>S!D244</f>
        <v>0</v>
      </c>
      <c r="D244" s="220">
        <f>P!AK246</f>
        <v>0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0</v>
      </c>
      <c r="D245" s="220">
        <f>P!AK247</f>
        <v>0</v>
      </c>
      <c r="E245" s="219">
        <f t="shared" si="6"/>
        <v>0</v>
      </c>
      <c r="F245" s="226" t="str">
        <f t="shared" si="7"/>
        <v>×</v>
      </c>
    </row>
    <row r="246" spans="1:6">
      <c r="A246" s="180" t="s">
        <v>191</v>
      </c>
      <c r="B246" s="205" t="s">
        <v>192</v>
      </c>
      <c r="C246" s="220">
        <f>S!D246</f>
        <v>0</v>
      </c>
      <c r="D246" s="220">
        <f>P!AK248</f>
        <v>0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0</v>
      </c>
      <c r="D247" s="220">
        <f>P!AK249</f>
        <v>0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0</v>
      </c>
      <c r="D248" s="220">
        <f>P!AK250</f>
        <v>0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0</v>
      </c>
      <c r="D249" s="220">
        <f>P!AK251</f>
        <v>0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0</v>
      </c>
      <c r="D250" s="220">
        <f>P!AK252</f>
        <v>0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0</v>
      </c>
      <c r="D251" s="220">
        <f>P!AK253</f>
        <v>0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0</v>
      </c>
      <c r="D252" s="220">
        <f>P!AK254</f>
        <v>0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D6" sqref="D6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45978.63978888889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45972</v>
      </c>
      <c r="I7" s="223" t="s">
        <v>342</v>
      </c>
      <c r="J7" s="223" t="s">
        <v>347</v>
      </c>
    </row>
    <row r="8" spans="2:10" ht="22.5">
      <c r="B8" s="62" t="s">
        <v>486</v>
      </c>
      <c r="C8" s="427">
        <v>45981</v>
      </c>
      <c r="I8" s="222" t="s">
        <v>350</v>
      </c>
      <c r="J8" s="224" t="s">
        <v>487</v>
      </c>
    </row>
    <row r="9" spans="2:10" ht="21">
      <c r="B9"/>
      <c r="C9"/>
      <c r="D9"/>
      <c r="E9"/>
      <c r="F9"/>
      <c r="I9" s="222" t="s">
        <v>345</v>
      </c>
      <c r="J9" s="224" t="s">
        <v>487</v>
      </c>
    </row>
    <row r="10" spans="2:10" ht="21.75" customHeight="1">
      <c r="B10" s="428" t="s">
        <v>481</v>
      </c>
      <c r="C10" s="430" t="s">
        <v>505</v>
      </c>
      <c r="D10"/>
      <c r="E10"/>
      <c r="F10"/>
      <c r="I10" s="222" t="s">
        <v>343</v>
      </c>
      <c r="J10" s="224"/>
    </row>
    <row r="11" spans="2:10" ht="21.75" customHeight="1">
      <c r="B11" s="429" t="s">
        <v>482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483</v>
      </c>
      <c r="C12" s="431">
        <f>P!AM2</f>
        <v>0</v>
      </c>
      <c r="D12"/>
      <c r="E12"/>
      <c r="F12"/>
      <c r="I12" s="222" t="s">
        <v>348</v>
      </c>
      <c r="J12" s="224"/>
    </row>
    <row r="13" spans="2:10" ht="23.25" customHeight="1">
      <c r="B13" s="433" t="s">
        <v>484</v>
      </c>
      <c r="C13" s="434">
        <f>IF((C11-C12)&gt;0, C11-C12, " ")</f>
        <v>900000</v>
      </c>
      <c r="D13"/>
      <c r="E13"/>
      <c r="F13"/>
      <c r="I13" s="222" t="s">
        <v>346</v>
      </c>
      <c r="J13" s="224"/>
    </row>
    <row r="14" spans="2:10" ht="22.5">
      <c r="B14" s="433" t="s">
        <v>485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249" activePane="bottomRight" state="frozen"/>
      <selection pane="topRight" activeCell="P1" sqref="P1"/>
      <selection pane="bottomLeft" activeCell="A3" sqref="A3"/>
      <selection pane="bottomRight" activeCell="H15" sqref="H15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7" t="s">
        <v>503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190">
        <f>COUNTIF(E4:L253, "&lt;0")</f>
        <v>0</v>
      </c>
      <c r="N1" s="187">
        <f>F254+L254</f>
        <v>0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458</v>
      </c>
      <c r="H2" s="194" t="s">
        <v>459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0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0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0</v>
      </c>
      <c r="T4" s="410">
        <f>K4</f>
        <v>0</v>
      </c>
      <c r="AJ4" s="58">
        <f>M4</f>
        <v>0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0</v>
      </c>
      <c r="F6" s="42">
        <f t="shared" si="0"/>
        <v>0</v>
      </c>
      <c r="G6" s="42">
        <f>P!AJ7</f>
        <v>0</v>
      </c>
      <c r="H6" s="42">
        <f>G6*P!AK7</f>
        <v>0</v>
      </c>
      <c r="I6" s="42">
        <f>S!E5</f>
        <v>0</v>
      </c>
      <c r="J6" s="42">
        <f>I6*S!D5</f>
        <v>0</v>
      </c>
      <c r="K6" s="42">
        <f t="shared" si="1"/>
        <v>0</v>
      </c>
      <c r="L6" s="42">
        <f t="shared" si="2"/>
        <v>0</v>
      </c>
      <c r="M6" s="43">
        <f>IF(ISERR((J6+H6)/(G6+I6)),P!AK7,(J6+H6)/(G6+I6))</f>
        <v>0</v>
      </c>
      <c r="N6" s="44">
        <f t="shared" si="3"/>
        <v>0</v>
      </c>
      <c r="O6" s="44">
        <f t="shared" si="4"/>
        <v>0</v>
      </c>
      <c r="P6" s="45" t="b">
        <f t="shared" si="5"/>
        <v>1</v>
      </c>
      <c r="Q6" s="183" t="str">
        <f t="shared" si="6"/>
        <v>×</v>
      </c>
      <c r="S6" s="410">
        <f t="shared" si="7"/>
        <v>0</v>
      </c>
      <c r="T6" s="410">
        <f t="shared" si="8"/>
        <v>0</v>
      </c>
      <c r="AJ6" s="58">
        <f t="shared" si="9"/>
        <v>0</v>
      </c>
      <c r="AK6" s="58">
        <f t="shared" si="10"/>
        <v>0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0</v>
      </c>
      <c r="F7" s="42">
        <f t="shared" si="0"/>
        <v>0</v>
      </c>
      <c r="G7" s="42">
        <f>P!AJ8</f>
        <v>0</v>
      </c>
      <c r="H7" s="42">
        <f>G7*P!AK8</f>
        <v>0</v>
      </c>
      <c r="I7" s="42">
        <f>S!E6</f>
        <v>0</v>
      </c>
      <c r="J7" s="42">
        <f>I7*S!D6</f>
        <v>0</v>
      </c>
      <c r="K7" s="42">
        <f t="shared" si="1"/>
        <v>0</v>
      </c>
      <c r="L7" s="42">
        <f t="shared" si="2"/>
        <v>0</v>
      </c>
      <c r="M7" s="43">
        <f>IF(ISERR((J7+H7)/(G7+I7)),P!AK8,(J7+H7)/(G7+I7))</f>
        <v>0</v>
      </c>
      <c r="N7" s="44">
        <f t="shared" si="3"/>
        <v>0</v>
      </c>
      <c r="O7" s="44">
        <f t="shared" si="4"/>
        <v>0</v>
      </c>
      <c r="P7" s="45" t="b">
        <f t="shared" si="5"/>
        <v>1</v>
      </c>
      <c r="Q7" s="183" t="str">
        <f t="shared" si="6"/>
        <v>×</v>
      </c>
      <c r="S7" s="410">
        <f t="shared" si="7"/>
        <v>0</v>
      </c>
      <c r="T7" s="410">
        <f t="shared" si="8"/>
        <v>0</v>
      </c>
      <c r="AJ7" s="58">
        <f t="shared" si="9"/>
        <v>0</v>
      </c>
      <c r="AK7" s="58">
        <f t="shared" si="10"/>
        <v>0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0</v>
      </c>
      <c r="T8" s="410">
        <f t="shared" si="8"/>
        <v>0</v>
      </c>
      <c r="AJ8" s="58">
        <f t="shared" si="9"/>
        <v>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0</v>
      </c>
      <c r="F9" s="42">
        <f t="shared" si="0"/>
        <v>0</v>
      </c>
      <c r="G9" s="42">
        <f>P!AJ10</f>
        <v>0</v>
      </c>
      <c r="H9" s="42">
        <f>G9*P!AK10</f>
        <v>0</v>
      </c>
      <c r="I9" s="42">
        <f>S!E8</f>
        <v>0</v>
      </c>
      <c r="J9" s="42">
        <f>I9*S!D8</f>
        <v>0</v>
      </c>
      <c r="K9" s="42">
        <f t="shared" si="1"/>
        <v>0</v>
      </c>
      <c r="L9" s="42">
        <f>K9*M9</f>
        <v>0</v>
      </c>
      <c r="M9" s="43">
        <f>IF(ISERR((J9+H9)/(G9+I9)),P!AK10,(J9+H9)/(G9+I9))</f>
        <v>0</v>
      </c>
      <c r="N9" s="44">
        <f t="shared" si="3"/>
        <v>0</v>
      </c>
      <c r="O9" s="44">
        <f t="shared" si="4"/>
        <v>0</v>
      </c>
      <c r="P9" s="45" t="b">
        <f t="shared" si="5"/>
        <v>1</v>
      </c>
      <c r="Q9" s="183" t="str">
        <f t="shared" si="6"/>
        <v>×</v>
      </c>
      <c r="S9" s="410">
        <f t="shared" si="7"/>
        <v>0</v>
      </c>
      <c r="T9" s="410">
        <f t="shared" si="8"/>
        <v>0</v>
      </c>
      <c r="AJ9" s="58">
        <f t="shared" si="9"/>
        <v>0</v>
      </c>
      <c r="AK9" s="58">
        <f t="shared" si="10"/>
        <v>0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0</v>
      </c>
      <c r="F10" s="42">
        <f t="shared" si="0"/>
        <v>0</v>
      </c>
      <c r="G10" s="42">
        <f>P!AJ11</f>
        <v>0</v>
      </c>
      <c r="H10" s="42">
        <f>G10*P!AK11</f>
        <v>0</v>
      </c>
      <c r="I10" s="42">
        <f>S!E9</f>
        <v>0</v>
      </c>
      <c r="J10" s="42">
        <f>I10*S!D9</f>
        <v>0</v>
      </c>
      <c r="K10" s="42">
        <f t="shared" si="1"/>
        <v>0</v>
      </c>
      <c r="L10" s="42">
        <f t="shared" si="2"/>
        <v>0</v>
      </c>
      <c r="M10" s="43">
        <f>IF(ISERR((J10+H10)/(G10+I10)),P!AK11,(J10+H10)/(G10+I10))</f>
        <v>0</v>
      </c>
      <c r="N10" s="44">
        <f t="shared" si="3"/>
        <v>0</v>
      </c>
      <c r="O10" s="44">
        <f t="shared" si="4"/>
        <v>0</v>
      </c>
      <c r="P10" s="45" t="b">
        <f t="shared" si="5"/>
        <v>1</v>
      </c>
      <c r="Q10" s="183" t="str">
        <f t="shared" si="6"/>
        <v>×</v>
      </c>
      <c r="S10" s="410">
        <f t="shared" si="7"/>
        <v>0</v>
      </c>
      <c r="T10" s="410">
        <f t="shared" si="8"/>
        <v>0</v>
      </c>
      <c r="AJ10" s="58">
        <f t="shared" si="9"/>
        <v>0</v>
      </c>
      <c r="AK10" s="58">
        <f t="shared" si="10"/>
        <v>0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0</v>
      </c>
      <c r="F11" s="42">
        <f t="shared" si="0"/>
        <v>0</v>
      </c>
      <c r="G11" s="42">
        <f>P!AJ12</f>
        <v>0</v>
      </c>
      <c r="H11" s="42">
        <f>G11*P!AK12</f>
        <v>0</v>
      </c>
      <c r="I11" s="42">
        <f>S!E10</f>
        <v>0</v>
      </c>
      <c r="J11" s="42">
        <f>I11*S!D10</f>
        <v>0</v>
      </c>
      <c r="K11" s="42">
        <f t="shared" si="1"/>
        <v>0</v>
      </c>
      <c r="L11" s="42">
        <f t="shared" si="2"/>
        <v>0</v>
      </c>
      <c r="M11" s="43">
        <f>IF(ISERR((J11+H11)/(G11+I11)),P!AK12,(J11+H11)/(G11+I11))</f>
        <v>0</v>
      </c>
      <c r="N11" s="44">
        <f t="shared" si="3"/>
        <v>0</v>
      </c>
      <c r="O11" s="44">
        <f t="shared" si="4"/>
        <v>0</v>
      </c>
      <c r="P11" s="45" t="b">
        <f t="shared" si="5"/>
        <v>1</v>
      </c>
      <c r="Q11" s="183" t="str">
        <f t="shared" si="6"/>
        <v>×</v>
      </c>
      <c r="S11" s="410">
        <f t="shared" si="7"/>
        <v>0</v>
      </c>
      <c r="T11" s="410">
        <f t="shared" si="8"/>
        <v>0</v>
      </c>
      <c r="AJ11" s="58">
        <f t="shared" si="9"/>
        <v>0</v>
      </c>
      <c r="AK11" s="58">
        <f t="shared" si="10"/>
        <v>0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0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0</v>
      </c>
      <c r="T12" s="410">
        <f t="shared" si="8"/>
        <v>0</v>
      </c>
      <c r="AJ12" s="58">
        <f t="shared" si="9"/>
        <v>0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0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0</v>
      </c>
      <c r="T13" s="410">
        <f t="shared" si="8"/>
        <v>0</v>
      </c>
      <c r="AJ13" s="58">
        <f t="shared" si="9"/>
        <v>0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0</v>
      </c>
      <c r="F14" s="42">
        <f t="shared" si="0"/>
        <v>0</v>
      </c>
      <c r="G14" s="42">
        <f>P!AJ15</f>
        <v>0</v>
      </c>
      <c r="H14" s="42">
        <f>G14*P!AK15</f>
        <v>0</v>
      </c>
      <c r="I14" s="42">
        <f>S!E13</f>
        <v>0</v>
      </c>
      <c r="J14" s="42">
        <f>I14*S!D13</f>
        <v>0</v>
      </c>
      <c r="K14" s="42">
        <f t="shared" si="1"/>
        <v>0</v>
      </c>
      <c r="L14" s="42">
        <f t="shared" si="2"/>
        <v>0</v>
      </c>
      <c r="M14" s="43">
        <f>IF(ISERR((J14+H14)/(G14+I14)),P!AK15,(J14+H14)/(G14+I14))</f>
        <v>0</v>
      </c>
      <c r="N14" s="44">
        <f t="shared" si="3"/>
        <v>0</v>
      </c>
      <c r="O14" s="44">
        <f t="shared" si="4"/>
        <v>0</v>
      </c>
      <c r="P14" s="45" t="b">
        <f t="shared" si="5"/>
        <v>1</v>
      </c>
      <c r="Q14" s="183" t="str">
        <f t="shared" si="6"/>
        <v>×</v>
      </c>
      <c r="S14" s="410">
        <f t="shared" si="7"/>
        <v>0</v>
      </c>
      <c r="T14" s="410">
        <f t="shared" si="8"/>
        <v>0</v>
      </c>
      <c r="AJ14" s="58">
        <f t="shared" si="9"/>
        <v>0</v>
      </c>
      <c r="AK14" s="58">
        <f t="shared" si="10"/>
        <v>0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0</v>
      </c>
      <c r="F15" s="42">
        <f t="shared" si="0"/>
        <v>0</v>
      </c>
      <c r="G15" s="42">
        <f>P!AJ16</f>
        <v>0</v>
      </c>
      <c r="H15" s="42">
        <f>G15*P!AK16</f>
        <v>0</v>
      </c>
      <c r="I15" s="42">
        <f>S!E14</f>
        <v>0</v>
      </c>
      <c r="J15" s="42">
        <f>I15*S!D14</f>
        <v>0</v>
      </c>
      <c r="K15" s="42">
        <f t="shared" si="1"/>
        <v>0</v>
      </c>
      <c r="L15" s="42">
        <f t="shared" si="2"/>
        <v>0</v>
      </c>
      <c r="M15" s="43">
        <f>IF(ISERR((J15+H15)/(G15+I15)),P!AK16,(J15+H15)/(G15+I15))</f>
        <v>0</v>
      </c>
      <c r="N15" s="44">
        <f t="shared" si="3"/>
        <v>0</v>
      </c>
      <c r="O15" s="44">
        <f t="shared" si="4"/>
        <v>0</v>
      </c>
      <c r="P15" s="45" t="b">
        <f t="shared" si="5"/>
        <v>1</v>
      </c>
      <c r="Q15" s="183" t="str">
        <f t="shared" si="6"/>
        <v>×</v>
      </c>
      <c r="S15" s="410">
        <f t="shared" si="7"/>
        <v>0</v>
      </c>
      <c r="T15" s="410">
        <f t="shared" si="8"/>
        <v>0</v>
      </c>
      <c r="AJ15" s="58">
        <f t="shared" si="9"/>
        <v>0</v>
      </c>
      <c r="AK15" s="58">
        <f t="shared" si="10"/>
        <v>0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0</v>
      </c>
      <c r="F16" s="42">
        <f t="shared" si="0"/>
        <v>0</v>
      </c>
      <c r="G16" s="42">
        <f>P!AJ17</f>
        <v>0</v>
      </c>
      <c r="H16" s="42">
        <f>G16*P!AK17</f>
        <v>0</v>
      </c>
      <c r="I16" s="42">
        <f>S!E15</f>
        <v>0</v>
      </c>
      <c r="J16" s="42">
        <f>I16*S!D15</f>
        <v>0</v>
      </c>
      <c r="K16" s="42">
        <f t="shared" si="1"/>
        <v>0</v>
      </c>
      <c r="L16" s="42">
        <f t="shared" si="2"/>
        <v>0</v>
      </c>
      <c r="M16" s="43">
        <f>IF(ISERR((J16+H16)/(G16+I16)),P!AK17,(J16+H16)/(G16+I16))</f>
        <v>0</v>
      </c>
      <c r="N16" s="44">
        <f t="shared" si="3"/>
        <v>0</v>
      </c>
      <c r="O16" s="44">
        <f t="shared" si="4"/>
        <v>0</v>
      </c>
      <c r="P16" s="45" t="b">
        <f t="shared" si="5"/>
        <v>1</v>
      </c>
      <c r="Q16" s="183" t="str">
        <f t="shared" si="6"/>
        <v>×</v>
      </c>
      <c r="S16" s="410">
        <f t="shared" si="7"/>
        <v>0</v>
      </c>
      <c r="T16" s="410">
        <f t="shared" si="8"/>
        <v>0</v>
      </c>
      <c r="AJ16" s="58">
        <f t="shared" si="9"/>
        <v>0</v>
      </c>
      <c r="AK16" s="58">
        <f t="shared" si="10"/>
        <v>0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0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0</v>
      </c>
      <c r="T17" s="410">
        <f t="shared" si="8"/>
        <v>0</v>
      </c>
      <c r="AJ17" s="58">
        <f t="shared" si="9"/>
        <v>0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</v>
      </c>
      <c r="H18" s="42">
        <f>G18*P!AK19</f>
        <v>0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0</v>
      </c>
      <c r="N18" s="44">
        <f t="shared" si="3"/>
        <v>0</v>
      </c>
      <c r="O18" s="44">
        <f t="shared" si="4"/>
        <v>0</v>
      </c>
      <c r="P18" s="45" t="b">
        <f t="shared" si="5"/>
        <v>1</v>
      </c>
      <c r="Q18" s="183" t="str">
        <f t="shared" si="6"/>
        <v>×</v>
      </c>
      <c r="S18" s="410">
        <f t="shared" si="7"/>
        <v>0</v>
      </c>
      <c r="T18" s="410">
        <f t="shared" si="8"/>
        <v>0</v>
      </c>
      <c r="AJ18" s="58">
        <f t="shared" si="9"/>
        <v>0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</v>
      </c>
      <c r="J19" s="42">
        <f>I19*S!D18</f>
        <v>0</v>
      </c>
      <c r="K19" s="42">
        <f t="shared" si="1"/>
        <v>0</v>
      </c>
      <c r="L19" s="42">
        <f t="shared" si="2"/>
        <v>0</v>
      </c>
      <c r="M19" s="43">
        <f>IF(ISERR((J19+H19)/(G19+I19)),P!AK20,(J19+H19)/(G19+I19))</f>
        <v>0</v>
      </c>
      <c r="N19" s="44">
        <f t="shared" si="3"/>
        <v>0</v>
      </c>
      <c r="O19" s="44">
        <f t="shared" si="4"/>
        <v>0</v>
      </c>
      <c r="P19" s="45" t="b">
        <f t="shared" si="5"/>
        <v>1</v>
      </c>
      <c r="Q19" s="183" t="str">
        <f t="shared" si="6"/>
        <v>×</v>
      </c>
      <c r="S19" s="410">
        <f t="shared" si="7"/>
        <v>0</v>
      </c>
      <c r="T19" s="410">
        <f t="shared" si="8"/>
        <v>0</v>
      </c>
      <c r="AJ19" s="58">
        <f t="shared" si="9"/>
        <v>0</v>
      </c>
      <c r="AK19" s="58">
        <f t="shared" si="10"/>
        <v>0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0</v>
      </c>
      <c r="F20" s="42">
        <f t="shared" si="0"/>
        <v>0</v>
      </c>
      <c r="G20" s="42">
        <f>P!AJ21</f>
        <v>0</v>
      </c>
      <c r="H20" s="42">
        <f>G20*P!AK21</f>
        <v>0</v>
      </c>
      <c r="I20" s="42">
        <f>S!E19</f>
        <v>0</v>
      </c>
      <c r="J20" s="42">
        <f>I20*S!D19</f>
        <v>0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0</v>
      </c>
      <c r="N20" s="44">
        <f t="shared" si="3"/>
        <v>0</v>
      </c>
      <c r="O20" s="44">
        <f t="shared" si="4"/>
        <v>0</v>
      </c>
      <c r="P20" s="45" t="b">
        <f t="shared" si="5"/>
        <v>1</v>
      </c>
      <c r="Q20" s="183" t="str">
        <f t="shared" si="6"/>
        <v>×</v>
      </c>
      <c r="S20" s="410">
        <f t="shared" si="7"/>
        <v>0</v>
      </c>
      <c r="T20" s="410">
        <f t="shared" si="8"/>
        <v>0</v>
      </c>
      <c r="AJ20" s="58">
        <f t="shared" si="9"/>
        <v>0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0</v>
      </c>
      <c r="F21" s="42">
        <f t="shared" si="0"/>
        <v>0</v>
      </c>
      <c r="G21" s="42">
        <f>P!AJ22</f>
        <v>0</v>
      </c>
      <c r="H21" s="42">
        <f>G21*P!AK22</f>
        <v>0</v>
      </c>
      <c r="I21" s="42">
        <f>S!E20</f>
        <v>0</v>
      </c>
      <c r="J21" s="42">
        <f>I21*S!D20</f>
        <v>0</v>
      </c>
      <c r="K21" s="42">
        <f t="shared" si="1"/>
        <v>0</v>
      </c>
      <c r="L21" s="42">
        <f t="shared" si="2"/>
        <v>0</v>
      </c>
      <c r="M21" s="43">
        <f>IF(ISERR((J21+H21)/(G21+I21)),P!AK22,(J21+H21)/(G21+I21))</f>
        <v>0</v>
      </c>
      <c r="N21" s="44">
        <f t="shared" si="3"/>
        <v>0</v>
      </c>
      <c r="O21" s="44">
        <f t="shared" si="4"/>
        <v>0</v>
      </c>
      <c r="P21" s="45" t="b">
        <f t="shared" si="5"/>
        <v>1</v>
      </c>
      <c r="Q21" s="183" t="str">
        <f t="shared" si="6"/>
        <v>×</v>
      </c>
      <c r="S21" s="410">
        <f t="shared" si="7"/>
        <v>0</v>
      </c>
      <c r="T21" s="410">
        <f t="shared" si="8"/>
        <v>0</v>
      </c>
      <c r="AJ21" s="58">
        <f t="shared" si="9"/>
        <v>0</v>
      </c>
      <c r="AK21" s="58">
        <f t="shared" si="10"/>
        <v>0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0</v>
      </c>
      <c r="F22" s="42">
        <f t="shared" si="0"/>
        <v>0</v>
      </c>
      <c r="G22" s="42">
        <f>P!AJ23</f>
        <v>0</v>
      </c>
      <c r="H22" s="42">
        <f>G22*P!AK23</f>
        <v>0</v>
      </c>
      <c r="I22" s="42">
        <f>S!E21</f>
        <v>0</v>
      </c>
      <c r="J22" s="42">
        <f>I22*S!D21</f>
        <v>0</v>
      </c>
      <c r="K22" s="42">
        <f t="shared" si="1"/>
        <v>0</v>
      </c>
      <c r="L22" s="42">
        <f t="shared" si="2"/>
        <v>0</v>
      </c>
      <c r="M22" s="43">
        <f>IF(ISERR((J22+H22)/(G22+I22)),P!AK23,(J22+H22)/(G22+I22))</f>
        <v>0</v>
      </c>
      <c r="N22" s="44">
        <f t="shared" si="3"/>
        <v>0</v>
      </c>
      <c r="O22" s="44">
        <f t="shared" si="4"/>
        <v>0</v>
      </c>
      <c r="P22" s="45" t="b">
        <f t="shared" si="5"/>
        <v>1</v>
      </c>
      <c r="Q22" s="183" t="str">
        <f t="shared" si="6"/>
        <v>×</v>
      </c>
      <c r="S22" s="410">
        <f t="shared" si="7"/>
        <v>0</v>
      </c>
      <c r="T22" s="410">
        <f t="shared" si="8"/>
        <v>0</v>
      </c>
      <c r="AJ22" s="58">
        <f t="shared" si="9"/>
        <v>0</v>
      </c>
      <c r="AK22" s="58">
        <f t="shared" si="10"/>
        <v>0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0</v>
      </c>
      <c r="F23" s="42">
        <f t="shared" si="0"/>
        <v>0</v>
      </c>
      <c r="G23" s="42">
        <f>P!AJ24</f>
        <v>0</v>
      </c>
      <c r="H23" s="42">
        <f>G23*P!AK24</f>
        <v>0</v>
      </c>
      <c r="I23" s="42">
        <f>S!E22</f>
        <v>0</v>
      </c>
      <c r="J23" s="42">
        <f>I23*S!D22</f>
        <v>0</v>
      </c>
      <c r="K23" s="42">
        <f t="shared" si="1"/>
        <v>0</v>
      </c>
      <c r="L23" s="42">
        <f t="shared" si="2"/>
        <v>0</v>
      </c>
      <c r="M23" s="43">
        <f>IF(ISERR((J23+H23)/(G23+I23)),P!AK24,(J23+H23)/(G23+I23))</f>
        <v>0</v>
      </c>
      <c r="N23" s="44">
        <f t="shared" si="3"/>
        <v>0</v>
      </c>
      <c r="O23" s="44">
        <f t="shared" si="4"/>
        <v>0</v>
      </c>
      <c r="P23" s="45" t="b">
        <f t="shared" si="5"/>
        <v>1</v>
      </c>
      <c r="Q23" s="183" t="str">
        <f t="shared" si="6"/>
        <v>×</v>
      </c>
      <c r="S23" s="410">
        <f t="shared" si="7"/>
        <v>0</v>
      </c>
      <c r="T23" s="410">
        <f t="shared" si="8"/>
        <v>0</v>
      </c>
      <c r="AJ23" s="58">
        <f t="shared" si="9"/>
        <v>0</v>
      </c>
      <c r="AK23" s="58">
        <f t="shared" si="10"/>
        <v>0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0</v>
      </c>
      <c r="T24" s="410">
        <f t="shared" si="8"/>
        <v>0</v>
      </c>
      <c r="AJ24" s="58">
        <f t="shared" si="9"/>
        <v>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0</v>
      </c>
      <c r="T25" s="410">
        <f t="shared" si="8"/>
        <v>0</v>
      </c>
      <c r="AJ25" s="58">
        <f t="shared" si="9"/>
        <v>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0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0</v>
      </c>
      <c r="T26" s="410">
        <f t="shared" si="8"/>
        <v>0</v>
      </c>
      <c r="AJ26" s="58">
        <f t="shared" si="9"/>
        <v>0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</v>
      </c>
      <c r="J28" s="42">
        <f>I28*S!D27</f>
        <v>0</v>
      </c>
      <c r="K28" s="42">
        <f t="shared" si="1"/>
        <v>0</v>
      </c>
      <c r="L28" s="42">
        <f t="shared" si="2"/>
        <v>0</v>
      </c>
      <c r="M28" s="43">
        <f>IF(ISERR((J28+H28)/(G28+I28)),P!AK29,(J28+H28)/(G28+I28))</f>
        <v>0</v>
      </c>
      <c r="N28" s="44">
        <f t="shared" si="3"/>
        <v>0</v>
      </c>
      <c r="O28" s="44">
        <f t="shared" si="4"/>
        <v>0</v>
      </c>
      <c r="P28" s="45" t="b">
        <f t="shared" si="5"/>
        <v>1</v>
      </c>
      <c r="Q28" s="183" t="str">
        <f t="shared" si="6"/>
        <v>×</v>
      </c>
      <c r="S28" s="410">
        <f t="shared" si="7"/>
        <v>0</v>
      </c>
      <c r="T28" s="410">
        <f t="shared" si="8"/>
        <v>0</v>
      </c>
      <c r="AJ28" s="58">
        <f t="shared" si="9"/>
        <v>0</v>
      </c>
      <c r="AK28" s="58">
        <f t="shared" si="10"/>
        <v>0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0</v>
      </c>
      <c r="T29" s="410">
        <f t="shared" si="8"/>
        <v>0</v>
      </c>
      <c r="AJ29" s="58">
        <f t="shared" si="9"/>
        <v>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0</v>
      </c>
      <c r="H30" s="42">
        <f>G30*P!AK31</f>
        <v>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0</v>
      </c>
      <c r="N30" s="44">
        <f t="shared" si="3"/>
        <v>0</v>
      </c>
      <c r="O30" s="44">
        <f t="shared" si="4"/>
        <v>0</v>
      </c>
      <c r="P30" s="45" t="b">
        <f t="shared" si="5"/>
        <v>1</v>
      </c>
      <c r="Q30" s="183" t="str">
        <f t="shared" si="6"/>
        <v>×</v>
      </c>
      <c r="S30" s="410">
        <f t="shared" si="7"/>
        <v>0</v>
      </c>
      <c r="T30" s="410">
        <f t="shared" si="8"/>
        <v>0</v>
      </c>
      <c r="AJ30" s="58">
        <f t="shared" si="9"/>
        <v>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0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0</v>
      </c>
      <c r="T31" s="410">
        <f t="shared" si="8"/>
        <v>0</v>
      </c>
      <c r="AJ31" s="58">
        <f t="shared" si="9"/>
        <v>0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0</v>
      </c>
      <c r="T32" s="410">
        <f t="shared" si="8"/>
        <v>0</v>
      </c>
      <c r="AJ32" s="58">
        <f t="shared" si="9"/>
        <v>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0</v>
      </c>
      <c r="T33" s="410">
        <f t="shared" si="8"/>
        <v>0</v>
      </c>
      <c r="AJ33" s="58">
        <f t="shared" si="9"/>
        <v>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0</v>
      </c>
      <c r="F35" s="42">
        <f t="shared" si="0"/>
        <v>0</v>
      </c>
      <c r="G35" s="42">
        <f>P!AJ36</f>
        <v>0</v>
      </c>
      <c r="H35" s="42">
        <f>G35*P!AK36</f>
        <v>0</v>
      </c>
      <c r="I35" s="42">
        <f>S!E34</f>
        <v>0</v>
      </c>
      <c r="J35" s="42">
        <f>I35*S!D34</f>
        <v>0</v>
      </c>
      <c r="K35" s="42">
        <f t="shared" si="1"/>
        <v>0</v>
      </c>
      <c r="L35" s="42">
        <f t="shared" si="2"/>
        <v>0</v>
      </c>
      <c r="M35" s="43">
        <f>IF(ISERR((J35+H35)/(G35+I35)),P!AK36,(J35+H35)/(G35+I35))</f>
        <v>0</v>
      </c>
      <c r="N35" s="44">
        <f t="shared" si="3"/>
        <v>0</v>
      </c>
      <c r="O35" s="44">
        <f t="shared" si="4"/>
        <v>0</v>
      </c>
      <c r="P35" s="45" t="b">
        <f t="shared" si="5"/>
        <v>1</v>
      </c>
      <c r="Q35" s="183" t="str">
        <f t="shared" si="6"/>
        <v>×</v>
      </c>
      <c r="S35" s="410">
        <f t="shared" si="7"/>
        <v>0</v>
      </c>
      <c r="T35" s="410">
        <f t="shared" si="8"/>
        <v>0</v>
      </c>
      <c r="AJ35" s="58">
        <f t="shared" si="9"/>
        <v>0</v>
      </c>
      <c r="AK35" s="58">
        <f t="shared" si="10"/>
        <v>0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0</v>
      </c>
      <c r="J36" s="42">
        <f>I36*S!D35</f>
        <v>0</v>
      </c>
      <c r="K36" s="42">
        <f t="shared" si="1"/>
        <v>0</v>
      </c>
      <c r="L36" s="42">
        <f t="shared" si="2"/>
        <v>0</v>
      </c>
      <c r="M36" s="43">
        <f>IF(ISERR((J36+H36)/(G36+I36)),P!AK37,(J36+H36)/(G36+I36))</f>
        <v>0</v>
      </c>
      <c r="N36" s="44">
        <f t="shared" si="3"/>
        <v>0</v>
      </c>
      <c r="O36" s="44">
        <f t="shared" si="4"/>
        <v>0</v>
      </c>
      <c r="P36" s="45" t="b">
        <f t="shared" si="5"/>
        <v>1</v>
      </c>
      <c r="Q36" s="183" t="str">
        <f t="shared" si="6"/>
        <v>×</v>
      </c>
      <c r="S36" s="410">
        <f t="shared" si="7"/>
        <v>0</v>
      </c>
      <c r="T36" s="410">
        <f t="shared" si="8"/>
        <v>0</v>
      </c>
      <c r="AJ36" s="58">
        <f t="shared" si="9"/>
        <v>0</v>
      </c>
      <c r="AK36" s="58">
        <f t="shared" si="10"/>
        <v>0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0</v>
      </c>
      <c r="J37" s="42">
        <f>I37*S!D36</f>
        <v>0</v>
      </c>
      <c r="K37" s="42">
        <f t="shared" si="1"/>
        <v>0</v>
      </c>
      <c r="L37" s="42">
        <f t="shared" si="2"/>
        <v>0</v>
      </c>
      <c r="M37" s="43">
        <f>IF(ISERR((J37+H37)/(G37+I37)),P!AK38,(J37+H37)/(G37+I37))</f>
        <v>0</v>
      </c>
      <c r="N37" s="44">
        <f t="shared" si="3"/>
        <v>0</v>
      </c>
      <c r="O37" s="44">
        <f t="shared" si="4"/>
        <v>0</v>
      </c>
      <c r="P37" s="45" t="b">
        <f t="shared" si="5"/>
        <v>1</v>
      </c>
      <c r="Q37" s="183" t="str">
        <f t="shared" si="6"/>
        <v>×</v>
      </c>
      <c r="S37" s="410">
        <f t="shared" si="7"/>
        <v>0</v>
      </c>
      <c r="T37" s="410">
        <f t="shared" si="8"/>
        <v>0</v>
      </c>
      <c r="AJ37" s="58">
        <f t="shared" si="9"/>
        <v>0</v>
      </c>
      <c r="AK37" s="58">
        <f t="shared" si="10"/>
        <v>0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</v>
      </c>
      <c r="F39" s="42">
        <f t="shared" si="0"/>
        <v>0</v>
      </c>
      <c r="G39" s="42">
        <f>P!AJ40</f>
        <v>0</v>
      </c>
      <c r="H39" s="42">
        <f>G39*P!AK40</f>
        <v>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0</v>
      </c>
      <c r="N39" s="44">
        <f t="shared" si="3"/>
        <v>0</v>
      </c>
      <c r="O39" s="44">
        <f t="shared" si="4"/>
        <v>0</v>
      </c>
      <c r="P39" s="45" t="b">
        <f t="shared" si="5"/>
        <v>1</v>
      </c>
      <c r="Q39" s="183" t="str">
        <f t="shared" si="6"/>
        <v>×</v>
      </c>
      <c r="S39" s="410">
        <f t="shared" si="7"/>
        <v>0</v>
      </c>
      <c r="T39" s="410">
        <f t="shared" si="8"/>
        <v>0</v>
      </c>
      <c r="AJ39" s="58">
        <f t="shared" si="9"/>
        <v>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0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0</v>
      </c>
      <c r="T40" s="410">
        <f t="shared" si="8"/>
        <v>0</v>
      </c>
      <c r="AJ40" s="58">
        <f t="shared" si="9"/>
        <v>0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0</v>
      </c>
      <c r="F41" s="42">
        <f t="shared" si="0"/>
        <v>0</v>
      </c>
      <c r="G41" s="42">
        <f>P!AJ42</f>
        <v>0</v>
      </c>
      <c r="H41" s="42">
        <f>G41*P!AK42</f>
        <v>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0</v>
      </c>
      <c r="N41" s="44">
        <f t="shared" si="3"/>
        <v>0</v>
      </c>
      <c r="O41" s="44">
        <f t="shared" si="4"/>
        <v>0</v>
      </c>
      <c r="P41" s="45" t="b">
        <f t="shared" si="5"/>
        <v>1</v>
      </c>
      <c r="Q41" s="183" t="str">
        <f t="shared" si="6"/>
        <v>×</v>
      </c>
      <c r="S41" s="410">
        <f t="shared" si="7"/>
        <v>0</v>
      </c>
      <c r="T41" s="410">
        <f t="shared" si="8"/>
        <v>0</v>
      </c>
      <c r="AJ41" s="58">
        <f t="shared" si="9"/>
        <v>0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0</v>
      </c>
      <c r="J42" s="42">
        <f>I42*S!D41</f>
        <v>0</v>
      </c>
      <c r="K42" s="42">
        <f t="shared" si="1"/>
        <v>0</v>
      </c>
      <c r="L42" s="42">
        <f t="shared" si="2"/>
        <v>0</v>
      </c>
      <c r="M42" s="43">
        <f>IF(ISERR((J42+H42)/(G42+I42)),P!AK43,(J42+H42)/(G42+I42))</f>
        <v>0</v>
      </c>
      <c r="N42" s="44">
        <f t="shared" si="3"/>
        <v>0</v>
      </c>
      <c r="O42" s="44">
        <f t="shared" si="4"/>
        <v>0</v>
      </c>
      <c r="P42" s="45" t="b">
        <f t="shared" si="5"/>
        <v>1</v>
      </c>
      <c r="Q42" s="183" t="str">
        <f t="shared" si="6"/>
        <v>×</v>
      </c>
      <c r="S42" s="410">
        <f t="shared" si="7"/>
        <v>0</v>
      </c>
      <c r="T42" s="410">
        <f t="shared" si="8"/>
        <v>0</v>
      </c>
      <c r="AJ42" s="58">
        <f t="shared" si="9"/>
        <v>0</v>
      </c>
      <c r="AK42" s="58">
        <f t="shared" si="10"/>
        <v>0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0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0</v>
      </c>
      <c r="T43" s="410">
        <f t="shared" si="8"/>
        <v>0</v>
      </c>
      <c r="AJ43" s="58">
        <f t="shared" si="9"/>
        <v>0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</v>
      </c>
      <c r="T44" s="410">
        <f t="shared" si="8"/>
        <v>0</v>
      </c>
      <c r="AJ44" s="58">
        <f t="shared" si="9"/>
        <v>0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0</v>
      </c>
      <c r="T45" s="410">
        <f t="shared" si="8"/>
        <v>0</v>
      </c>
      <c r="AJ45" s="58">
        <f t="shared" si="9"/>
        <v>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0</v>
      </c>
      <c r="F46" s="42">
        <f t="shared" si="0"/>
        <v>0</v>
      </c>
      <c r="G46" s="42">
        <f>P!AJ47</f>
        <v>0</v>
      </c>
      <c r="H46" s="42">
        <f>G46*P!AK47</f>
        <v>0</v>
      </c>
      <c r="I46" s="42">
        <f>S!E45</f>
        <v>0</v>
      </c>
      <c r="J46" s="42">
        <f>I46*S!D45</f>
        <v>0</v>
      </c>
      <c r="K46" s="42">
        <f t="shared" si="1"/>
        <v>0</v>
      </c>
      <c r="L46" s="42">
        <f t="shared" si="2"/>
        <v>0</v>
      </c>
      <c r="M46" s="43">
        <f>IF(ISERR((J46+H46)/(G46+I46)),P!AK47,(J46+H46)/(G46+I46))</f>
        <v>0</v>
      </c>
      <c r="N46" s="44">
        <f t="shared" si="3"/>
        <v>0</v>
      </c>
      <c r="O46" s="44">
        <f t="shared" si="4"/>
        <v>0</v>
      </c>
      <c r="P46" s="45" t="b">
        <f t="shared" si="5"/>
        <v>1</v>
      </c>
      <c r="Q46" s="183" t="str">
        <f t="shared" si="6"/>
        <v>×</v>
      </c>
      <c r="S46" s="410">
        <f t="shared" si="7"/>
        <v>0</v>
      </c>
      <c r="T46" s="410">
        <f t="shared" si="8"/>
        <v>0</v>
      </c>
      <c r="AJ46" s="58">
        <f t="shared" si="9"/>
        <v>0</v>
      </c>
      <c r="AK46" s="58">
        <f t="shared" si="10"/>
        <v>0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0</v>
      </c>
      <c r="J47" s="42">
        <f>I47*S!D46</f>
        <v>0</v>
      </c>
      <c r="K47" s="42">
        <f t="shared" si="1"/>
        <v>0</v>
      </c>
      <c r="L47" s="42">
        <f t="shared" si="2"/>
        <v>0</v>
      </c>
      <c r="M47" s="43">
        <f>IF(ISERR((J47+H47)/(G47+I47)),P!AK48,(J47+H47)/(G47+I47))</f>
        <v>0</v>
      </c>
      <c r="N47" s="44">
        <f t="shared" si="3"/>
        <v>0</v>
      </c>
      <c r="O47" s="44">
        <f t="shared" si="4"/>
        <v>0</v>
      </c>
      <c r="P47" s="45" t="b">
        <f t="shared" si="5"/>
        <v>1</v>
      </c>
      <c r="Q47" s="183" t="str">
        <f t="shared" si="6"/>
        <v>×</v>
      </c>
      <c r="S47" s="410">
        <f t="shared" si="7"/>
        <v>0</v>
      </c>
      <c r="T47" s="410">
        <f t="shared" si="8"/>
        <v>0</v>
      </c>
      <c r="AJ47" s="58">
        <f t="shared" si="9"/>
        <v>0</v>
      </c>
      <c r="AK47" s="58">
        <f t="shared" si="10"/>
        <v>0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0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0</v>
      </c>
      <c r="T48" s="410">
        <f t="shared" si="8"/>
        <v>0</v>
      </c>
      <c r="AJ48" s="58">
        <f t="shared" si="9"/>
        <v>0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0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0</v>
      </c>
      <c r="T49" s="410">
        <f t="shared" si="8"/>
        <v>0</v>
      </c>
      <c r="AJ49" s="58">
        <f t="shared" si="9"/>
        <v>0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0</v>
      </c>
      <c r="H51" s="42">
        <f>G51*P!AK52</f>
        <v>0</v>
      </c>
      <c r="I51" s="42">
        <f>S!E50</f>
        <v>0</v>
      </c>
      <c r="J51" s="42">
        <f>I51*S!D50</f>
        <v>0</v>
      </c>
      <c r="K51" s="42">
        <f t="shared" si="1"/>
        <v>0</v>
      </c>
      <c r="L51" s="42">
        <f t="shared" si="2"/>
        <v>0</v>
      </c>
      <c r="M51" s="43">
        <f>IF(ISERR((J51+H51)/(G51+I51)),P!AK52,(J51+H51)/(G51+I51))</f>
        <v>0</v>
      </c>
      <c r="N51" s="44">
        <f t="shared" si="3"/>
        <v>0</v>
      </c>
      <c r="O51" s="44">
        <f t="shared" si="4"/>
        <v>0</v>
      </c>
      <c r="P51" s="45" t="b">
        <f t="shared" si="5"/>
        <v>1</v>
      </c>
      <c r="Q51" s="183" t="str">
        <f t="shared" si="6"/>
        <v>×</v>
      </c>
      <c r="S51" s="410">
        <f t="shared" si="7"/>
        <v>0</v>
      </c>
      <c r="T51" s="410">
        <f t="shared" si="8"/>
        <v>0</v>
      </c>
      <c r="AJ51" s="58">
        <f t="shared" si="9"/>
        <v>0</v>
      </c>
      <c r="AK51" s="58">
        <f t="shared" si="10"/>
        <v>0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0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0</v>
      </c>
      <c r="T52" s="410">
        <f t="shared" si="8"/>
        <v>0</v>
      </c>
      <c r="AJ52" s="58">
        <f t="shared" si="9"/>
        <v>0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0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0</v>
      </c>
      <c r="T53" s="410">
        <f t="shared" si="8"/>
        <v>0</v>
      </c>
      <c r="AJ53" s="58">
        <f t="shared" si="9"/>
        <v>0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0</v>
      </c>
      <c r="J54" s="42">
        <f>I54*S!D53</f>
        <v>0</v>
      </c>
      <c r="K54" s="42">
        <f t="shared" si="1"/>
        <v>0</v>
      </c>
      <c r="L54" s="42">
        <f t="shared" si="2"/>
        <v>0</v>
      </c>
      <c r="M54" s="43">
        <f>IF(ISERR((J54+H54)/(G54+I54)),P!AK55,(J54+H54)/(G54+I54))</f>
        <v>0</v>
      </c>
      <c r="N54" s="44">
        <f t="shared" si="3"/>
        <v>0</v>
      </c>
      <c r="O54" s="44">
        <f t="shared" si="4"/>
        <v>0</v>
      </c>
      <c r="P54" s="45" t="b">
        <f t="shared" si="5"/>
        <v>1</v>
      </c>
      <c r="Q54" s="183" t="str">
        <f t="shared" si="6"/>
        <v>×</v>
      </c>
      <c r="S54" s="410">
        <f t="shared" si="7"/>
        <v>0</v>
      </c>
      <c r="T54" s="410">
        <f t="shared" si="8"/>
        <v>0</v>
      </c>
      <c r="AJ54" s="58">
        <f t="shared" si="9"/>
        <v>0</v>
      </c>
      <c r="AK54" s="58">
        <f t="shared" si="10"/>
        <v>0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0</v>
      </c>
      <c r="H55" s="42">
        <f>G55*P!AK56</f>
        <v>0</v>
      </c>
      <c r="I55" s="42">
        <f>S!E54</f>
        <v>0</v>
      </c>
      <c r="J55" s="42">
        <f>I55*S!D54</f>
        <v>0</v>
      </c>
      <c r="K55" s="42">
        <f t="shared" si="1"/>
        <v>0</v>
      </c>
      <c r="L55" s="42">
        <f t="shared" si="2"/>
        <v>0</v>
      </c>
      <c r="M55" s="43">
        <f>IF(ISERR((J55+H55)/(G55+I55)),P!AK56,(J55+H55)/(G55+I55))</f>
        <v>0</v>
      </c>
      <c r="N55" s="44">
        <f t="shared" si="3"/>
        <v>0</v>
      </c>
      <c r="O55" s="44">
        <f t="shared" si="4"/>
        <v>0</v>
      </c>
      <c r="P55" s="45" t="b">
        <f t="shared" si="5"/>
        <v>1</v>
      </c>
      <c r="Q55" s="183" t="str">
        <f t="shared" si="6"/>
        <v>×</v>
      </c>
      <c r="S55" s="410">
        <f t="shared" si="7"/>
        <v>0</v>
      </c>
      <c r="T55" s="410">
        <f t="shared" si="8"/>
        <v>0</v>
      </c>
      <c r="AJ55" s="58">
        <f t="shared" si="9"/>
        <v>0</v>
      </c>
      <c r="AK55" s="58">
        <f t="shared" si="10"/>
        <v>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0</v>
      </c>
      <c r="H56" s="42">
        <f>G56*P!AK57</f>
        <v>0</v>
      </c>
      <c r="I56" s="42">
        <f>S!E55</f>
        <v>0</v>
      </c>
      <c r="J56" s="42">
        <f>I56*S!D55</f>
        <v>0</v>
      </c>
      <c r="K56" s="42">
        <f t="shared" si="1"/>
        <v>0</v>
      </c>
      <c r="L56" s="42">
        <f t="shared" si="2"/>
        <v>0</v>
      </c>
      <c r="M56" s="43">
        <f>IF(ISERR((J56+H56)/(G56+I56)),P!AK57,(J56+H56)/(G56+I56))</f>
        <v>0</v>
      </c>
      <c r="N56" s="44">
        <f t="shared" si="3"/>
        <v>0</v>
      </c>
      <c r="O56" s="44">
        <f t="shared" si="4"/>
        <v>0</v>
      </c>
      <c r="P56" s="45" t="b">
        <f t="shared" si="5"/>
        <v>1</v>
      </c>
      <c r="Q56" s="183" t="str">
        <f t="shared" si="6"/>
        <v>×</v>
      </c>
      <c r="S56" s="410">
        <f t="shared" si="7"/>
        <v>0</v>
      </c>
      <c r="T56" s="410">
        <f t="shared" si="8"/>
        <v>0</v>
      </c>
      <c r="AJ56" s="58">
        <f t="shared" si="9"/>
        <v>0</v>
      </c>
      <c r="AK56" s="58">
        <f t="shared" si="10"/>
        <v>0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0</v>
      </c>
      <c r="F57" s="42">
        <f t="shared" si="0"/>
        <v>0</v>
      </c>
      <c r="G57" s="42">
        <f>P!AJ58</f>
        <v>0</v>
      </c>
      <c r="H57" s="42">
        <f>G57*P!AK58</f>
        <v>0</v>
      </c>
      <c r="I57" s="42">
        <f>S!E56</f>
        <v>0</v>
      </c>
      <c r="J57" s="42">
        <f>I57*S!D56</f>
        <v>0</v>
      </c>
      <c r="K57" s="42">
        <f t="shared" si="1"/>
        <v>0</v>
      </c>
      <c r="L57" s="42">
        <f t="shared" si="2"/>
        <v>0</v>
      </c>
      <c r="M57" s="43">
        <f>IF(ISERR((J57+H57)/(G57+I57)),P!AK58,(J57+H57)/(G57+I57))</f>
        <v>0</v>
      </c>
      <c r="N57" s="44">
        <f t="shared" si="3"/>
        <v>0</v>
      </c>
      <c r="O57" s="44">
        <f t="shared" si="4"/>
        <v>0</v>
      </c>
      <c r="P57" s="45" t="b">
        <f t="shared" si="5"/>
        <v>1</v>
      </c>
      <c r="Q57" s="183" t="str">
        <f t="shared" si="6"/>
        <v>×</v>
      </c>
      <c r="S57" s="410">
        <f t="shared" si="7"/>
        <v>0</v>
      </c>
      <c r="T57" s="410">
        <f t="shared" si="8"/>
        <v>0</v>
      </c>
      <c r="AJ57" s="58">
        <f t="shared" si="9"/>
        <v>0</v>
      </c>
      <c r="AK57" s="58">
        <f t="shared" si="10"/>
        <v>0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</v>
      </c>
      <c r="J58" s="42">
        <f>I58*S!D57</f>
        <v>0</v>
      </c>
      <c r="K58" s="42">
        <f t="shared" si="1"/>
        <v>0</v>
      </c>
      <c r="L58" s="42">
        <f t="shared" si="2"/>
        <v>0</v>
      </c>
      <c r="M58" s="43">
        <f>IF(ISERR((J58+H58)/(G58+I58)),P!AK59,(J58+H58)/(G58+I58))</f>
        <v>0</v>
      </c>
      <c r="N58" s="44">
        <f t="shared" si="3"/>
        <v>0</v>
      </c>
      <c r="O58" s="44">
        <f t="shared" si="4"/>
        <v>0</v>
      </c>
      <c r="P58" s="45" t="b">
        <f t="shared" si="5"/>
        <v>1</v>
      </c>
      <c r="Q58" s="183" t="str">
        <f t="shared" si="6"/>
        <v>×</v>
      </c>
      <c r="S58" s="410">
        <f t="shared" si="7"/>
        <v>0</v>
      </c>
      <c r="T58" s="410">
        <f t="shared" si="8"/>
        <v>0</v>
      </c>
      <c r="AJ58" s="58">
        <f t="shared" si="9"/>
        <v>0</v>
      </c>
      <c r="AK58" s="58">
        <f t="shared" si="10"/>
        <v>0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0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0</v>
      </c>
      <c r="T59" s="410">
        <f t="shared" si="8"/>
        <v>0</v>
      </c>
      <c r="AJ59" s="58">
        <f t="shared" si="9"/>
        <v>0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0</v>
      </c>
      <c r="T60" s="410">
        <f t="shared" si="8"/>
        <v>0</v>
      </c>
      <c r="AJ60" s="58">
        <f t="shared" si="9"/>
        <v>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0</v>
      </c>
      <c r="F61" s="42">
        <f t="shared" si="0"/>
        <v>0</v>
      </c>
      <c r="G61" s="42">
        <f>P!AJ62</f>
        <v>0</v>
      </c>
      <c r="H61" s="42">
        <f>G61*P!AK62</f>
        <v>0</v>
      </c>
      <c r="I61" s="42">
        <f>S!E60</f>
        <v>0</v>
      </c>
      <c r="J61" s="42">
        <f>I61*S!D60</f>
        <v>0</v>
      </c>
      <c r="K61" s="42">
        <f t="shared" si="1"/>
        <v>0</v>
      </c>
      <c r="L61" s="42">
        <f t="shared" si="2"/>
        <v>0</v>
      </c>
      <c r="M61" s="43">
        <f>IF(ISERR((J61+H61)/(G61+I61)),P!AK62,(J61+H61)/(G61+I61))</f>
        <v>0</v>
      </c>
      <c r="N61" s="44">
        <f t="shared" si="3"/>
        <v>0</v>
      </c>
      <c r="O61" s="44">
        <f t="shared" si="4"/>
        <v>0</v>
      </c>
      <c r="P61" s="45" t="b">
        <f t="shared" si="5"/>
        <v>1</v>
      </c>
      <c r="Q61" s="183" t="str">
        <f t="shared" si="6"/>
        <v>×</v>
      </c>
      <c r="S61" s="410">
        <f t="shared" si="7"/>
        <v>0</v>
      </c>
      <c r="T61" s="410">
        <f t="shared" si="8"/>
        <v>0</v>
      </c>
      <c r="AJ61" s="58">
        <f t="shared" si="9"/>
        <v>0</v>
      </c>
      <c r="AK61" s="58">
        <f t="shared" si="10"/>
        <v>0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</v>
      </c>
      <c r="F62" s="42">
        <f t="shared" si="0"/>
        <v>0</v>
      </c>
      <c r="G62" s="42">
        <f>P!AJ63</f>
        <v>0</v>
      </c>
      <c r="H62" s="42">
        <f>G62*P!AK63</f>
        <v>0</v>
      </c>
      <c r="I62" s="42">
        <f>S!E61</f>
        <v>0</v>
      </c>
      <c r="J62" s="42">
        <f>I62*S!D61</f>
        <v>0</v>
      </c>
      <c r="K62" s="42">
        <f t="shared" si="1"/>
        <v>0</v>
      </c>
      <c r="L62" s="42">
        <f t="shared" si="2"/>
        <v>0</v>
      </c>
      <c r="M62" s="43">
        <f>IF(ISERR((J62+H62)/(G62+I62)),P!AK63,(J62+H62)/(G62+I62))</f>
        <v>0</v>
      </c>
      <c r="N62" s="44">
        <f t="shared" si="3"/>
        <v>0</v>
      </c>
      <c r="O62" s="44">
        <f t="shared" si="4"/>
        <v>0</v>
      </c>
      <c r="P62" s="45" t="b">
        <f t="shared" si="5"/>
        <v>1</v>
      </c>
      <c r="Q62" s="183" t="str">
        <f t="shared" si="6"/>
        <v>×</v>
      </c>
      <c r="S62" s="410">
        <f t="shared" si="7"/>
        <v>0</v>
      </c>
      <c r="T62" s="410">
        <f t="shared" si="8"/>
        <v>0</v>
      </c>
      <c r="AJ62" s="58">
        <f t="shared" si="9"/>
        <v>0</v>
      </c>
      <c r="AK62" s="58">
        <f t="shared" si="10"/>
        <v>0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0</v>
      </c>
      <c r="F63" s="42">
        <f t="shared" si="0"/>
        <v>0</v>
      </c>
      <c r="G63" s="42">
        <f>P!AJ64</f>
        <v>0</v>
      </c>
      <c r="H63" s="42">
        <f>G63*P!AK64</f>
        <v>0</v>
      </c>
      <c r="I63" s="42">
        <f>S!E62</f>
        <v>0</v>
      </c>
      <c r="J63" s="42">
        <f>I63*S!D62</f>
        <v>0</v>
      </c>
      <c r="K63" s="42">
        <f t="shared" si="1"/>
        <v>0</v>
      </c>
      <c r="L63" s="42">
        <f t="shared" si="2"/>
        <v>0</v>
      </c>
      <c r="M63" s="43">
        <f>IF(ISERR((J63+H63)/(G63+I63)),P!AK64,(J63+H63)/(G63+I63))</f>
        <v>0</v>
      </c>
      <c r="N63" s="44">
        <f t="shared" si="3"/>
        <v>0</v>
      </c>
      <c r="O63" s="44">
        <f t="shared" si="4"/>
        <v>0</v>
      </c>
      <c r="P63" s="45" t="b">
        <f t="shared" si="5"/>
        <v>1</v>
      </c>
      <c r="Q63" s="183" t="str">
        <f t="shared" si="6"/>
        <v>×</v>
      </c>
      <c r="S63" s="410">
        <f t="shared" si="7"/>
        <v>0</v>
      </c>
      <c r="T63" s="410">
        <f t="shared" si="8"/>
        <v>0</v>
      </c>
      <c r="AJ63" s="58">
        <f t="shared" si="9"/>
        <v>0</v>
      </c>
      <c r="AK63" s="58">
        <f t="shared" si="10"/>
        <v>0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</v>
      </c>
      <c r="F64" s="42">
        <f t="shared" si="0"/>
        <v>0</v>
      </c>
      <c r="G64" s="42">
        <f>P!AJ65</f>
        <v>0</v>
      </c>
      <c r="H64" s="42">
        <f>G64*P!AK65</f>
        <v>0</v>
      </c>
      <c r="I64" s="42">
        <f>S!E63</f>
        <v>0</v>
      </c>
      <c r="J64" s="42">
        <f>I64*S!D63</f>
        <v>0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0</v>
      </c>
      <c r="N64" s="44">
        <f t="shared" si="3"/>
        <v>0</v>
      </c>
      <c r="O64" s="44">
        <f t="shared" si="4"/>
        <v>0</v>
      </c>
      <c r="P64" s="45" t="b">
        <f t="shared" si="5"/>
        <v>1</v>
      </c>
      <c r="Q64" s="183" t="str">
        <f t="shared" si="6"/>
        <v>×</v>
      </c>
      <c r="S64" s="410">
        <f t="shared" si="7"/>
        <v>0</v>
      </c>
      <c r="T64" s="410">
        <f t="shared" si="8"/>
        <v>0</v>
      </c>
      <c r="AJ64" s="58">
        <f t="shared" si="9"/>
        <v>0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0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0</v>
      </c>
      <c r="T65" s="410">
        <f t="shared" si="8"/>
        <v>0</v>
      </c>
      <c r="AJ65" s="58">
        <f t="shared" si="9"/>
        <v>0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</v>
      </c>
      <c r="F66" s="42">
        <f t="shared" si="0"/>
        <v>0</v>
      </c>
      <c r="G66" s="42">
        <f>P!AJ67</f>
        <v>0</v>
      </c>
      <c r="H66" s="42">
        <f>G66*P!AK67</f>
        <v>0</v>
      </c>
      <c r="I66" s="42">
        <f>S!E65</f>
        <v>0</v>
      </c>
      <c r="J66" s="42">
        <f>I66*S!D65</f>
        <v>0</v>
      </c>
      <c r="K66" s="42">
        <f t="shared" si="1"/>
        <v>0</v>
      </c>
      <c r="L66" s="42">
        <f t="shared" si="2"/>
        <v>0</v>
      </c>
      <c r="M66" s="43">
        <f>IF(ISERR((J66+H66)/(G66+I66)),P!AK67,(J66+H66)/(G66+I66))</f>
        <v>0</v>
      </c>
      <c r="N66" s="44">
        <f t="shared" si="3"/>
        <v>0</v>
      </c>
      <c r="O66" s="44">
        <f t="shared" si="4"/>
        <v>0</v>
      </c>
      <c r="P66" s="45" t="b">
        <f t="shared" si="5"/>
        <v>1</v>
      </c>
      <c r="Q66" s="183" t="str">
        <f t="shared" si="6"/>
        <v>×</v>
      </c>
      <c r="S66" s="410">
        <f t="shared" si="7"/>
        <v>0</v>
      </c>
      <c r="T66" s="410">
        <f t="shared" si="8"/>
        <v>0</v>
      </c>
      <c r="AJ66" s="58">
        <f t="shared" si="9"/>
        <v>0</v>
      </c>
      <c r="AK66" s="58">
        <f t="shared" si="10"/>
        <v>0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0</v>
      </c>
      <c r="H67" s="42">
        <f>G67*P!AK68</f>
        <v>0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0</v>
      </c>
      <c r="N67" s="44">
        <f t="shared" si="3"/>
        <v>0</v>
      </c>
      <c r="O67" s="44">
        <f t="shared" si="4"/>
        <v>0</v>
      </c>
      <c r="P67" s="45" t="b">
        <f t="shared" si="5"/>
        <v>1</v>
      </c>
      <c r="Q67" s="183" t="str">
        <f t="shared" si="6"/>
        <v>×</v>
      </c>
      <c r="S67" s="410">
        <f t="shared" si="7"/>
        <v>0</v>
      </c>
      <c r="T67" s="410">
        <f t="shared" si="8"/>
        <v>0</v>
      </c>
      <c r="AJ67" s="58">
        <f t="shared" si="9"/>
        <v>0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0</v>
      </c>
      <c r="H68" s="42">
        <f>G68*P!AK69</f>
        <v>0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0</v>
      </c>
      <c r="N68" s="44">
        <f t="shared" si="3"/>
        <v>0</v>
      </c>
      <c r="O68" s="44">
        <f t="shared" si="4"/>
        <v>0</v>
      </c>
      <c r="P68" s="45" t="b">
        <f t="shared" si="5"/>
        <v>1</v>
      </c>
      <c r="Q68" s="183" t="str">
        <f t="shared" si="6"/>
        <v>×</v>
      </c>
      <c r="S68" s="410">
        <f t="shared" si="7"/>
        <v>0</v>
      </c>
      <c r="T68" s="410">
        <f t="shared" si="8"/>
        <v>0</v>
      </c>
      <c r="AJ68" s="58">
        <f t="shared" si="9"/>
        <v>0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</v>
      </c>
      <c r="F69" s="42">
        <f t="shared" ref="F69:F132" si="11">E69*M69</f>
        <v>0</v>
      </c>
      <c r="G69" s="42">
        <f>P!AJ70</f>
        <v>0</v>
      </c>
      <c r="H69" s="42">
        <f>G69*P!AK70</f>
        <v>0</v>
      </c>
      <c r="I69" s="42">
        <f>S!E68</f>
        <v>0</v>
      </c>
      <c r="J69" s="42">
        <f>I69*S!D68</f>
        <v>0</v>
      </c>
      <c r="K69" s="42">
        <f t="shared" ref="K69:K132" si="12">(G69+I69)-E69</f>
        <v>0</v>
      </c>
      <c r="L69" s="42">
        <f t="shared" ref="L69:L132" si="13">K69*M69</f>
        <v>0</v>
      </c>
      <c r="M69" s="43">
        <f>IF(ISERR((J69+H69)/(G69+I69)),P!AK70,(J69+H69)/(G69+I69))</f>
        <v>0</v>
      </c>
      <c r="N69" s="44">
        <f t="shared" ref="N69:N132" si="14">J69+H69</f>
        <v>0</v>
      </c>
      <c r="O69" s="44">
        <f t="shared" ref="O69:O132" si="15">L69+F69</f>
        <v>0</v>
      </c>
      <c r="P69" s="45" t="b">
        <f t="shared" ref="P69:P132" si="16">ROUND(N69,2)=ROUND(O69,2)</f>
        <v>1</v>
      </c>
      <c r="Q69" s="183" t="str">
        <f t="shared" ref="Q69:Q132" si="17">IF(AND(F69=0,L69=0),"×","OK")</f>
        <v>×</v>
      </c>
      <c r="S69" s="410">
        <f t="shared" ref="S69:S132" si="18">M69</f>
        <v>0</v>
      </c>
      <c r="T69" s="410">
        <f t="shared" ref="T69:T132" si="19">K69</f>
        <v>0</v>
      </c>
      <c r="AJ69" s="58">
        <f t="shared" ref="AJ69:AJ132" si="20">M69</f>
        <v>0</v>
      </c>
      <c r="AK69" s="58">
        <f t="shared" ref="AK69:AK132" si="21">K69</f>
        <v>0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</v>
      </c>
      <c r="F70" s="42">
        <f t="shared" si="11"/>
        <v>0</v>
      </c>
      <c r="G70" s="42">
        <f>P!AJ71</f>
        <v>0</v>
      </c>
      <c r="H70" s="42">
        <f>G70*P!AK71</f>
        <v>0</v>
      </c>
      <c r="I70" s="42">
        <f>S!E69</f>
        <v>0</v>
      </c>
      <c r="J70" s="42">
        <f>I70*S!D69</f>
        <v>0</v>
      </c>
      <c r="K70" s="42">
        <f t="shared" si="12"/>
        <v>0</v>
      </c>
      <c r="L70" s="42">
        <f t="shared" si="13"/>
        <v>0</v>
      </c>
      <c r="M70" s="43">
        <f>IF(ISERR((J70+H70)/(G70+I70)),P!AK71,(J70+H70)/(G70+I70))</f>
        <v>0</v>
      </c>
      <c r="N70" s="44">
        <f t="shared" si="14"/>
        <v>0</v>
      </c>
      <c r="O70" s="44">
        <f t="shared" si="15"/>
        <v>0</v>
      </c>
      <c r="P70" s="45" t="b">
        <f t="shared" si="16"/>
        <v>1</v>
      </c>
      <c r="Q70" s="183" t="str">
        <f t="shared" si="17"/>
        <v>×</v>
      </c>
      <c r="S70" s="410">
        <f t="shared" si="18"/>
        <v>0</v>
      </c>
      <c r="T70" s="410">
        <f t="shared" si="19"/>
        <v>0</v>
      </c>
      <c r="AJ70" s="58">
        <f t="shared" si="20"/>
        <v>0</v>
      </c>
      <c r="AK70" s="58">
        <f t="shared" si="21"/>
        <v>0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</v>
      </c>
      <c r="F71" s="42">
        <f t="shared" si="11"/>
        <v>0</v>
      </c>
      <c r="G71" s="42">
        <f>P!AJ72</f>
        <v>0</v>
      </c>
      <c r="H71" s="42">
        <f>G71*P!AK72</f>
        <v>0</v>
      </c>
      <c r="I71" s="42">
        <f>S!E70</f>
        <v>0</v>
      </c>
      <c r="J71" s="42">
        <f>I71*S!D70</f>
        <v>0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0</v>
      </c>
      <c r="N71" s="44">
        <f t="shared" si="14"/>
        <v>0</v>
      </c>
      <c r="O71" s="44">
        <f t="shared" si="15"/>
        <v>0</v>
      </c>
      <c r="P71" s="45" t="b">
        <f t="shared" si="16"/>
        <v>1</v>
      </c>
      <c r="Q71" s="183" t="str">
        <f t="shared" si="17"/>
        <v>×</v>
      </c>
      <c r="S71" s="410">
        <f t="shared" si="18"/>
        <v>0</v>
      </c>
      <c r="T71" s="410">
        <f t="shared" si="19"/>
        <v>0</v>
      </c>
      <c r="AJ71" s="58">
        <f t="shared" si="20"/>
        <v>0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0</v>
      </c>
      <c r="J72" s="42">
        <f>I72*S!D71</f>
        <v>0</v>
      </c>
      <c r="K72" s="42">
        <f t="shared" si="12"/>
        <v>0</v>
      </c>
      <c r="L72" s="42">
        <f t="shared" si="13"/>
        <v>0</v>
      </c>
      <c r="M72" s="43">
        <f>IF(ISERR((J72+H72)/(G72+I72)),P!AK73,(J72+H72)/(G72+I72))</f>
        <v>0</v>
      </c>
      <c r="N72" s="44">
        <f t="shared" si="14"/>
        <v>0</v>
      </c>
      <c r="O72" s="44">
        <f t="shared" si="15"/>
        <v>0</v>
      </c>
      <c r="P72" s="45" t="b">
        <f t="shared" si="16"/>
        <v>1</v>
      </c>
      <c r="Q72" s="183" t="str">
        <f t="shared" si="17"/>
        <v>×</v>
      </c>
      <c r="S72" s="410">
        <f t="shared" si="18"/>
        <v>0</v>
      </c>
      <c r="T72" s="410">
        <f t="shared" si="19"/>
        <v>0</v>
      </c>
      <c r="AJ72" s="58">
        <f t="shared" si="20"/>
        <v>0</v>
      </c>
      <c r="AK72" s="58">
        <f t="shared" si="21"/>
        <v>0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</v>
      </c>
      <c r="F73" s="42">
        <f t="shared" si="11"/>
        <v>0</v>
      </c>
      <c r="G73" s="42">
        <f>P!AJ74</f>
        <v>0</v>
      </c>
      <c r="H73" s="42">
        <f>G73*P!AK74</f>
        <v>0</v>
      </c>
      <c r="I73" s="42">
        <f>S!E72</f>
        <v>0</v>
      </c>
      <c r="J73" s="42">
        <f>I73*S!D72</f>
        <v>0</v>
      </c>
      <c r="K73" s="42">
        <f t="shared" si="12"/>
        <v>0</v>
      </c>
      <c r="L73" s="42">
        <f t="shared" si="13"/>
        <v>0</v>
      </c>
      <c r="M73" s="43">
        <f>IF(ISERR((J73+H73)/(G73+I73)),P!AK74,(J73+H73)/(G73+I73))</f>
        <v>0</v>
      </c>
      <c r="N73" s="44">
        <f t="shared" si="14"/>
        <v>0</v>
      </c>
      <c r="O73" s="44">
        <f t="shared" si="15"/>
        <v>0</v>
      </c>
      <c r="P73" s="45" t="b">
        <f t="shared" si="16"/>
        <v>1</v>
      </c>
      <c r="Q73" s="183" t="str">
        <f t="shared" si="17"/>
        <v>×</v>
      </c>
      <c r="S73" s="410">
        <f t="shared" si="18"/>
        <v>0</v>
      </c>
      <c r="T73" s="410">
        <f t="shared" si="19"/>
        <v>0</v>
      </c>
      <c r="AJ73" s="58">
        <f t="shared" si="20"/>
        <v>0</v>
      </c>
      <c r="AK73" s="58">
        <f t="shared" si="21"/>
        <v>0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</v>
      </c>
      <c r="F74" s="42">
        <f t="shared" si="11"/>
        <v>0</v>
      </c>
      <c r="G74" s="42">
        <f>P!AJ75</f>
        <v>0</v>
      </c>
      <c r="H74" s="42">
        <f>G74*P!AK75</f>
        <v>0</v>
      </c>
      <c r="I74" s="42">
        <f>S!E73</f>
        <v>0</v>
      </c>
      <c r="J74" s="42">
        <f>I74*S!D73</f>
        <v>0</v>
      </c>
      <c r="K74" s="42">
        <f t="shared" si="12"/>
        <v>0</v>
      </c>
      <c r="L74" s="42">
        <f t="shared" si="13"/>
        <v>0</v>
      </c>
      <c r="M74" s="43">
        <f>IF(ISERR((J74+H74)/(G74+I74)),P!AK75,(J74+H74)/(G74+I74))</f>
        <v>0</v>
      </c>
      <c r="N74" s="44">
        <f t="shared" si="14"/>
        <v>0</v>
      </c>
      <c r="O74" s="44">
        <f t="shared" si="15"/>
        <v>0</v>
      </c>
      <c r="P74" s="45" t="b">
        <f t="shared" si="16"/>
        <v>1</v>
      </c>
      <c r="Q74" s="183" t="str">
        <f t="shared" si="17"/>
        <v>×</v>
      </c>
      <c r="S74" s="410">
        <f t="shared" si="18"/>
        <v>0</v>
      </c>
      <c r="T74" s="410">
        <f t="shared" si="19"/>
        <v>0</v>
      </c>
      <c r="AJ74" s="58">
        <f t="shared" si="20"/>
        <v>0</v>
      </c>
      <c r="AK74" s="58">
        <f t="shared" si="21"/>
        <v>0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0</v>
      </c>
      <c r="F76" s="42">
        <f t="shared" si="11"/>
        <v>0</v>
      </c>
      <c r="G76" s="42">
        <f>P!AJ77</f>
        <v>0</v>
      </c>
      <c r="H76" s="42">
        <f>G76*P!AK77</f>
        <v>0</v>
      </c>
      <c r="I76" s="42">
        <f>S!E75</f>
        <v>0</v>
      </c>
      <c r="J76" s="42">
        <f>I76*S!D75</f>
        <v>0</v>
      </c>
      <c r="K76" s="42">
        <f t="shared" si="12"/>
        <v>0</v>
      </c>
      <c r="L76" s="42">
        <f t="shared" si="13"/>
        <v>0</v>
      </c>
      <c r="M76" s="43">
        <f>IF(ISERR((J76+H76)/(G76+I76)),P!AK77,(J76+H76)/(G76+I76))</f>
        <v>0</v>
      </c>
      <c r="N76" s="44">
        <f t="shared" si="14"/>
        <v>0</v>
      </c>
      <c r="O76" s="44">
        <f t="shared" si="15"/>
        <v>0</v>
      </c>
      <c r="P76" s="45" t="b">
        <f t="shared" si="16"/>
        <v>1</v>
      </c>
      <c r="Q76" s="183" t="str">
        <f t="shared" si="17"/>
        <v>×</v>
      </c>
      <c r="S76" s="410">
        <f t="shared" si="18"/>
        <v>0</v>
      </c>
      <c r="T76" s="410">
        <f t="shared" si="19"/>
        <v>0</v>
      </c>
      <c r="AJ76" s="58">
        <f t="shared" si="20"/>
        <v>0</v>
      </c>
      <c r="AK76" s="58">
        <f t="shared" si="21"/>
        <v>0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0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0</v>
      </c>
      <c r="T77" s="410">
        <f t="shared" si="19"/>
        <v>0</v>
      </c>
      <c r="AJ77" s="58">
        <f t="shared" si="20"/>
        <v>0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0</v>
      </c>
      <c r="J78" s="42">
        <f>I78*S!D77</f>
        <v>0</v>
      </c>
      <c r="K78" s="42">
        <f t="shared" si="12"/>
        <v>0</v>
      </c>
      <c r="L78" s="42">
        <f t="shared" si="13"/>
        <v>0</v>
      </c>
      <c r="M78" s="43">
        <f>IF(ISERR((J78+H78)/(G78+I78)),P!AK79,(J78+H78)/(G78+I78))</f>
        <v>0</v>
      </c>
      <c r="N78" s="44">
        <f t="shared" si="14"/>
        <v>0</v>
      </c>
      <c r="O78" s="44">
        <f t="shared" si="15"/>
        <v>0</v>
      </c>
      <c r="P78" s="45" t="b">
        <f t="shared" si="16"/>
        <v>1</v>
      </c>
      <c r="Q78" s="183" t="str">
        <f t="shared" si="17"/>
        <v>×</v>
      </c>
      <c r="S78" s="410">
        <f t="shared" si="18"/>
        <v>0</v>
      </c>
      <c r="T78" s="410">
        <f t="shared" si="19"/>
        <v>0</v>
      </c>
      <c r="AJ78" s="58">
        <f t="shared" si="20"/>
        <v>0</v>
      </c>
      <c r="AK78" s="58">
        <f t="shared" si="21"/>
        <v>0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</v>
      </c>
      <c r="F79" s="42">
        <f t="shared" si="11"/>
        <v>0</v>
      </c>
      <c r="G79" s="42">
        <f>P!AJ80</f>
        <v>0</v>
      </c>
      <c r="H79" s="42">
        <f>G79*P!AK80</f>
        <v>0</v>
      </c>
      <c r="I79" s="42">
        <f>S!E78</f>
        <v>0</v>
      </c>
      <c r="J79" s="42">
        <f>I79*S!D78</f>
        <v>0</v>
      </c>
      <c r="K79" s="42">
        <f t="shared" si="12"/>
        <v>0</v>
      </c>
      <c r="L79" s="42">
        <f t="shared" si="13"/>
        <v>0</v>
      </c>
      <c r="M79" s="43">
        <f>IF(ISERR((J79+H79)/(G79+I79)),P!AK80,(J79+H79)/(G79+I79))</f>
        <v>0</v>
      </c>
      <c r="N79" s="44">
        <f t="shared" si="14"/>
        <v>0</v>
      </c>
      <c r="O79" s="44">
        <f t="shared" si="15"/>
        <v>0</v>
      </c>
      <c r="P79" s="45" t="b">
        <f t="shared" si="16"/>
        <v>1</v>
      </c>
      <c r="Q79" s="183" t="str">
        <f t="shared" si="17"/>
        <v>×</v>
      </c>
      <c r="S79" s="410">
        <f t="shared" si="18"/>
        <v>0</v>
      </c>
      <c r="T79" s="410">
        <f t="shared" si="19"/>
        <v>0</v>
      </c>
      <c r="AJ79" s="58">
        <f t="shared" si="20"/>
        <v>0</v>
      </c>
      <c r="AK79" s="58">
        <f t="shared" si="21"/>
        <v>0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0</v>
      </c>
      <c r="J80" s="42">
        <f>I80*S!D79</f>
        <v>0</v>
      </c>
      <c r="K80" s="42">
        <f t="shared" si="12"/>
        <v>0</v>
      </c>
      <c r="L80" s="42">
        <f t="shared" si="13"/>
        <v>0</v>
      </c>
      <c r="M80" s="43">
        <f>IF(ISERR((J80+H80)/(G80+I80)),P!AK81,(J80+H80)/(G80+I80))</f>
        <v>0</v>
      </c>
      <c r="N80" s="44">
        <f t="shared" si="14"/>
        <v>0</v>
      </c>
      <c r="O80" s="44">
        <f t="shared" si="15"/>
        <v>0</v>
      </c>
      <c r="P80" s="45" t="b">
        <f t="shared" si="16"/>
        <v>1</v>
      </c>
      <c r="Q80" s="183" t="str">
        <f t="shared" si="17"/>
        <v>×</v>
      </c>
      <c r="S80" s="410">
        <f t="shared" si="18"/>
        <v>0</v>
      </c>
      <c r="T80" s="410">
        <f t="shared" si="19"/>
        <v>0</v>
      </c>
      <c r="AJ80" s="58">
        <f t="shared" si="20"/>
        <v>0</v>
      </c>
      <c r="AK80" s="58">
        <f t="shared" si="21"/>
        <v>0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0</v>
      </c>
      <c r="F81" s="42">
        <f t="shared" si="11"/>
        <v>0</v>
      </c>
      <c r="G81" s="42">
        <f>P!AJ82</f>
        <v>0</v>
      </c>
      <c r="H81" s="42">
        <f>G81*P!AK82</f>
        <v>0</v>
      </c>
      <c r="I81" s="42">
        <f>S!E80</f>
        <v>0</v>
      </c>
      <c r="J81" s="42">
        <f>I81*S!D80</f>
        <v>0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0</v>
      </c>
      <c r="N81" s="44">
        <f t="shared" si="14"/>
        <v>0</v>
      </c>
      <c r="O81" s="44">
        <f t="shared" si="15"/>
        <v>0</v>
      </c>
      <c r="P81" s="45" t="b">
        <f t="shared" si="16"/>
        <v>1</v>
      </c>
      <c r="Q81" s="183" t="str">
        <f t="shared" si="17"/>
        <v>×</v>
      </c>
      <c r="S81" s="410">
        <f t="shared" si="18"/>
        <v>0</v>
      </c>
      <c r="T81" s="410">
        <f t="shared" si="19"/>
        <v>0</v>
      </c>
      <c r="AJ81" s="58">
        <f t="shared" si="20"/>
        <v>0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0</v>
      </c>
      <c r="T82" s="410">
        <f t="shared" si="19"/>
        <v>0</v>
      </c>
      <c r="AJ82" s="58">
        <f t="shared" si="20"/>
        <v>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0</v>
      </c>
      <c r="T83" s="410">
        <f t="shared" si="19"/>
        <v>0</v>
      </c>
      <c r="AJ83" s="58">
        <f t="shared" si="20"/>
        <v>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</v>
      </c>
      <c r="J84" s="42">
        <f>I84*S!D83</f>
        <v>0</v>
      </c>
      <c r="K84" s="42">
        <f t="shared" si="12"/>
        <v>0</v>
      </c>
      <c r="L84" s="42">
        <f t="shared" si="13"/>
        <v>0</v>
      </c>
      <c r="M84" s="43">
        <f>IF(ISERR((J84+H84)/(G84+I84)),P!AK85,(J84+H84)/(G84+I84))</f>
        <v>0</v>
      </c>
      <c r="N84" s="44">
        <f t="shared" si="14"/>
        <v>0</v>
      </c>
      <c r="O84" s="44">
        <f t="shared" si="15"/>
        <v>0</v>
      </c>
      <c r="P84" s="45" t="b">
        <f t="shared" si="16"/>
        <v>1</v>
      </c>
      <c r="Q84" s="183" t="str">
        <f t="shared" si="17"/>
        <v>×</v>
      </c>
      <c r="S84" s="410">
        <f t="shared" si="18"/>
        <v>0</v>
      </c>
      <c r="T84" s="410">
        <f t="shared" si="19"/>
        <v>0</v>
      </c>
      <c r="AJ84" s="58">
        <f t="shared" si="20"/>
        <v>0</v>
      </c>
      <c r="AK84" s="58">
        <f t="shared" si="21"/>
        <v>0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0</v>
      </c>
      <c r="J85" s="42">
        <f>I85*S!D84</f>
        <v>0</v>
      </c>
      <c r="K85" s="42">
        <f t="shared" si="12"/>
        <v>0</v>
      </c>
      <c r="L85" s="42">
        <f t="shared" si="13"/>
        <v>0</v>
      </c>
      <c r="M85" s="43">
        <f>IF(ISERR((J85+H85)/(G85+I85)),P!AK86,(J85+H85)/(G85+I85))</f>
        <v>0</v>
      </c>
      <c r="N85" s="44">
        <f t="shared" si="14"/>
        <v>0</v>
      </c>
      <c r="O85" s="44">
        <f t="shared" si="15"/>
        <v>0</v>
      </c>
      <c r="P85" s="45" t="b">
        <f t="shared" si="16"/>
        <v>1</v>
      </c>
      <c r="Q85" s="183" t="str">
        <f t="shared" si="17"/>
        <v>×</v>
      </c>
      <c r="S85" s="410">
        <f t="shared" si="18"/>
        <v>0</v>
      </c>
      <c r="T85" s="410">
        <f t="shared" si="19"/>
        <v>0</v>
      </c>
      <c r="AJ85" s="58">
        <f t="shared" si="20"/>
        <v>0</v>
      </c>
      <c r="AK85" s="58">
        <f t="shared" si="21"/>
        <v>0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0</v>
      </c>
      <c r="J86" s="42">
        <f>I86*S!D85</f>
        <v>0</v>
      </c>
      <c r="K86" s="42">
        <f t="shared" si="12"/>
        <v>0</v>
      </c>
      <c r="L86" s="42">
        <f t="shared" si="13"/>
        <v>0</v>
      </c>
      <c r="M86" s="43">
        <f>IF(ISERR((J86+H86)/(G86+I86)),P!AK87,(J86+H86)/(G86+I86))</f>
        <v>0</v>
      </c>
      <c r="N86" s="44">
        <f t="shared" si="14"/>
        <v>0</v>
      </c>
      <c r="O86" s="44">
        <f t="shared" si="15"/>
        <v>0</v>
      </c>
      <c r="P86" s="45" t="b">
        <f t="shared" si="16"/>
        <v>1</v>
      </c>
      <c r="Q86" s="183" t="str">
        <f t="shared" si="17"/>
        <v>×</v>
      </c>
      <c r="S86" s="410">
        <f t="shared" si="18"/>
        <v>0</v>
      </c>
      <c r="T86" s="410">
        <f t="shared" si="19"/>
        <v>0</v>
      </c>
      <c r="AJ86" s="58">
        <f t="shared" si="20"/>
        <v>0</v>
      </c>
      <c r="AK86" s="58">
        <f t="shared" si="21"/>
        <v>0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</v>
      </c>
      <c r="F87" s="42">
        <f t="shared" si="11"/>
        <v>0</v>
      </c>
      <c r="G87" s="42">
        <f>P!AJ88</f>
        <v>0</v>
      </c>
      <c r="H87" s="42">
        <f>G87*P!AK88</f>
        <v>0</v>
      </c>
      <c r="I87" s="42">
        <f>S!E86</f>
        <v>0</v>
      </c>
      <c r="J87" s="42">
        <f>I87*S!D86</f>
        <v>0</v>
      </c>
      <c r="K87" s="42">
        <f t="shared" si="12"/>
        <v>0</v>
      </c>
      <c r="L87" s="42">
        <f t="shared" si="13"/>
        <v>0</v>
      </c>
      <c r="M87" s="43">
        <f>IF(ISERR((J87+H87)/(G87+I87)),P!AK88,(J87+H87)/(G87+I87))</f>
        <v>0</v>
      </c>
      <c r="N87" s="44">
        <f t="shared" si="14"/>
        <v>0</v>
      </c>
      <c r="O87" s="44">
        <f t="shared" si="15"/>
        <v>0</v>
      </c>
      <c r="P87" s="45" t="b">
        <f t="shared" si="16"/>
        <v>1</v>
      </c>
      <c r="Q87" s="183" t="str">
        <f t="shared" si="17"/>
        <v>×</v>
      </c>
      <c r="S87" s="410">
        <f t="shared" si="18"/>
        <v>0</v>
      </c>
      <c r="T87" s="410">
        <f t="shared" si="19"/>
        <v>0</v>
      </c>
      <c r="AJ87" s="58">
        <f t="shared" si="20"/>
        <v>0</v>
      </c>
      <c r="AK87" s="58">
        <f t="shared" si="21"/>
        <v>0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0</v>
      </c>
      <c r="F88" s="42">
        <f t="shared" si="11"/>
        <v>0</v>
      </c>
      <c r="G88" s="42">
        <f>P!AJ89</f>
        <v>0</v>
      </c>
      <c r="H88" s="42">
        <f>G88*P!AK89</f>
        <v>0</v>
      </c>
      <c r="I88" s="42">
        <f>S!E87</f>
        <v>0</v>
      </c>
      <c r="J88" s="42">
        <f>I88*S!D87</f>
        <v>0</v>
      </c>
      <c r="K88" s="42">
        <f t="shared" si="12"/>
        <v>0</v>
      </c>
      <c r="L88" s="42">
        <f t="shared" si="13"/>
        <v>0</v>
      </c>
      <c r="M88" s="43">
        <f>IF(ISERR((J88+H88)/(G88+I88)),P!AK89,(J88+H88)/(G88+I88))</f>
        <v>0</v>
      </c>
      <c r="N88" s="44">
        <f t="shared" si="14"/>
        <v>0</v>
      </c>
      <c r="O88" s="44">
        <f t="shared" si="15"/>
        <v>0</v>
      </c>
      <c r="P88" s="45" t="b">
        <f t="shared" si="16"/>
        <v>1</v>
      </c>
      <c r="Q88" s="183" t="str">
        <f t="shared" si="17"/>
        <v>×</v>
      </c>
      <c r="S88" s="410">
        <f t="shared" si="18"/>
        <v>0</v>
      </c>
      <c r="T88" s="410">
        <f t="shared" si="19"/>
        <v>0</v>
      </c>
      <c r="AJ88" s="58">
        <f t="shared" si="20"/>
        <v>0</v>
      </c>
      <c r="AK88" s="58">
        <f t="shared" si="21"/>
        <v>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0</v>
      </c>
      <c r="F89" s="42">
        <f t="shared" si="11"/>
        <v>0</v>
      </c>
      <c r="G89" s="42">
        <f>P!AJ90</f>
        <v>0</v>
      </c>
      <c r="H89" s="42">
        <f>G89*P!AK90</f>
        <v>0</v>
      </c>
      <c r="I89" s="42">
        <f>S!E88</f>
        <v>0</v>
      </c>
      <c r="J89" s="42">
        <f>I89*S!D88</f>
        <v>0</v>
      </c>
      <c r="K89" s="42">
        <f t="shared" si="12"/>
        <v>0</v>
      </c>
      <c r="L89" s="42">
        <f t="shared" si="13"/>
        <v>0</v>
      </c>
      <c r="M89" s="43">
        <f>IF(ISERR((J89+H89)/(G89+I89)),P!AK90,(J89+H89)/(G89+I89))</f>
        <v>0</v>
      </c>
      <c r="N89" s="44">
        <f t="shared" si="14"/>
        <v>0</v>
      </c>
      <c r="O89" s="44">
        <f t="shared" si="15"/>
        <v>0</v>
      </c>
      <c r="P89" s="45" t="b">
        <f t="shared" si="16"/>
        <v>1</v>
      </c>
      <c r="Q89" s="183" t="str">
        <f t="shared" si="17"/>
        <v>×</v>
      </c>
      <c r="S89" s="410">
        <f t="shared" si="18"/>
        <v>0</v>
      </c>
      <c r="T89" s="410">
        <f t="shared" si="19"/>
        <v>0</v>
      </c>
      <c r="AJ89" s="58">
        <f t="shared" si="20"/>
        <v>0</v>
      </c>
      <c r="AK89" s="58">
        <f t="shared" si="21"/>
        <v>0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0</v>
      </c>
      <c r="F90" s="42">
        <f t="shared" si="11"/>
        <v>0</v>
      </c>
      <c r="G90" s="42">
        <f>P!AJ91</f>
        <v>0</v>
      </c>
      <c r="H90" s="42">
        <f>G90*P!AK91</f>
        <v>0</v>
      </c>
      <c r="I90" s="42">
        <f>S!E89</f>
        <v>0</v>
      </c>
      <c r="J90" s="42">
        <f>I90*S!D89</f>
        <v>0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0</v>
      </c>
      <c r="N90" s="44">
        <f t="shared" si="14"/>
        <v>0</v>
      </c>
      <c r="O90" s="44">
        <f t="shared" si="15"/>
        <v>0</v>
      </c>
      <c r="P90" s="45" t="b">
        <f t="shared" si="16"/>
        <v>1</v>
      </c>
      <c r="Q90" s="183" t="str">
        <f t="shared" si="17"/>
        <v>×</v>
      </c>
      <c r="S90" s="410">
        <f t="shared" si="18"/>
        <v>0</v>
      </c>
      <c r="T90" s="410">
        <f t="shared" si="19"/>
        <v>0</v>
      </c>
      <c r="AJ90" s="58">
        <f t="shared" si="20"/>
        <v>0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0</v>
      </c>
      <c r="T91" s="410">
        <f t="shared" si="19"/>
        <v>0</v>
      </c>
      <c r="AJ91" s="58">
        <f t="shared" si="20"/>
        <v>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0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0</v>
      </c>
      <c r="T92" s="410">
        <f t="shared" si="19"/>
        <v>0</v>
      </c>
      <c r="AJ92" s="58">
        <f t="shared" si="20"/>
        <v>0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0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0</v>
      </c>
      <c r="T93" s="410">
        <f t="shared" si="19"/>
        <v>0</v>
      </c>
      <c r="AJ93" s="58">
        <f t="shared" si="20"/>
        <v>0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0</v>
      </c>
      <c r="T95" s="410">
        <f t="shared" si="19"/>
        <v>0</v>
      </c>
      <c r="AJ95" s="58">
        <f t="shared" si="20"/>
        <v>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0</v>
      </c>
      <c r="F96" s="42">
        <f t="shared" si="11"/>
        <v>0</v>
      </c>
      <c r="G96" s="42">
        <f>P!AJ97</f>
        <v>0</v>
      </c>
      <c r="H96" s="42">
        <f>G96*P!AK97</f>
        <v>0</v>
      </c>
      <c r="I96" s="42">
        <f>S!E95</f>
        <v>0</v>
      </c>
      <c r="J96" s="42">
        <f>I96*S!D95</f>
        <v>0</v>
      </c>
      <c r="K96" s="42">
        <f t="shared" si="12"/>
        <v>0</v>
      </c>
      <c r="L96" s="42">
        <f t="shared" si="13"/>
        <v>0</v>
      </c>
      <c r="M96" s="43">
        <f>IF(ISERR((J96+H96)/(G96+I96)),P!AK97,(J96+H96)/(G96+I96))</f>
        <v>0</v>
      </c>
      <c r="N96" s="44">
        <f t="shared" si="14"/>
        <v>0</v>
      </c>
      <c r="O96" s="44">
        <f t="shared" si="15"/>
        <v>0</v>
      </c>
      <c r="P96" s="45" t="b">
        <f t="shared" si="16"/>
        <v>1</v>
      </c>
      <c r="Q96" s="183" t="str">
        <f t="shared" si="17"/>
        <v>×</v>
      </c>
      <c r="S96" s="410">
        <f t="shared" si="18"/>
        <v>0</v>
      </c>
      <c r="T96" s="410">
        <f t="shared" si="19"/>
        <v>0</v>
      </c>
      <c r="AJ96" s="58">
        <f t="shared" si="20"/>
        <v>0</v>
      </c>
      <c r="AK96" s="58">
        <f t="shared" si="21"/>
        <v>0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0</v>
      </c>
      <c r="T97" s="410">
        <f t="shared" si="19"/>
        <v>0</v>
      </c>
      <c r="AJ97" s="58">
        <f t="shared" si="20"/>
        <v>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0</v>
      </c>
      <c r="T98" s="410">
        <f t="shared" si="19"/>
        <v>0</v>
      </c>
      <c r="AJ98" s="58">
        <f t="shared" si="20"/>
        <v>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0</v>
      </c>
      <c r="F99" s="42">
        <f t="shared" si="11"/>
        <v>0</v>
      </c>
      <c r="G99" s="42">
        <f>P!AJ100</f>
        <v>0</v>
      </c>
      <c r="H99" s="42">
        <f>G99*P!AK100</f>
        <v>0</v>
      </c>
      <c r="I99" s="42">
        <f>S!E98</f>
        <v>0</v>
      </c>
      <c r="J99" s="42">
        <f>I99*S!D98</f>
        <v>0</v>
      </c>
      <c r="K99" s="42">
        <f t="shared" si="12"/>
        <v>0</v>
      </c>
      <c r="L99" s="42">
        <f t="shared" si="13"/>
        <v>0</v>
      </c>
      <c r="M99" s="43">
        <f>IF(ISERR((J99+H99)/(G99+I99)),P!AK100,(J99+H99)/(G99+I99))</f>
        <v>0</v>
      </c>
      <c r="N99" s="44">
        <f t="shared" si="14"/>
        <v>0</v>
      </c>
      <c r="O99" s="44">
        <f t="shared" si="15"/>
        <v>0</v>
      </c>
      <c r="P99" s="45" t="b">
        <f t="shared" si="16"/>
        <v>1</v>
      </c>
      <c r="Q99" s="183" t="str">
        <f t="shared" si="17"/>
        <v>×</v>
      </c>
      <c r="S99" s="410">
        <f t="shared" si="18"/>
        <v>0</v>
      </c>
      <c r="T99" s="410">
        <f t="shared" si="19"/>
        <v>0</v>
      </c>
      <c r="AJ99" s="58">
        <f t="shared" si="20"/>
        <v>0</v>
      </c>
      <c r="AK99" s="58">
        <f t="shared" si="21"/>
        <v>0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</v>
      </c>
      <c r="J100" s="42">
        <f>I100*S!D99</f>
        <v>0</v>
      </c>
      <c r="K100" s="42">
        <f t="shared" si="12"/>
        <v>0</v>
      </c>
      <c r="L100" s="42">
        <f t="shared" si="13"/>
        <v>0</v>
      </c>
      <c r="M100" s="43">
        <f>IF(ISERR((J100+H100)/(G100+I100)),P!AK101,(J100+H100)/(G100+I100))</f>
        <v>0</v>
      </c>
      <c r="N100" s="44">
        <f t="shared" si="14"/>
        <v>0</v>
      </c>
      <c r="O100" s="44">
        <f t="shared" si="15"/>
        <v>0</v>
      </c>
      <c r="P100" s="45" t="b">
        <f t="shared" si="16"/>
        <v>1</v>
      </c>
      <c r="Q100" s="183" t="str">
        <f t="shared" si="17"/>
        <v>×</v>
      </c>
      <c r="S100" s="410">
        <f t="shared" si="18"/>
        <v>0</v>
      </c>
      <c r="T100" s="410">
        <f t="shared" si="19"/>
        <v>0</v>
      </c>
      <c r="AJ100" s="58">
        <f t="shared" si="20"/>
        <v>0</v>
      </c>
      <c r="AK100" s="58">
        <f t="shared" si="21"/>
        <v>0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0</v>
      </c>
      <c r="H101" s="42">
        <f>G101*P!AK102</f>
        <v>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0</v>
      </c>
      <c r="N101" s="44">
        <f t="shared" si="14"/>
        <v>0</v>
      </c>
      <c r="O101" s="44">
        <f t="shared" si="15"/>
        <v>0</v>
      </c>
      <c r="P101" s="45" t="b">
        <f t="shared" si="16"/>
        <v>1</v>
      </c>
      <c r="Q101" s="183" t="str">
        <f t="shared" si="17"/>
        <v>×</v>
      </c>
      <c r="S101" s="410">
        <f t="shared" si="18"/>
        <v>0</v>
      </c>
      <c r="T101" s="410">
        <f t="shared" si="19"/>
        <v>0</v>
      </c>
      <c r="AJ101" s="58">
        <f t="shared" si="20"/>
        <v>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0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0</v>
      </c>
      <c r="T102" s="410">
        <f t="shared" si="19"/>
        <v>0</v>
      </c>
      <c r="AJ102" s="58">
        <f t="shared" si="20"/>
        <v>0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0</v>
      </c>
      <c r="T104" s="410">
        <f t="shared" si="19"/>
        <v>0</v>
      </c>
      <c r="AJ104" s="58">
        <f t="shared" si="20"/>
        <v>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0</v>
      </c>
      <c r="H105" s="42">
        <f>G105*P!AK106</f>
        <v>0</v>
      </c>
      <c r="I105" s="42">
        <f>S!E104</f>
        <v>0</v>
      </c>
      <c r="J105" s="42">
        <f>I105*S!D104</f>
        <v>0</v>
      </c>
      <c r="K105" s="42">
        <f t="shared" si="12"/>
        <v>0</v>
      </c>
      <c r="L105" s="42">
        <f t="shared" si="13"/>
        <v>0</v>
      </c>
      <c r="M105" s="43">
        <f>IF(ISERR((J105+H105)/(G105+I105)),P!AK106,(J105+H105)/(G105+I105))</f>
        <v>0</v>
      </c>
      <c r="N105" s="44">
        <f t="shared" si="14"/>
        <v>0</v>
      </c>
      <c r="O105" s="44">
        <f t="shared" si="15"/>
        <v>0</v>
      </c>
      <c r="P105" s="45" t="b">
        <f t="shared" si="16"/>
        <v>1</v>
      </c>
      <c r="Q105" s="183" t="str">
        <f t="shared" si="17"/>
        <v>×</v>
      </c>
      <c r="S105" s="410">
        <f t="shared" si="18"/>
        <v>0</v>
      </c>
      <c r="T105" s="410">
        <f t="shared" si="19"/>
        <v>0</v>
      </c>
      <c r="AJ105" s="58">
        <f t="shared" si="20"/>
        <v>0</v>
      </c>
      <c r="AK105" s="58">
        <f t="shared" si="21"/>
        <v>0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0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0</v>
      </c>
      <c r="T106" s="410">
        <f t="shared" si="19"/>
        <v>0</v>
      </c>
      <c r="AJ106" s="58">
        <f t="shared" si="20"/>
        <v>0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0</v>
      </c>
      <c r="J107" s="42">
        <f>I107*S!D106</f>
        <v>0</v>
      </c>
      <c r="K107" s="42">
        <f t="shared" si="12"/>
        <v>0</v>
      </c>
      <c r="L107" s="42">
        <f t="shared" si="13"/>
        <v>0</v>
      </c>
      <c r="M107" s="43">
        <f>IF(ISERR((J107+H107)/(G107+I107)),P!AK108,(J107+H107)/(G107+I107))</f>
        <v>0</v>
      </c>
      <c r="N107" s="44">
        <f t="shared" si="14"/>
        <v>0</v>
      </c>
      <c r="O107" s="44">
        <f t="shared" si="15"/>
        <v>0</v>
      </c>
      <c r="P107" s="45" t="b">
        <f t="shared" si="16"/>
        <v>1</v>
      </c>
      <c r="Q107" s="183" t="str">
        <f t="shared" si="17"/>
        <v>×</v>
      </c>
      <c r="S107" s="410">
        <f t="shared" si="18"/>
        <v>0</v>
      </c>
      <c r="T107" s="410">
        <f t="shared" si="19"/>
        <v>0</v>
      </c>
      <c r="AJ107" s="58">
        <f t="shared" si="20"/>
        <v>0</v>
      </c>
      <c r="AK107" s="58">
        <f t="shared" si="21"/>
        <v>0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0</v>
      </c>
      <c r="H108" s="42">
        <f>G108*P!AK109</f>
        <v>0</v>
      </c>
      <c r="I108" s="42">
        <f>S!E107</f>
        <v>0</v>
      </c>
      <c r="J108" s="42">
        <f>I108*S!D107</f>
        <v>0</v>
      </c>
      <c r="K108" s="42">
        <f t="shared" si="12"/>
        <v>0</v>
      </c>
      <c r="L108" s="42">
        <f t="shared" si="13"/>
        <v>0</v>
      </c>
      <c r="M108" s="43">
        <f>IF(ISERR((J108+H108)/(G108+I108)),P!AK109,(J108+H108)/(G108+I108))</f>
        <v>0</v>
      </c>
      <c r="N108" s="44">
        <f t="shared" si="14"/>
        <v>0</v>
      </c>
      <c r="O108" s="44">
        <f t="shared" si="15"/>
        <v>0</v>
      </c>
      <c r="P108" s="45" t="b">
        <f t="shared" si="16"/>
        <v>1</v>
      </c>
      <c r="Q108" s="183" t="str">
        <f t="shared" si="17"/>
        <v>×</v>
      </c>
      <c r="S108" s="410">
        <f t="shared" si="18"/>
        <v>0</v>
      </c>
      <c r="T108" s="410">
        <f t="shared" si="19"/>
        <v>0</v>
      </c>
      <c r="AJ108" s="58">
        <f t="shared" si="20"/>
        <v>0</v>
      </c>
      <c r="AK108" s="58">
        <f t="shared" si="21"/>
        <v>0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0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0</v>
      </c>
      <c r="T109" s="410">
        <f t="shared" si="19"/>
        <v>0</v>
      </c>
      <c r="AJ109" s="58">
        <f t="shared" si="20"/>
        <v>0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0</v>
      </c>
      <c r="J110" s="42">
        <f>I110*S!D109</f>
        <v>0</v>
      </c>
      <c r="K110" s="42">
        <f t="shared" si="12"/>
        <v>0</v>
      </c>
      <c r="L110" s="42">
        <f t="shared" si="13"/>
        <v>0</v>
      </c>
      <c r="M110" s="43">
        <f>IF(ISERR((J110+H110)/(G110+I110)),P!AK111,(J110+H110)/(G110+I110))</f>
        <v>0</v>
      </c>
      <c r="N110" s="44">
        <f t="shared" si="14"/>
        <v>0</v>
      </c>
      <c r="O110" s="44">
        <f t="shared" si="15"/>
        <v>0</v>
      </c>
      <c r="P110" s="45" t="b">
        <f t="shared" si="16"/>
        <v>1</v>
      </c>
      <c r="Q110" s="183" t="str">
        <f t="shared" si="17"/>
        <v>×</v>
      </c>
      <c r="S110" s="410">
        <f t="shared" si="18"/>
        <v>0</v>
      </c>
      <c r="T110" s="410">
        <f t="shared" si="19"/>
        <v>0</v>
      </c>
      <c r="AJ110" s="58">
        <f t="shared" si="20"/>
        <v>0</v>
      </c>
      <c r="AK110" s="58">
        <f t="shared" si="21"/>
        <v>0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0</v>
      </c>
      <c r="T111" s="410">
        <f t="shared" si="19"/>
        <v>0</v>
      </c>
      <c r="AJ111" s="58">
        <f t="shared" si="20"/>
        <v>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0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0</v>
      </c>
      <c r="T112" s="410">
        <f t="shared" si="19"/>
        <v>0</v>
      </c>
      <c r="AJ112" s="58">
        <f t="shared" si="20"/>
        <v>0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</v>
      </c>
      <c r="F113" s="42">
        <f t="shared" si="11"/>
        <v>0</v>
      </c>
      <c r="G113" s="42">
        <f>P!AJ114</f>
        <v>0</v>
      </c>
      <c r="H113" s="42">
        <f>G113*P!AK114</f>
        <v>0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0</v>
      </c>
      <c r="N113" s="44">
        <f t="shared" si="14"/>
        <v>0</v>
      </c>
      <c r="O113" s="44">
        <f t="shared" si="15"/>
        <v>0</v>
      </c>
      <c r="P113" s="45" t="b">
        <f t="shared" si="16"/>
        <v>1</v>
      </c>
      <c r="Q113" s="183" t="str">
        <f t="shared" si="17"/>
        <v>×</v>
      </c>
      <c r="S113" s="410">
        <f t="shared" si="18"/>
        <v>0</v>
      </c>
      <c r="T113" s="410">
        <f t="shared" si="19"/>
        <v>0</v>
      </c>
      <c r="AJ113" s="58">
        <f t="shared" si="20"/>
        <v>0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0</v>
      </c>
      <c r="T114" s="410">
        <f t="shared" si="19"/>
        <v>0</v>
      </c>
      <c r="AJ114" s="58">
        <f t="shared" si="20"/>
        <v>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0</v>
      </c>
      <c r="T115" s="410">
        <f t="shared" si="19"/>
        <v>0</v>
      </c>
      <c r="AJ115" s="58">
        <f t="shared" si="20"/>
        <v>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0</v>
      </c>
      <c r="T116" s="410">
        <f t="shared" si="19"/>
        <v>0</v>
      </c>
      <c r="AJ116" s="58">
        <f t="shared" si="20"/>
        <v>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0</v>
      </c>
      <c r="F117" s="42">
        <f t="shared" si="11"/>
        <v>0</v>
      </c>
      <c r="G117" s="42">
        <f>P!AJ118</f>
        <v>0</v>
      </c>
      <c r="H117" s="42">
        <f>G117*P!AK118</f>
        <v>0</v>
      </c>
      <c r="I117" s="42">
        <f>S!E116</f>
        <v>0</v>
      </c>
      <c r="J117" s="42">
        <f>I117*S!D116</f>
        <v>0</v>
      </c>
      <c r="K117" s="42">
        <f t="shared" si="12"/>
        <v>0</v>
      </c>
      <c r="L117" s="42">
        <f t="shared" si="13"/>
        <v>0</v>
      </c>
      <c r="M117" s="43">
        <f>IF(ISERR((J117+H117)/(G117+I117)),P!AK118,(J117+H117)/(G117+I117))</f>
        <v>0</v>
      </c>
      <c r="N117" s="44">
        <f t="shared" si="14"/>
        <v>0</v>
      </c>
      <c r="O117" s="44">
        <f t="shared" si="15"/>
        <v>0</v>
      </c>
      <c r="P117" s="45" t="b">
        <f t="shared" si="16"/>
        <v>1</v>
      </c>
      <c r="Q117" s="183" t="str">
        <f t="shared" si="17"/>
        <v>×</v>
      </c>
      <c r="S117" s="410">
        <f t="shared" si="18"/>
        <v>0</v>
      </c>
      <c r="T117" s="410">
        <f t="shared" si="19"/>
        <v>0</v>
      </c>
      <c r="AJ117" s="58">
        <f t="shared" si="20"/>
        <v>0</v>
      </c>
      <c r="AK117" s="58">
        <f t="shared" si="21"/>
        <v>0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0</v>
      </c>
      <c r="T118" s="410">
        <f t="shared" si="19"/>
        <v>0</v>
      </c>
      <c r="AJ118" s="58">
        <f t="shared" si="20"/>
        <v>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0</v>
      </c>
      <c r="T119" s="410">
        <f t="shared" si="19"/>
        <v>0</v>
      </c>
      <c r="AJ119" s="58">
        <f t="shared" si="20"/>
        <v>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0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0</v>
      </c>
      <c r="T120" s="410">
        <f t="shared" si="19"/>
        <v>0</v>
      </c>
      <c r="AJ120" s="58">
        <f t="shared" si="20"/>
        <v>0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0</v>
      </c>
      <c r="T121" s="410">
        <f t="shared" si="19"/>
        <v>0</v>
      </c>
      <c r="AJ121" s="58">
        <f t="shared" si="20"/>
        <v>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0</v>
      </c>
      <c r="T122" s="410">
        <f t="shared" si="19"/>
        <v>0</v>
      </c>
      <c r="AJ122" s="58">
        <f t="shared" si="20"/>
        <v>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0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0</v>
      </c>
      <c r="T123" s="410">
        <f t="shared" si="19"/>
        <v>0</v>
      </c>
      <c r="AJ123" s="58">
        <f t="shared" si="20"/>
        <v>0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0</v>
      </c>
      <c r="H124" s="42">
        <f>G124*P!AK125</f>
        <v>0</v>
      </c>
      <c r="I124" s="42">
        <f>S!E123</f>
        <v>0</v>
      </c>
      <c r="J124" s="42">
        <f>I124*S!D123</f>
        <v>0</v>
      </c>
      <c r="K124" s="42">
        <f t="shared" si="12"/>
        <v>0</v>
      </c>
      <c r="L124" s="42">
        <f t="shared" si="13"/>
        <v>0</v>
      </c>
      <c r="M124" s="43">
        <f>IF(ISERR((J124+H124)/(G124+I124)),P!AK125,(J124+H124)/(G124+I124))</f>
        <v>0</v>
      </c>
      <c r="N124" s="44">
        <f t="shared" si="14"/>
        <v>0</v>
      </c>
      <c r="O124" s="44">
        <f t="shared" si="15"/>
        <v>0</v>
      </c>
      <c r="P124" s="45" t="b">
        <f t="shared" si="16"/>
        <v>1</v>
      </c>
      <c r="Q124" s="183" t="str">
        <f t="shared" si="17"/>
        <v>×</v>
      </c>
      <c r="S124" s="410">
        <f t="shared" si="18"/>
        <v>0</v>
      </c>
      <c r="T124" s="410">
        <f t="shared" si="19"/>
        <v>0</v>
      </c>
      <c r="AJ124" s="58">
        <f t="shared" si="20"/>
        <v>0</v>
      </c>
      <c r="AK124" s="58">
        <f t="shared" si="21"/>
        <v>0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0</v>
      </c>
      <c r="F125" s="42">
        <f t="shared" si="11"/>
        <v>0</v>
      </c>
      <c r="G125" s="42">
        <f>P!AJ126</f>
        <v>0</v>
      </c>
      <c r="H125" s="42">
        <f>G125*P!AK126</f>
        <v>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0</v>
      </c>
      <c r="N125" s="44">
        <f t="shared" si="14"/>
        <v>0</v>
      </c>
      <c r="O125" s="44">
        <f t="shared" si="15"/>
        <v>0</v>
      </c>
      <c r="P125" s="45" t="b">
        <f t="shared" si="16"/>
        <v>1</v>
      </c>
      <c r="Q125" s="183" t="str">
        <f t="shared" si="17"/>
        <v>×</v>
      </c>
      <c r="S125" s="410">
        <f t="shared" si="18"/>
        <v>0</v>
      </c>
      <c r="T125" s="410">
        <f t="shared" si="19"/>
        <v>0</v>
      </c>
      <c r="AJ125" s="58">
        <f t="shared" si="20"/>
        <v>0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0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0</v>
      </c>
      <c r="T126" s="410">
        <f t="shared" si="19"/>
        <v>0</v>
      </c>
      <c r="AJ126" s="58">
        <f t="shared" si="20"/>
        <v>0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0</v>
      </c>
      <c r="F127" s="42">
        <f t="shared" si="11"/>
        <v>0</v>
      </c>
      <c r="G127" s="42">
        <f>P!AJ128</f>
        <v>0</v>
      </c>
      <c r="H127" s="42">
        <f>G127*P!AK128</f>
        <v>0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0</v>
      </c>
      <c r="N127" s="44">
        <f t="shared" si="14"/>
        <v>0</v>
      </c>
      <c r="O127" s="44">
        <f t="shared" si="15"/>
        <v>0</v>
      </c>
      <c r="P127" s="45" t="b">
        <f t="shared" si="16"/>
        <v>1</v>
      </c>
      <c r="Q127" s="183" t="str">
        <f t="shared" si="17"/>
        <v>×</v>
      </c>
      <c r="S127" s="410">
        <f t="shared" si="18"/>
        <v>0</v>
      </c>
      <c r="T127" s="410">
        <f t="shared" si="19"/>
        <v>0</v>
      </c>
      <c r="AJ127" s="58">
        <f t="shared" si="20"/>
        <v>0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0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0</v>
      </c>
      <c r="T128" s="410">
        <f t="shared" si="19"/>
        <v>0</v>
      </c>
      <c r="AJ128" s="58">
        <f t="shared" si="20"/>
        <v>0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0</v>
      </c>
      <c r="F129" s="42">
        <f t="shared" si="11"/>
        <v>0</v>
      </c>
      <c r="G129" s="42">
        <f>P!AJ130</f>
        <v>0</v>
      </c>
      <c r="H129" s="42">
        <f>G129*P!AK130</f>
        <v>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0</v>
      </c>
      <c r="N129" s="44">
        <f t="shared" si="14"/>
        <v>0</v>
      </c>
      <c r="O129" s="44">
        <f t="shared" si="15"/>
        <v>0</v>
      </c>
      <c r="P129" s="45" t="b">
        <f t="shared" si="16"/>
        <v>1</v>
      </c>
      <c r="Q129" s="183" t="str">
        <f t="shared" si="17"/>
        <v>×</v>
      </c>
      <c r="S129" s="410">
        <f t="shared" si="18"/>
        <v>0</v>
      </c>
      <c r="T129" s="410">
        <f t="shared" si="19"/>
        <v>0</v>
      </c>
      <c r="AJ129" s="58">
        <f t="shared" si="20"/>
        <v>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0</v>
      </c>
      <c r="F130" s="42">
        <f t="shared" si="11"/>
        <v>0</v>
      </c>
      <c r="G130" s="42">
        <f>P!AJ131</f>
        <v>0</v>
      </c>
      <c r="H130" s="42">
        <f>G130*P!AK131</f>
        <v>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0</v>
      </c>
      <c r="N130" s="44">
        <f t="shared" si="14"/>
        <v>0</v>
      </c>
      <c r="O130" s="44">
        <f t="shared" si="15"/>
        <v>0</v>
      </c>
      <c r="P130" s="45" t="b">
        <f t="shared" si="16"/>
        <v>1</v>
      </c>
      <c r="Q130" s="183" t="str">
        <f t="shared" si="17"/>
        <v>×</v>
      </c>
      <c r="S130" s="410">
        <f t="shared" si="18"/>
        <v>0</v>
      </c>
      <c r="T130" s="410">
        <f t="shared" si="19"/>
        <v>0</v>
      </c>
      <c r="AJ130" s="58">
        <f t="shared" si="20"/>
        <v>0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0</v>
      </c>
      <c r="F131" s="42">
        <f t="shared" si="11"/>
        <v>0</v>
      </c>
      <c r="G131" s="42">
        <f>P!AJ132</f>
        <v>0</v>
      </c>
      <c r="H131" s="42">
        <f>G131*P!AK132</f>
        <v>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0</v>
      </c>
      <c r="N131" s="44">
        <f t="shared" si="14"/>
        <v>0</v>
      </c>
      <c r="O131" s="44">
        <f t="shared" si="15"/>
        <v>0</v>
      </c>
      <c r="P131" s="45" t="b">
        <f t="shared" si="16"/>
        <v>1</v>
      </c>
      <c r="Q131" s="183" t="str">
        <f t="shared" si="17"/>
        <v>×</v>
      </c>
      <c r="S131" s="410">
        <f t="shared" si="18"/>
        <v>0</v>
      </c>
      <c r="T131" s="410">
        <f t="shared" si="19"/>
        <v>0</v>
      </c>
      <c r="AJ131" s="58">
        <f t="shared" si="20"/>
        <v>0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0</v>
      </c>
      <c r="T132" s="410">
        <f t="shared" si="19"/>
        <v>0</v>
      </c>
      <c r="AJ132" s="58">
        <f t="shared" si="20"/>
        <v>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0</v>
      </c>
      <c r="T133" s="410">
        <f t="shared" ref="T133:T196" si="30">K133</f>
        <v>0</v>
      </c>
      <c r="AJ133" s="58">
        <f t="shared" ref="AJ133:AJ196" si="31">M133</f>
        <v>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0</v>
      </c>
      <c r="F134" s="42">
        <f t="shared" si="22"/>
        <v>0</v>
      </c>
      <c r="G134" s="42">
        <f>P!AJ135</f>
        <v>0</v>
      </c>
      <c r="H134" s="42">
        <f>G134*P!AK135</f>
        <v>0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0</v>
      </c>
      <c r="N134" s="44">
        <f t="shared" si="25"/>
        <v>0</v>
      </c>
      <c r="O134" s="44">
        <f t="shared" si="26"/>
        <v>0</v>
      </c>
      <c r="P134" s="45" t="b">
        <f t="shared" si="27"/>
        <v>1</v>
      </c>
      <c r="Q134" s="183" t="str">
        <f t="shared" si="28"/>
        <v>×</v>
      </c>
      <c r="S134" s="410">
        <f t="shared" si="29"/>
        <v>0</v>
      </c>
      <c r="T134" s="410">
        <f t="shared" si="30"/>
        <v>0</v>
      </c>
      <c r="AJ134" s="58">
        <f t="shared" si="31"/>
        <v>0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0</v>
      </c>
      <c r="T135" s="410">
        <f t="shared" si="30"/>
        <v>0</v>
      </c>
      <c r="AJ135" s="58">
        <f t="shared" si="31"/>
        <v>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0</v>
      </c>
      <c r="T136" s="410">
        <f t="shared" si="30"/>
        <v>0</v>
      </c>
      <c r="AJ136" s="58">
        <f t="shared" si="31"/>
        <v>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0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0</v>
      </c>
      <c r="T137" s="410">
        <f t="shared" si="30"/>
        <v>0</v>
      </c>
      <c r="AJ137" s="58">
        <f t="shared" si="31"/>
        <v>0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0</v>
      </c>
      <c r="T138" s="410">
        <f t="shared" si="30"/>
        <v>0</v>
      </c>
      <c r="AJ138" s="58">
        <f t="shared" si="31"/>
        <v>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0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0</v>
      </c>
      <c r="T139" s="410">
        <f t="shared" si="30"/>
        <v>0</v>
      </c>
      <c r="AJ139" s="58">
        <f t="shared" si="31"/>
        <v>0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0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0</v>
      </c>
      <c r="T140" s="410">
        <f t="shared" si="30"/>
        <v>0</v>
      </c>
      <c r="AJ140" s="58">
        <f t="shared" si="31"/>
        <v>0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0</v>
      </c>
      <c r="H142" s="42">
        <f>G142*P!AK143</f>
        <v>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0</v>
      </c>
      <c r="N142" s="44">
        <f t="shared" si="25"/>
        <v>0</v>
      </c>
      <c r="O142" s="44">
        <f t="shared" si="26"/>
        <v>0</v>
      </c>
      <c r="P142" s="45" t="b">
        <f t="shared" si="27"/>
        <v>1</v>
      </c>
      <c r="Q142" s="183" t="str">
        <f t="shared" si="28"/>
        <v>×</v>
      </c>
      <c r="S142" s="410">
        <f t="shared" si="29"/>
        <v>0</v>
      </c>
      <c r="T142" s="410">
        <f t="shared" si="30"/>
        <v>0</v>
      </c>
      <c r="AJ142" s="58">
        <f t="shared" si="31"/>
        <v>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0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0</v>
      </c>
      <c r="T143" s="410">
        <f t="shared" si="30"/>
        <v>0</v>
      </c>
      <c r="AJ143" s="58">
        <f t="shared" si="31"/>
        <v>0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0</v>
      </c>
      <c r="F144" s="42">
        <f t="shared" si="22"/>
        <v>0</v>
      </c>
      <c r="G144" s="42">
        <f>P!AJ145</f>
        <v>0</v>
      </c>
      <c r="H144" s="42">
        <f>G144*P!AK145</f>
        <v>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0</v>
      </c>
      <c r="N144" s="44">
        <f t="shared" si="25"/>
        <v>0</v>
      </c>
      <c r="O144" s="44">
        <f t="shared" si="26"/>
        <v>0</v>
      </c>
      <c r="P144" s="45" t="b">
        <f t="shared" si="27"/>
        <v>1</v>
      </c>
      <c r="Q144" s="183" t="str">
        <f t="shared" si="28"/>
        <v>×</v>
      </c>
      <c r="S144" s="410">
        <f t="shared" si="29"/>
        <v>0</v>
      </c>
      <c r="T144" s="410">
        <f t="shared" si="30"/>
        <v>0</v>
      </c>
      <c r="AJ144" s="58">
        <f t="shared" si="31"/>
        <v>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0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0</v>
      </c>
      <c r="T145" s="410">
        <f t="shared" si="30"/>
        <v>0</v>
      </c>
      <c r="AJ145" s="58">
        <f t="shared" si="31"/>
        <v>0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0</v>
      </c>
      <c r="T146" s="410">
        <f t="shared" si="30"/>
        <v>0</v>
      </c>
      <c r="AJ146" s="58">
        <f t="shared" si="31"/>
        <v>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0</v>
      </c>
      <c r="T147" s="410">
        <f t="shared" si="30"/>
        <v>0</v>
      </c>
      <c r="AJ147" s="58">
        <f t="shared" si="31"/>
        <v>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0</v>
      </c>
      <c r="T148" s="410">
        <f t="shared" si="30"/>
        <v>0</v>
      </c>
      <c r="AJ148" s="58">
        <f t="shared" si="31"/>
        <v>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0</v>
      </c>
      <c r="T149" s="410">
        <f t="shared" si="30"/>
        <v>0</v>
      </c>
      <c r="AJ149" s="58">
        <f t="shared" si="31"/>
        <v>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0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0</v>
      </c>
      <c r="T150" s="410">
        <f t="shared" si="30"/>
        <v>0</v>
      </c>
      <c r="AJ150" s="58">
        <f t="shared" si="31"/>
        <v>0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0</v>
      </c>
      <c r="F151" s="42">
        <f t="shared" si="22"/>
        <v>0</v>
      </c>
      <c r="G151" s="42">
        <f>P!AJ152</f>
        <v>0</v>
      </c>
      <c r="H151" s="42">
        <f>G151*P!AK152</f>
        <v>0</v>
      </c>
      <c r="I151" s="42">
        <f>S!E150</f>
        <v>0</v>
      </c>
      <c r="J151" s="42">
        <f>I151*S!D150</f>
        <v>0</v>
      </c>
      <c r="K151" s="42">
        <f t="shared" si="23"/>
        <v>0</v>
      </c>
      <c r="L151" s="42">
        <f t="shared" si="24"/>
        <v>0</v>
      </c>
      <c r="M151" s="43">
        <f>IF(ISERR((J151+H151)/(G151+I151)),P!AK152,(J151+H151)/(G151+I151))</f>
        <v>0</v>
      </c>
      <c r="N151" s="44">
        <f t="shared" si="25"/>
        <v>0</v>
      </c>
      <c r="O151" s="44">
        <f t="shared" si="26"/>
        <v>0</v>
      </c>
      <c r="P151" s="45" t="b">
        <f t="shared" si="27"/>
        <v>1</v>
      </c>
      <c r="Q151" s="183" t="str">
        <f t="shared" si="28"/>
        <v>×</v>
      </c>
      <c r="S151" s="410">
        <f t="shared" si="29"/>
        <v>0</v>
      </c>
      <c r="T151" s="410">
        <f t="shared" si="30"/>
        <v>0</v>
      </c>
      <c r="AJ151" s="58">
        <f t="shared" si="31"/>
        <v>0</v>
      </c>
      <c r="AK151" s="58">
        <f t="shared" si="32"/>
        <v>0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0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0</v>
      </c>
      <c r="T152" s="410">
        <f t="shared" si="30"/>
        <v>0</v>
      </c>
      <c r="AJ152" s="58">
        <f t="shared" si="31"/>
        <v>0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0</v>
      </c>
      <c r="F153" s="42">
        <f t="shared" si="22"/>
        <v>0</v>
      </c>
      <c r="G153" s="42">
        <f>P!AJ154</f>
        <v>0</v>
      </c>
      <c r="H153" s="42">
        <f>G153*P!AK154</f>
        <v>0</v>
      </c>
      <c r="I153" s="42">
        <f>S!E152</f>
        <v>0</v>
      </c>
      <c r="J153" s="42">
        <f>I153*S!D152</f>
        <v>0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0</v>
      </c>
      <c r="N153" s="44">
        <f t="shared" si="25"/>
        <v>0</v>
      </c>
      <c r="O153" s="44">
        <f t="shared" si="26"/>
        <v>0</v>
      </c>
      <c r="P153" s="45" t="b">
        <f t="shared" si="27"/>
        <v>1</v>
      </c>
      <c r="Q153" s="183" t="str">
        <f t="shared" si="28"/>
        <v>×</v>
      </c>
      <c r="S153" s="410">
        <f t="shared" si="29"/>
        <v>0</v>
      </c>
      <c r="T153" s="410">
        <f t="shared" si="30"/>
        <v>0</v>
      </c>
      <c r="AJ153" s="58">
        <f t="shared" si="31"/>
        <v>0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0</v>
      </c>
      <c r="F154" s="42">
        <f t="shared" si="22"/>
        <v>0</v>
      </c>
      <c r="G154" s="42">
        <f>P!AJ155</f>
        <v>0</v>
      </c>
      <c r="H154" s="42">
        <f>G154*P!AK155</f>
        <v>0</v>
      </c>
      <c r="I154" s="42">
        <f>S!E153</f>
        <v>0</v>
      </c>
      <c r="J154" s="42">
        <f>I154*S!D153</f>
        <v>0</v>
      </c>
      <c r="K154" s="42">
        <f t="shared" si="23"/>
        <v>0</v>
      </c>
      <c r="L154" s="42">
        <f t="shared" si="24"/>
        <v>0</v>
      </c>
      <c r="M154" s="43">
        <f>IF(ISERR((J154+H154)/(G154+I154)),P!AK155,(J154+H154)/(G154+I154))</f>
        <v>0</v>
      </c>
      <c r="N154" s="44">
        <f t="shared" si="25"/>
        <v>0</v>
      </c>
      <c r="O154" s="44">
        <f t="shared" si="26"/>
        <v>0</v>
      </c>
      <c r="P154" s="45" t="b">
        <f t="shared" si="27"/>
        <v>1</v>
      </c>
      <c r="Q154" s="183" t="str">
        <f t="shared" si="28"/>
        <v>×</v>
      </c>
      <c r="S154" s="410">
        <f t="shared" si="29"/>
        <v>0</v>
      </c>
      <c r="T154" s="410">
        <f t="shared" si="30"/>
        <v>0</v>
      </c>
      <c r="AJ154" s="58">
        <f t="shared" si="31"/>
        <v>0</v>
      </c>
      <c r="AK154" s="58">
        <f t="shared" si="32"/>
        <v>0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0</v>
      </c>
      <c r="H155" s="42">
        <f>G155*P!AK156</f>
        <v>0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0</v>
      </c>
      <c r="N155" s="44">
        <f t="shared" si="25"/>
        <v>0</v>
      </c>
      <c r="O155" s="44">
        <f t="shared" si="26"/>
        <v>0</v>
      </c>
      <c r="P155" s="45" t="b">
        <f t="shared" si="27"/>
        <v>1</v>
      </c>
      <c r="Q155" s="183" t="str">
        <f t="shared" si="28"/>
        <v>×</v>
      </c>
      <c r="S155" s="410">
        <f t="shared" si="29"/>
        <v>0</v>
      </c>
      <c r="T155" s="410">
        <f t="shared" si="30"/>
        <v>0</v>
      </c>
      <c r="AJ155" s="58">
        <f t="shared" si="31"/>
        <v>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0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0</v>
      </c>
      <c r="T156" s="410">
        <f t="shared" si="30"/>
        <v>0</v>
      </c>
      <c r="AJ156" s="58">
        <f t="shared" si="31"/>
        <v>0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0</v>
      </c>
      <c r="T157" s="410">
        <f t="shared" si="30"/>
        <v>0</v>
      </c>
      <c r="AJ157" s="58">
        <f t="shared" si="31"/>
        <v>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0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0</v>
      </c>
      <c r="T159" s="410">
        <f t="shared" si="30"/>
        <v>0</v>
      </c>
      <c r="AJ159" s="58">
        <f t="shared" si="31"/>
        <v>0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0</v>
      </c>
      <c r="T160" s="410">
        <f t="shared" si="30"/>
        <v>0</v>
      </c>
      <c r="AJ160" s="58">
        <f t="shared" si="31"/>
        <v>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0</v>
      </c>
      <c r="H161" s="42">
        <f>G161*P!AK162</f>
        <v>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0</v>
      </c>
      <c r="N161" s="44">
        <f t="shared" si="25"/>
        <v>0</v>
      </c>
      <c r="O161" s="44">
        <f t="shared" si="26"/>
        <v>0</v>
      </c>
      <c r="P161" s="45" t="b">
        <f t="shared" si="27"/>
        <v>1</v>
      </c>
      <c r="Q161" s="183" t="str">
        <f t="shared" si="28"/>
        <v>×</v>
      </c>
      <c r="S161" s="410">
        <f t="shared" si="29"/>
        <v>0</v>
      </c>
      <c r="T161" s="410">
        <f t="shared" si="30"/>
        <v>0</v>
      </c>
      <c r="AJ161" s="58">
        <f t="shared" si="31"/>
        <v>0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0</v>
      </c>
      <c r="F162" s="42">
        <f t="shared" si="22"/>
        <v>0</v>
      </c>
      <c r="G162" s="42">
        <f>P!AJ163</f>
        <v>0</v>
      </c>
      <c r="H162" s="42">
        <f>G162*P!AK163</f>
        <v>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0</v>
      </c>
      <c r="N162" s="44">
        <f t="shared" si="25"/>
        <v>0</v>
      </c>
      <c r="O162" s="44">
        <f t="shared" si="26"/>
        <v>0</v>
      </c>
      <c r="P162" s="45" t="b">
        <f t="shared" si="27"/>
        <v>1</v>
      </c>
      <c r="Q162" s="183" t="str">
        <f t="shared" si="28"/>
        <v>×</v>
      </c>
      <c r="S162" s="410">
        <f t="shared" si="29"/>
        <v>0</v>
      </c>
      <c r="T162" s="410">
        <f t="shared" si="30"/>
        <v>0</v>
      </c>
      <c r="AJ162" s="58">
        <f t="shared" si="31"/>
        <v>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0</v>
      </c>
      <c r="T163" s="410">
        <f t="shared" si="30"/>
        <v>0</v>
      </c>
      <c r="AJ163" s="58">
        <f t="shared" si="31"/>
        <v>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0</v>
      </c>
      <c r="T164" s="410">
        <f t="shared" si="30"/>
        <v>0</v>
      </c>
      <c r="AJ164" s="58">
        <f t="shared" si="31"/>
        <v>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0</v>
      </c>
      <c r="T165" s="410">
        <f t="shared" si="30"/>
        <v>0</v>
      </c>
      <c r="AJ165" s="58">
        <f t="shared" si="31"/>
        <v>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0</v>
      </c>
      <c r="T168" s="410">
        <f t="shared" si="30"/>
        <v>0</v>
      </c>
      <c r="AJ168" s="58">
        <f t="shared" si="31"/>
        <v>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0</v>
      </c>
      <c r="F169" s="42">
        <f t="shared" si="22"/>
        <v>0</v>
      </c>
      <c r="G169" s="42">
        <f>P!AJ170</f>
        <v>0</v>
      </c>
      <c r="H169" s="42">
        <f>G169*P!AK170</f>
        <v>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0</v>
      </c>
      <c r="N169" s="44">
        <f t="shared" si="25"/>
        <v>0</v>
      </c>
      <c r="O169" s="44">
        <f t="shared" si="26"/>
        <v>0</v>
      </c>
      <c r="P169" s="45" t="b">
        <f t="shared" si="27"/>
        <v>1</v>
      </c>
      <c r="Q169" s="183" t="str">
        <f t="shared" si="28"/>
        <v>×</v>
      </c>
      <c r="S169" s="410">
        <f t="shared" si="29"/>
        <v>0</v>
      </c>
      <c r="T169" s="410">
        <f t="shared" si="30"/>
        <v>0</v>
      </c>
      <c r="AJ169" s="58">
        <f t="shared" si="31"/>
        <v>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0</v>
      </c>
      <c r="F170" s="42">
        <f t="shared" si="22"/>
        <v>0</v>
      </c>
      <c r="G170" s="42">
        <f>P!AJ171</f>
        <v>0</v>
      </c>
      <c r="H170" s="42">
        <f>G170*P!AK171</f>
        <v>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0</v>
      </c>
      <c r="N170" s="44">
        <f t="shared" si="25"/>
        <v>0</v>
      </c>
      <c r="O170" s="44">
        <f t="shared" si="26"/>
        <v>0</v>
      </c>
      <c r="P170" s="45" t="b">
        <f t="shared" si="27"/>
        <v>1</v>
      </c>
      <c r="Q170" s="183" t="str">
        <f t="shared" si="28"/>
        <v>×</v>
      </c>
      <c r="S170" s="410">
        <f t="shared" si="29"/>
        <v>0</v>
      </c>
      <c r="T170" s="410">
        <f t="shared" si="30"/>
        <v>0</v>
      </c>
      <c r="AJ170" s="58">
        <f t="shared" si="31"/>
        <v>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0</v>
      </c>
      <c r="F171" s="42">
        <f t="shared" si="22"/>
        <v>0</v>
      </c>
      <c r="G171" s="42">
        <f>P!AJ172</f>
        <v>0</v>
      </c>
      <c r="H171" s="42">
        <f>G171*P!AK172</f>
        <v>0</v>
      </c>
      <c r="I171" s="42">
        <f>S!E170</f>
        <v>0</v>
      </c>
      <c r="J171" s="42">
        <f>I171*S!D170</f>
        <v>0</v>
      </c>
      <c r="K171" s="42">
        <f t="shared" si="23"/>
        <v>0</v>
      </c>
      <c r="L171" s="42">
        <f t="shared" si="24"/>
        <v>0</v>
      </c>
      <c r="M171" s="43">
        <f>IF(ISERR((J171+H171)/(G171+I171)),P!AK172,(J171+H171)/(G171+I171))</f>
        <v>0</v>
      </c>
      <c r="N171" s="44">
        <f t="shared" si="25"/>
        <v>0</v>
      </c>
      <c r="O171" s="44">
        <f t="shared" si="26"/>
        <v>0</v>
      </c>
      <c r="P171" s="45" t="b">
        <f t="shared" si="27"/>
        <v>1</v>
      </c>
      <c r="Q171" s="183" t="str">
        <f t="shared" si="28"/>
        <v>×</v>
      </c>
      <c r="S171" s="410">
        <f t="shared" si="29"/>
        <v>0</v>
      </c>
      <c r="T171" s="410">
        <f t="shared" si="30"/>
        <v>0</v>
      </c>
      <c r="AJ171" s="58">
        <f t="shared" si="31"/>
        <v>0</v>
      </c>
      <c r="AK171" s="58">
        <f t="shared" si="32"/>
        <v>0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0</v>
      </c>
      <c r="T172" s="410">
        <f t="shared" si="30"/>
        <v>0</v>
      </c>
      <c r="AJ172" s="58">
        <f t="shared" si="31"/>
        <v>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0</v>
      </c>
      <c r="T173" s="410">
        <f t="shared" si="30"/>
        <v>0</v>
      </c>
      <c r="AJ173" s="58">
        <f t="shared" si="31"/>
        <v>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0</v>
      </c>
      <c r="T174" s="410">
        <f t="shared" si="30"/>
        <v>0</v>
      </c>
      <c r="AJ174" s="58">
        <f t="shared" si="31"/>
        <v>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0</v>
      </c>
      <c r="T176" s="410">
        <f t="shared" si="30"/>
        <v>0</v>
      </c>
      <c r="AJ176" s="58">
        <f t="shared" si="31"/>
        <v>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0</v>
      </c>
      <c r="T177" s="410">
        <f t="shared" si="30"/>
        <v>0</v>
      </c>
      <c r="AJ177" s="58">
        <f t="shared" si="31"/>
        <v>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0</v>
      </c>
      <c r="F178" s="42">
        <f t="shared" si="22"/>
        <v>0</v>
      </c>
      <c r="G178" s="42">
        <f>P!AJ179</f>
        <v>0</v>
      </c>
      <c r="H178" s="42">
        <f>G178*P!AK179</f>
        <v>0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0</v>
      </c>
      <c r="N178" s="44">
        <f t="shared" si="25"/>
        <v>0</v>
      </c>
      <c r="O178" s="44">
        <f t="shared" si="26"/>
        <v>0</v>
      </c>
      <c r="P178" s="45" t="b">
        <f t="shared" si="27"/>
        <v>1</v>
      </c>
      <c r="Q178" s="183" t="str">
        <f t="shared" si="28"/>
        <v>×</v>
      </c>
      <c r="S178" s="410">
        <f t="shared" si="29"/>
        <v>0</v>
      </c>
      <c r="T178" s="410">
        <f t="shared" si="30"/>
        <v>0</v>
      </c>
      <c r="AJ178" s="58">
        <f t="shared" si="31"/>
        <v>0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0</v>
      </c>
      <c r="F179" s="42">
        <f t="shared" si="22"/>
        <v>0</v>
      </c>
      <c r="G179" s="42">
        <f>P!AJ180</f>
        <v>0</v>
      </c>
      <c r="H179" s="42">
        <f>G179*P!AK180</f>
        <v>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0</v>
      </c>
      <c r="N179" s="44">
        <f t="shared" si="25"/>
        <v>0</v>
      </c>
      <c r="O179" s="44">
        <f t="shared" si="26"/>
        <v>0</v>
      </c>
      <c r="P179" s="45" t="b">
        <f t="shared" si="27"/>
        <v>1</v>
      </c>
      <c r="Q179" s="183" t="str">
        <f t="shared" si="28"/>
        <v>×</v>
      </c>
      <c r="S179" s="410">
        <f t="shared" si="29"/>
        <v>0</v>
      </c>
      <c r="T179" s="410">
        <f t="shared" si="30"/>
        <v>0</v>
      </c>
      <c r="AJ179" s="58">
        <f t="shared" si="31"/>
        <v>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0</v>
      </c>
      <c r="F180" s="42">
        <f t="shared" si="22"/>
        <v>0</v>
      </c>
      <c r="G180" s="42">
        <f>P!AJ181</f>
        <v>0</v>
      </c>
      <c r="H180" s="42">
        <f>G180*P!AK181</f>
        <v>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0</v>
      </c>
      <c r="N180" s="44">
        <f t="shared" si="25"/>
        <v>0</v>
      </c>
      <c r="O180" s="44">
        <f t="shared" si="26"/>
        <v>0</v>
      </c>
      <c r="P180" s="45" t="b">
        <f t="shared" si="27"/>
        <v>1</v>
      </c>
      <c r="Q180" s="183" t="str">
        <f t="shared" si="28"/>
        <v>×</v>
      </c>
      <c r="S180" s="410">
        <f t="shared" si="29"/>
        <v>0</v>
      </c>
      <c r="T180" s="410">
        <f t="shared" si="30"/>
        <v>0</v>
      </c>
      <c r="AJ180" s="58">
        <f t="shared" si="31"/>
        <v>0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0</v>
      </c>
      <c r="F181" s="42">
        <f t="shared" si="22"/>
        <v>0</v>
      </c>
      <c r="G181" s="42">
        <f>P!AJ182</f>
        <v>0</v>
      </c>
      <c r="H181" s="42">
        <f>G181*P!AK182</f>
        <v>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0</v>
      </c>
      <c r="N181" s="44">
        <f t="shared" si="25"/>
        <v>0</v>
      </c>
      <c r="O181" s="44">
        <f t="shared" si="26"/>
        <v>0</v>
      </c>
      <c r="P181" s="45" t="b">
        <f t="shared" si="27"/>
        <v>1</v>
      </c>
      <c r="Q181" s="183" t="str">
        <f t="shared" si="28"/>
        <v>×</v>
      </c>
      <c r="S181" s="410">
        <f t="shared" si="29"/>
        <v>0</v>
      </c>
      <c r="T181" s="410">
        <f t="shared" si="30"/>
        <v>0</v>
      </c>
      <c r="AJ181" s="58">
        <f t="shared" si="31"/>
        <v>0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0</v>
      </c>
      <c r="F182" s="42">
        <f t="shared" si="22"/>
        <v>0</v>
      </c>
      <c r="G182" s="42">
        <f>P!AJ183</f>
        <v>0</v>
      </c>
      <c r="H182" s="42">
        <f>G182*P!AK183</f>
        <v>0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0</v>
      </c>
      <c r="N182" s="44">
        <f t="shared" si="25"/>
        <v>0</v>
      </c>
      <c r="O182" s="44">
        <f t="shared" si="26"/>
        <v>0</v>
      </c>
      <c r="P182" s="45" t="b">
        <f t="shared" si="27"/>
        <v>1</v>
      </c>
      <c r="Q182" s="183" t="str">
        <f t="shared" si="28"/>
        <v>×</v>
      </c>
      <c r="S182" s="410">
        <f t="shared" si="29"/>
        <v>0</v>
      </c>
      <c r="T182" s="410">
        <f t="shared" si="30"/>
        <v>0</v>
      </c>
      <c r="AJ182" s="58">
        <f t="shared" si="31"/>
        <v>0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0</v>
      </c>
      <c r="F183" s="42">
        <f t="shared" si="22"/>
        <v>0</v>
      </c>
      <c r="G183" s="42">
        <f>P!AJ184</f>
        <v>0</v>
      </c>
      <c r="H183" s="42">
        <f>G183*P!AK184</f>
        <v>0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0</v>
      </c>
      <c r="N183" s="44">
        <f t="shared" si="25"/>
        <v>0</v>
      </c>
      <c r="O183" s="44">
        <f t="shared" si="26"/>
        <v>0</v>
      </c>
      <c r="P183" s="45" t="b">
        <f t="shared" si="27"/>
        <v>1</v>
      </c>
      <c r="Q183" s="183" t="str">
        <f t="shared" si="28"/>
        <v>×</v>
      </c>
      <c r="S183" s="410">
        <f t="shared" si="29"/>
        <v>0</v>
      </c>
      <c r="T183" s="410">
        <f t="shared" si="30"/>
        <v>0</v>
      </c>
      <c r="AJ183" s="58">
        <f t="shared" si="31"/>
        <v>0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0</v>
      </c>
      <c r="F184" s="42">
        <f t="shared" si="22"/>
        <v>0</v>
      </c>
      <c r="G184" s="42">
        <f>P!AJ185</f>
        <v>0</v>
      </c>
      <c r="H184" s="42">
        <f>G184*P!AK185</f>
        <v>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0</v>
      </c>
      <c r="N184" s="44">
        <f t="shared" si="25"/>
        <v>0</v>
      </c>
      <c r="O184" s="44">
        <f t="shared" si="26"/>
        <v>0</v>
      </c>
      <c r="P184" s="45" t="b">
        <f t="shared" si="27"/>
        <v>1</v>
      </c>
      <c r="Q184" s="183" t="str">
        <f t="shared" si="28"/>
        <v>×</v>
      </c>
      <c r="S184" s="410">
        <f t="shared" si="29"/>
        <v>0</v>
      </c>
      <c r="T184" s="410">
        <f t="shared" si="30"/>
        <v>0</v>
      </c>
      <c r="AJ184" s="58">
        <f t="shared" si="31"/>
        <v>0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0</v>
      </c>
      <c r="F185" s="42">
        <f t="shared" si="22"/>
        <v>0</v>
      </c>
      <c r="G185" s="42">
        <f>P!AJ186</f>
        <v>0</v>
      </c>
      <c r="H185" s="42">
        <f>G185*P!AK186</f>
        <v>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0</v>
      </c>
      <c r="N185" s="44">
        <f t="shared" si="25"/>
        <v>0</v>
      </c>
      <c r="O185" s="44">
        <f t="shared" si="26"/>
        <v>0</v>
      </c>
      <c r="P185" s="45" t="b">
        <f t="shared" si="27"/>
        <v>1</v>
      </c>
      <c r="Q185" s="183" t="str">
        <f t="shared" si="28"/>
        <v>×</v>
      </c>
      <c r="S185" s="410">
        <f t="shared" si="29"/>
        <v>0</v>
      </c>
      <c r="T185" s="410">
        <f t="shared" si="30"/>
        <v>0</v>
      </c>
      <c r="AJ185" s="58">
        <f t="shared" si="31"/>
        <v>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0</v>
      </c>
      <c r="F186" s="42">
        <f t="shared" si="22"/>
        <v>0</v>
      </c>
      <c r="G186" s="42">
        <f>P!AJ187</f>
        <v>0</v>
      </c>
      <c r="H186" s="42">
        <f>G186*P!AK187</f>
        <v>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0</v>
      </c>
      <c r="N186" s="44">
        <f t="shared" si="25"/>
        <v>0</v>
      </c>
      <c r="O186" s="44">
        <f t="shared" si="26"/>
        <v>0</v>
      </c>
      <c r="P186" s="45" t="b">
        <f t="shared" si="27"/>
        <v>1</v>
      </c>
      <c r="Q186" s="183" t="str">
        <f t="shared" si="28"/>
        <v>×</v>
      </c>
      <c r="S186" s="410">
        <f t="shared" si="29"/>
        <v>0</v>
      </c>
      <c r="T186" s="410">
        <f t="shared" si="30"/>
        <v>0</v>
      </c>
      <c r="AJ186" s="58">
        <f t="shared" si="31"/>
        <v>0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0</v>
      </c>
      <c r="F187" s="42">
        <f t="shared" si="22"/>
        <v>0</v>
      </c>
      <c r="G187" s="42">
        <f>P!AJ188</f>
        <v>0</v>
      </c>
      <c r="H187" s="42">
        <f>G187*P!AK188</f>
        <v>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0</v>
      </c>
      <c r="N187" s="44">
        <f t="shared" si="25"/>
        <v>0</v>
      </c>
      <c r="O187" s="44">
        <f t="shared" si="26"/>
        <v>0</v>
      </c>
      <c r="P187" s="45" t="b">
        <f t="shared" si="27"/>
        <v>1</v>
      </c>
      <c r="Q187" s="183" t="str">
        <f t="shared" si="28"/>
        <v>×</v>
      </c>
      <c r="S187" s="410">
        <f t="shared" si="29"/>
        <v>0</v>
      </c>
      <c r="T187" s="410">
        <f t="shared" si="30"/>
        <v>0</v>
      </c>
      <c r="AJ187" s="58">
        <f t="shared" si="31"/>
        <v>0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0</v>
      </c>
      <c r="F188" s="42">
        <f t="shared" si="22"/>
        <v>0</v>
      </c>
      <c r="G188" s="42">
        <f>P!AJ189</f>
        <v>0</v>
      </c>
      <c r="H188" s="42">
        <f>G188*P!AK189</f>
        <v>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0</v>
      </c>
      <c r="N188" s="44">
        <f t="shared" si="25"/>
        <v>0</v>
      </c>
      <c r="O188" s="44">
        <f t="shared" si="26"/>
        <v>0</v>
      </c>
      <c r="P188" s="45" t="b">
        <f t="shared" si="27"/>
        <v>1</v>
      </c>
      <c r="Q188" s="183" t="str">
        <f t="shared" si="28"/>
        <v>×</v>
      </c>
      <c r="S188" s="410">
        <f t="shared" si="29"/>
        <v>0</v>
      </c>
      <c r="T188" s="410">
        <f t="shared" si="30"/>
        <v>0</v>
      </c>
      <c r="AJ188" s="58">
        <f t="shared" si="31"/>
        <v>0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0</v>
      </c>
      <c r="F189" s="42">
        <f t="shared" si="22"/>
        <v>0</v>
      </c>
      <c r="G189" s="42">
        <f>P!AJ190</f>
        <v>0</v>
      </c>
      <c r="H189" s="42">
        <f>G189*P!AK190</f>
        <v>0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0</v>
      </c>
      <c r="N189" s="44">
        <f t="shared" si="25"/>
        <v>0</v>
      </c>
      <c r="O189" s="44">
        <f t="shared" si="26"/>
        <v>0</v>
      </c>
      <c r="P189" s="45" t="b">
        <f t="shared" si="27"/>
        <v>1</v>
      </c>
      <c r="Q189" s="183" t="str">
        <f t="shared" si="28"/>
        <v>×</v>
      </c>
      <c r="S189" s="410">
        <f t="shared" si="29"/>
        <v>0</v>
      </c>
      <c r="T189" s="410">
        <f t="shared" si="30"/>
        <v>0</v>
      </c>
      <c r="AJ189" s="58">
        <f t="shared" si="31"/>
        <v>0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0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0</v>
      </c>
      <c r="T190" s="410">
        <f t="shared" si="30"/>
        <v>0</v>
      </c>
      <c r="AJ190" s="58">
        <f t="shared" si="31"/>
        <v>0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0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0</v>
      </c>
      <c r="T191" s="410">
        <f t="shared" si="30"/>
        <v>0</v>
      </c>
      <c r="AJ191" s="58">
        <f t="shared" si="31"/>
        <v>0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0</v>
      </c>
      <c r="F192" s="42">
        <f t="shared" si="22"/>
        <v>0</v>
      </c>
      <c r="G192" s="42">
        <f>P!AJ193</f>
        <v>0</v>
      </c>
      <c r="H192" s="42">
        <f>G192*P!AK193</f>
        <v>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0</v>
      </c>
      <c r="N192" s="44">
        <f t="shared" si="25"/>
        <v>0</v>
      </c>
      <c r="O192" s="44">
        <f t="shared" si="26"/>
        <v>0</v>
      </c>
      <c r="P192" s="45" t="b">
        <f t="shared" si="27"/>
        <v>1</v>
      </c>
      <c r="Q192" s="183" t="str">
        <f t="shared" si="28"/>
        <v>×</v>
      </c>
      <c r="S192" s="410">
        <f t="shared" si="29"/>
        <v>0</v>
      </c>
      <c r="T192" s="410">
        <f t="shared" si="30"/>
        <v>0</v>
      </c>
      <c r="AJ192" s="58">
        <f t="shared" si="31"/>
        <v>0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0</v>
      </c>
      <c r="T193" s="410">
        <f t="shared" si="30"/>
        <v>0</v>
      </c>
      <c r="AJ193" s="58">
        <f t="shared" si="31"/>
        <v>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0</v>
      </c>
      <c r="F194" s="42">
        <f t="shared" si="22"/>
        <v>0</v>
      </c>
      <c r="G194" s="42">
        <f>P!AJ195</f>
        <v>0</v>
      </c>
      <c r="H194" s="42">
        <f>G194*P!AK195</f>
        <v>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0</v>
      </c>
      <c r="N194" s="44">
        <f t="shared" si="25"/>
        <v>0</v>
      </c>
      <c r="O194" s="44">
        <f t="shared" si="26"/>
        <v>0</v>
      </c>
      <c r="P194" s="45" t="b">
        <f t="shared" si="27"/>
        <v>1</v>
      </c>
      <c r="Q194" s="183" t="str">
        <f t="shared" si="28"/>
        <v>×</v>
      </c>
      <c r="S194" s="410">
        <f t="shared" si="29"/>
        <v>0</v>
      </c>
      <c r="T194" s="410">
        <f t="shared" si="30"/>
        <v>0</v>
      </c>
      <c r="AJ194" s="58">
        <f t="shared" si="31"/>
        <v>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0</v>
      </c>
      <c r="F195" s="42">
        <f t="shared" si="22"/>
        <v>0</v>
      </c>
      <c r="G195" s="42">
        <f>P!AJ196</f>
        <v>0</v>
      </c>
      <c r="H195" s="42">
        <f>G195*P!AK196</f>
        <v>0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0</v>
      </c>
      <c r="N195" s="44">
        <f t="shared" si="25"/>
        <v>0</v>
      </c>
      <c r="O195" s="44">
        <f t="shared" si="26"/>
        <v>0</v>
      </c>
      <c r="P195" s="45" t="b">
        <f t="shared" si="27"/>
        <v>1</v>
      </c>
      <c r="Q195" s="183" t="str">
        <f t="shared" si="28"/>
        <v>×</v>
      </c>
      <c r="S195" s="410">
        <f t="shared" si="29"/>
        <v>0</v>
      </c>
      <c r="T195" s="410">
        <f t="shared" si="30"/>
        <v>0</v>
      </c>
      <c r="AJ195" s="58">
        <f t="shared" si="31"/>
        <v>0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0</v>
      </c>
      <c r="F196" s="42">
        <f t="shared" si="22"/>
        <v>0</v>
      </c>
      <c r="G196" s="42">
        <f>P!AJ197</f>
        <v>0</v>
      </c>
      <c r="H196" s="42">
        <f>G196*P!AK197</f>
        <v>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0</v>
      </c>
      <c r="N196" s="44">
        <f t="shared" si="25"/>
        <v>0</v>
      </c>
      <c r="O196" s="44">
        <f t="shared" si="26"/>
        <v>0</v>
      </c>
      <c r="P196" s="45" t="b">
        <f t="shared" si="27"/>
        <v>1</v>
      </c>
      <c r="Q196" s="183" t="str">
        <f t="shared" si="28"/>
        <v>×</v>
      </c>
      <c r="S196" s="410">
        <f t="shared" si="29"/>
        <v>0</v>
      </c>
      <c r="T196" s="410">
        <f t="shared" si="30"/>
        <v>0</v>
      </c>
      <c r="AJ196" s="58">
        <f t="shared" si="31"/>
        <v>0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0</v>
      </c>
      <c r="T197" s="410">
        <f t="shared" ref="T197:T253" si="40">K197</f>
        <v>0</v>
      </c>
      <c r="AJ197" s="58">
        <f t="shared" ref="AJ197:AJ253" si="41">M197</f>
        <v>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0</v>
      </c>
      <c r="F198" s="42">
        <f t="shared" si="33"/>
        <v>0</v>
      </c>
      <c r="G198" s="42">
        <f>P!AJ199</f>
        <v>0</v>
      </c>
      <c r="H198" s="42">
        <f>G198*P!AK199</f>
        <v>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0</v>
      </c>
      <c r="N198" s="44">
        <f t="shared" si="35"/>
        <v>0</v>
      </c>
      <c r="O198" s="44">
        <f t="shared" si="36"/>
        <v>0</v>
      </c>
      <c r="P198" s="45" t="b">
        <f t="shared" si="37"/>
        <v>1</v>
      </c>
      <c r="Q198" s="183" t="str">
        <f t="shared" si="38"/>
        <v>×</v>
      </c>
      <c r="S198" s="410">
        <f t="shared" si="39"/>
        <v>0</v>
      </c>
      <c r="T198" s="410">
        <f t="shared" si="40"/>
        <v>0</v>
      </c>
      <c r="AJ198" s="58">
        <f t="shared" si="41"/>
        <v>0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0</v>
      </c>
      <c r="F199" s="42">
        <f t="shared" si="33"/>
        <v>0</v>
      </c>
      <c r="G199" s="42">
        <f>P!AJ200</f>
        <v>0</v>
      </c>
      <c r="H199" s="42">
        <f>G199*P!AK200</f>
        <v>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0</v>
      </c>
      <c r="N199" s="44">
        <f t="shared" si="35"/>
        <v>0</v>
      </c>
      <c r="O199" s="44">
        <f t="shared" si="36"/>
        <v>0</v>
      </c>
      <c r="P199" s="45" t="b">
        <f t="shared" si="37"/>
        <v>1</v>
      </c>
      <c r="Q199" s="183" t="str">
        <f t="shared" si="38"/>
        <v>×</v>
      </c>
      <c r="S199" s="410">
        <f t="shared" si="39"/>
        <v>0</v>
      </c>
      <c r="T199" s="410">
        <f t="shared" si="40"/>
        <v>0</v>
      </c>
      <c r="AJ199" s="58">
        <f t="shared" si="41"/>
        <v>0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</v>
      </c>
      <c r="F200" s="42">
        <f t="shared" si="33"/>
        <v>0</v>
      </c>
      <c r="G200" s="42">
        <f>P!AJ201</f>
        <v>0</v>
      </c>
      <c r="H200" s="42">
        <f>G200*P!AK201</f>
        <v>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0</v>
      </c>
      <c r="N200" s="44">
        <f t="shared" si="35"/>
        <v>0</v>
      </c>
      <c r="O200" s="44">
        <f t="shared" si="36"/>
        <v>0</v>
      </c>
      <c r="P200" s="45" t="b">
        <f t="shared" si="37"/>
        <v>1</v>
      </c>
      <c r="Q200" s="183" t="str">
        <f t="shared" si="38"/>
        <v>×</v>
      </c>
      <c r="S200" s="410">
        <f t="shared" si="39"/>
        <v>0</v>
      </c>
      <c r="T200" s="410">
        <f t="shared" si="40"/>
        <v>0</v>
      </c>
      <c r="AJ200" s="58">
        <f t="shared" si="41"/>
        <v>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0</v>
      </c>
      <c r="T201" s="410">
        <f t="shared" si="40"/>
        <v>0</v>
      </c>
      <c r="AJ201" s="58">
        <f t="shared" si="41"/>
        <v>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0</v>
      </c>
      <c r="T202" s="410">
        <f t="shared" si="40"/>
        <v>0</v>
      </c>
      <c r="AJ202" s="58">
        <f t="shared" si="41"/>
        <v>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0</v>
      </c>
      <c r="T203" s="410">
        <f t="shared" si="40"/>
        <v>0</v>
      </c>
      <c r="AJ203" s="58">
        <f t="shared" si="41"/>
        <v>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0</v>
      </c>
      <c r="F204" s="42">
        <f t="shared" si="33"/>
        <v>0</v>
      </c>
      <c r="G204" s="42">
        <f>P!AJ205</f>
        <v>0</v>
      </c>
      <c r="H204" s="42">
        <f>G204*P!AK205</f>
        <v>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0</v>
      </c>
      <c r="N204" s="44">
        <f t="shared" si="35"/>
        <v>0</v>
      </c>
      <c r="O204" s="44">
        <f t="shared" si="36"/>
        <v>0</v>
      </c>
      <c r="P204" s="45" t="b">
        <f t="shared" si="37"/>
        <v>1</v>
      </c>
      <c r="Q204" s="183" t="str">
        <f t="shared" si="38"/>
        <v>×</v>
      </c>
      <c r="S204" s="410">
        <f t="shared" si="39"/>
        <v>0</v>
      </c>
      <c r="T204" s="410">
        <f t="shared" si="40"/>
        <v>0</v>
      </c>
      <c r="AJ204" s="58">
        <f t="shared" si="41"/>
        <v>0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0</v>
      </c>
      <c r="F205" s="42">
        <f t="shared" si="33"/>
        <v>0</v>
      </c>
      <c r="G205" s="42">
        <f>P!AJ206</f>
        <v>0</v>
      </c>
      <c r="H205" s="42">
        <f>G205*P!AK206</f>
        <v>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0</v>
      </c>
      <c r="N205" s="44">
        <f t="shared" si="35"/>
        <v>0</v>
      </c>
      <c r="O205" s="44">
        <f t="shared" si="36"/>
        <v>0</v>
      </c>
      <c r="P205" s="45" t="b">
        <f t="shared" si="37"/>
        <v>1</v>
      </c>
      <c r="Q205" s="183" t="str">
        <f t="shared" si="38"/>
        <v>×</v>
      </c>
      <c r="S205" s="410">
        <f t="shared" si="39"/>
        <v>0</v>
      </c>
      <c r="T205" s="410">
        <f t="shared" si="40"/>
        <v>0</v>
      </c>
      <c r="AJ205" s="58">
        <f t="shared" si="41"/>
        <v>0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0</v>
      </c>
      <c r="F206" s="42">
        <f t="shared" si="33"/>
        <v>0</v>
      </c>
      <c r="G206" s="42">
        <f>P!AJ207</f>
        <v>0</v>
      </c>
      <c r="H206" s="42">
        <f>G206*P!AK207</f>
        <v>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0</v>
      </c>
      <c r="N206" s="44">
        <f t="shared" si="35"/>
        <v>0</v>
      </c>
      <c r="O206" s="44">
        <f t="shared" si="36"/>
        <v>0</v>
      </c>
      <c r="P206" s="45" t="b">
        <f t="shared" si="37"/>
        <v>1</v>
      </c>
      <c r="Q206" s="183" t="str">
        <f t="shared" si="38"/>
        <v>×</v>
      </c>
      <c r="S206" s="410">
        <f t="shared" si="39"/>
        <v>0</v>
      </c>
      <c r="T206" s="410">
        <f t="shared" si="40"/>
        <v>0</v>
      </c>
      <c r="AJ206" s="58">
        <f t="shared" si="41"/>
        <v>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0</v>
      </c>
      <c r="F207" s="42">
        <f t="shared" si="33"/>
        <v>0</v>
      </c>
      <c r="G207" s="42">
        <f>P!AJ208</f>
        <v>0</v>
      </c>
      <c r="H207" s="42">
        <f>G207*P!AK208</f>
        <v>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0</v>
      </c>
      <c r="N207" s="44">
        <f t="shared" si="35"/>
        <v>0</v>
      </c>
      <c r="O207" s="44">
        <f t="shared" si="36"/>
        <v>0</v>
      </c>
      <c r="P207" s="45" t="b">
        <f t="shared" si="37"/>
        <v>1</v>
      </c>
      <c r="Q207" s="183" t="str">
        <f t="shared" si="38"/>
        <v>×</v>
      </c>
      <c r="S207" s="410">
        <f t="shared" si="39"/>
        <v>0</v>
      </c>
      <c r="T207" s="410">
        <f t="shared" si="40"/>
        <v>0</v>
      </c>
      <c r="AJ207" s="58">
        <f t="shared" si="41"/>
        <v>0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0</v>
      </c>
      <c r="F208" s="42">
        <f t="shared" si="33"/>
        <v>0</v>
      </c>
      <c r="G208" s="42">
        <f>P!AJ209</f>
        <v>0</v>
      </c>
      <c r="H208" s="42">
        <f>G208*P!AK209</f>
        <v>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0</v>
      </c>
      <c r="N208" s="44">
        <f t="shared" si="35"/>
        <v>0</v>
      </c>
      <c r="O208" s="44">
        <f t="shared" si="36"/>
        <v>0</v>
      </c>
      <c r="P208" s="45" t="b">
        <f t="shared" si="37"/>
        <v>1</v>
      </c>
      <c r="Q208" s="183" t="str">
        <f t="shared" si="38"/>
        <v>×</v>
      </c>
      <c r="S208" s="410">
        <f t="shared" si="39"/>
        <v>0</v>
      </c>
      <c r="T208" s="410">
        <f t="shared" si="40"/>
        <v>0</v>
      </c>
      <c r="AJ208" s="58">
        <f t="shared" si="41"/>
        <v>0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0</v>
      </c>
      <c r="F210" s="42">
        <f t="shared" si="33"/>
        <v>0</v>
      </c>
      <c r="G210" s="42">
        <f>P!AJ211</f>
        <v>0</v>
      </c>
      <c r="H210" s="42">
        <f>G210*P!AK211</f>
        <v>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0</v>
      </c>
      <c r="N210" s="44">
        <f t="shared" si="35"/>
        <v>0</v>
      </c>
      <c r="O210" s="44">
        <f t="shared" si="36"/>
        <v>0</v>
      </c>
      <c r="P210" s="45" t="b">
        <f t="shared" si="37"/>
        <v>1</v>
      </c>
      <c r="Q210" s="183" t="str">
        <f t="shared" si="38"/>
        <v>×</v>
      </c>
      <c r="S210" s="410">
        <f t="shared" si="39"/>
        <v>0</v>
      </c>
      <c r="T210" s="410">
        <f t="shared" si="40"/>
        <v>0</v>
      </c>
      <c r="AJ210" s="58">
        <f t="shared" si="41"/>
        <v>0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0</v>
      </c>
      <c r="T211" s="410">
        <f t="shared" si="40"/>
        <v>0</v>
      </c>
      <c r="AJ211" s="58">
        <f t="shared" si="41"/>
        <v>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0</v>
      </c>
      <c r="T212" s="410">
        <f t="shared" si="40"/>
        <v>0</v>
      </c>
      <c r="AJ212" s="58">
        <f t="shared" si="41"/>
        <v>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0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0</v>
      </c>
      <c r="T213" s="410">
        <f t="shared" si="40"/>
        <v>0</v>
      </c>
      <c r="AJ213" s="58">
        <f t="shared" si="41"/>
        <v>0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0</v>
      </c>
      <c r="T214" s="410">
        <f t="shared" si="40"/>
        <v>0</v>
      </c>
      <c r="AJ214" s="58">
        <f t="shared" si="41"/>
        <v>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0</v>
      </c>
      <c r="F215" s="42">
        <f t="shared" si="33"/>
        <v>0</v>
      </c>
      <c r="G215" s="42">
        <f>P!AJ216</f>
        <v>0</v>
      </c>
      <c r="H215" s="42">
        <f>G215*P!AK216</f>
        <v>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0</v>
      </c>
      <c r="N215" s="44">
        <f t="shared" si="35"/>
        <v>0</v>
      </c>
      <c r="O215" s="44">
        <f t="shared" si="36"/>
        <v>0</v>
      </c>
      <c r="P215" s="45" t="b">
        <f t="shared" si="37"/>
        <v>1</v>
      </c>
      <c r="Q215" s="183" t="str">
        <f t="shared" si="38"/>
        <v>×</v>
      </c>
      <c r="S215" s="410">
        <f t="shared" si="39"/>
        <v>0</v>
      </c>
      <c r="T215" s="410">
        <f t="shared" si="40"/>
        <v>0</v>
      </c>
      <c r="AJ215" s="58">
        <f t="shared" si="41"/>
        <v>0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0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0</v>
      </c>
      <c r="T216" s="410">
        <f t="shared" si="40"/>
        <v>0</v>
      </c>
      <c r="AJ216" s="58">
        <f t="shared" si="41"/>
        <v>0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0</v>
      </c>
      <c r="T217" s="410">
        <f t="shared" si="40"/>
        <v>0</v>
      </c>
      <c r="AJ217" s="58">
        <f t="shared" si="41"/>
        <v>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0</v>
      </c>
      <c r="T218" s="410">
        <f t="shared" si="40"/>
        <v>0</v>
      </c>
      <c r="AJ218" s="58">
        <f t="shared" si="41"/>
        <v>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0</v>
      </c>
      <c r="T219" s="410">
        <f t="shared" si="40"/>
        <v>0</v>
      </c>
      <c r="AJ219" s="58">
        <f t="shared" si="41"/>
        <v>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0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0</v>
      </c>
      <c r="T222" s="410">
        <f t="shared" si="40"/>
        <v>0</v>
      </c>
      <c r="AJ222" s="58">
        <f t="shared" si="41"/>
        <v>0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0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0</v>
      </c>
      <c r="T229" s="410">
        <f t="shared" si="40"/>
        <v>0</v>
      </c>
      <c r="AJ229" s="58">
        <f t="shared" si="41"/>
        <v>0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0</v>
      </c>
      <c r="F230" s="42">
        <f t="shared" si="33"/>
        <v>0</v>
      </c>
      <c r="G230" s="42">
        <f>P!AJ231</f>
        <v>0</v>
      </c>
      <c r="H230" s="42">
        <f>G230*P!AK231</f>
        <v>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0</v>
      </c>
      <c r="N230" s="44">
        <f t="shared" si="35"/>
        <v>0</v>
      </c>
      <c r="O230" s="44">
        <f t="shared" si="36"/>
        <v>0</v>
      </c>
      <c r="P230" s="45" t="b">
        <f t="shared" si="37"/>
        <v>1</v>
      </c>
      <c r="Q230" s="183" t="str">
        <f t="shared" si="38"/>
        <v>×</v>
      </c>
      <c r="S230" s="410">
        <f t="shared" si="39"/>
        <v>0</v>
      </c>
      <c r="T230" s="410">
        <f t="shared" si="40"/>
        <v>0</v>
      </c>
      <c r="AJ230" s="58">
        <f t="shared" si="41"/>
        <v>0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0</v>
      </c>
      <c r="F231" s="42">
        <f t="shared" si="33"/>
        <v>0</v>
      </c>
      <c r="G231" s="42">
        <f>P!AJ232</f>
        <v>0</v>
      </c>
      <c r="H231" s="42">
        <f>G231*P!AK232</f>
        <v>0</v>
      </c>
      <c r="I231" s="42">
        <f>S!E230</f>
        <v>0</v>
      </c>
      <c r="J231" s="42">
        <f>I231*S!D230</f>
        <v>0</v>
      </c>
      <c r="K231" s="42">
        <f t="shared" si="34"/>
        <v>0</v>
      </c>
      <c r="L231" s="42">
        <f t="shared" si="43"/>
        <v>0</v>
      </c>
      <c r="M231" s="43">
        <f>IF(ISERR((J231+H231)/(G231+I231)),P!AK232,(J231+H231)/(G231+I231))</f>
        <v>0</v>
      </c>
      <c r="N231" s="44">
        <f t="shared" si="35"/>
        <v>0</v>
      </c>
      <c r="O231" s="44">
        <f t="shared" si="36"/>
        <v>0</v>
      </c>
      <c r="P231" s="45" t="b">
        <f t="shared" si="37"/>
        <v>1</v>
      </c>
      <c r="Q231" s="183" t="str">
        <f t="shared" si="38"/>
        <v>×</v>
      </c>
      <c r="S231" s="410">
        <f t="shared" si="39"/>
        <v>0</v>
      </c>
      <c r="T231" s="410">
        <f t="shared" si="40"/>
        <v>0</v>
      </c>
      <c r="AJ231" s="58">
        <f t="shared" si="41"/>
        <v>0</v>
      </c>
      <c r="AK231" s="58">
        <f t="shared" si="42"/>
        <v>0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0</v>
      </c>
      <c r="F232" s="42">
        <f t="shared" si="33"/>
        <v>0</v>
      </c>
      <c r="G232" s="42">
        <f>P!AJ233</f>
        <v>0</v>
      </c>
      <c r="H232" s="42">
        <f>G232*P!AK233</f>
        <v>0</v>
      </c>
      <c r="I232" s="42">
        <f>S!E231</f>
        <v>0</v>
      </c>
      <c r="J232" s="42">
        <f>I232*S!D231</f>
        <v>0</v>
      </c>
      <c r="K232" s="42">
        <f t="shared" si="34"/>
        <v>0</v>
      </c>
      <c r="L232" s="42">
        <f t="shared" si="43"/>
        <v>0</v>
      </c>
      <c r="M232" s="43">
        <f>IF(ISERR((J232+H232)/(G232+I232)),P!AK233,(J232+H232)/(G232+I232))</f>
        <v>0</v>
      </c>
      <c r="N232" s="44">
        <f t="shared" si="35"/>
        <v>0</v>
      </c>
      <c r="O232" s="44">
        <f t="shared" si="36"/>
        <v>0</v>
      </c>
      <c r="P232" s="45" t="b">
        <f t="shared" si="37"/>
        <v>1</v>
      </c>
      <c r="Q232" s="183" t="str">
        <f t="shared" si="38"/>
        <v>×</v>
      </c>
      <c r="S232" s="410">
        <f t="shared" si="39"/>
        <v>0</v>
      </c>
      <c r="T232" s="410">
        <f t="shared" si="40"/>
        <v>0</v>
      </c>
      <c r="AJ232" s="58">
        <f t="shared" si="41"/>
        <v>0</v>
      </c>
      <c r="AK232" s="58">
        <f t="shared" si="42"/>
        <v>0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0</v>
      </c>
      <c r="F233" s="42">
        <f t="shared" si="33"/>
        <v>0</v>
      </c>
      <c r="G233" s="42">
        <f>P!AJ234</f>
        <v>0</v>
      </c>
      <c r="H233" s="42">
        <f>G233*P!AK234</f>
        <v>0</v>
      </c>
      <c r="I233" s="42">
        <f>S!E232</f>
        <v>0</v>
      </c>
      <c r="J233" s="42">
        <f>I233*S!D232</f>
        <v>0</v>
      </c>
      <c r="K233" s="42">
        <f t="shared" si="34"/>
        <v>0</v>
      </c>
      <c r="L233" s="42">
        <f t="shared" si="43"/>
        <v>0</v>
      </c>
      <c r="M233" s="43">
        <f>IF(ISERR((J233+H233)/(G233+I233)),P!AK234,(J233+H233)/(G233+I233))</f>
        <v>0</v>
      </c>
      <c r="N233" s="44">
        <f t="shared" si="35"/>
        <v>0</v>
      </c>
      <c r="O233" s="44">
        <f t="shared" si="36"/>
        <v>0</v>
      </c>
      <c r="P233" s="45" t="b">
        <f t="shared" si="37"/>
        <v>1</v>
      </c>
      <c r="Q233" s="183" t="str">
        <f t="shared" si="38"/>
        <v>×</v>
      </c>
      <c r="S233" s="410">
        <f t="shared" si="39"/>
        <v>0</v>
      </c>
      <c r="T233" s="410">
        <f t="shared" si="40"/>
        <v>0</v>
      </c>
      <c r="AJ233" s="58">
        <f t="shared" si="41"/>
        <v>0</v>
      </c>
      <c r="AK233" s="58">
        <f t="shared" si="42"/>
        <v>0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0</v>
      </c>
      <c r="T234" s="410">
        <f t="shared" si="40"/>
        <v>0</v>
      </c>
      <c r="AJ234" s="58">
        <f t="shared" si="41"/>
        <v>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0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0</v>
      </c>
      <c r="T235" s="410">
        <f t="shared" si="40"/>
        <v>0</v>
      </c>
      <c r="AJ235" s="58">
        <f t="shared" si="41"/>
        <v>0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0</v>
      </c>
      <c r="T236" s="410">
        <f t="shared" si="40"/>
        <v>0</v>
      </c>
      <c r="AJ236" s="58">
        <f t="shared" si="41"/>
        <v>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0</v>
      </c>
      <c r="T237" s="410">
        <f t="shared" si="40"/>
        <v>0</v>
      </c>
      <c r="AJ237" s="58">
        <f t="shared" si="41"/>
        <v>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0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0</v>
      </c>
      <c r="T238" s="410">
        <f t="shared" si="40"/>
        <v>0</v>
      </c>
      <c r="AJ238" s="58">
        <f t="shared" si="41"/>
        <v>0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0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0</v>
      </c>
      <c r="T239" s="410">
        <f t="shared" si="40"/>
        <v>0</v>
      </c>
      <c r="AJ239" s="58">
        <f t="shared" si="41"/>
        <v>0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0</v>
      </c>
      <c r="T240" s="410">
        <f t="shared" si="40"/>
        <v>0</v>
      </c>
      <c r="AJ240" s="58">
        <f t="shared" si="41"/>
        <v>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0</v>
      </c>
      <c r="T241" s="410">
        <f t="shared" si="40"/>
        <v>0</v>
      </c>
      <c r="AJ241" s="58">
        <f t="shared" si="41"/>
        <v>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0</v>
      </c>
      <c r="T243" s="410">
        <f t="shared" si="40"/>
        <v>0</v>
      </c>
      <c r="AJ243" s="58">
        <f t="shared" si="41"/>
        <v>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0</v>
      </c>
      <c r="F244" s="42">
        <f t="shared" si="33"/>
        <v>0</v>
      </c>
      <c r="G244" s="42">
        <f>P!AJ245</f>
        <v>0</v>
      </c>
      <c r="H244" s="42">
        <f>G244*P!AK245</f>
        <v>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0</v>
      </c>
      <c r="N244" s="44">
        <f t="shared" si="35"/>
        <v>0</v>
      </c>
      <c r="O244" s="44">
        <f t="shared" si="36"/>
        <v>0</v>
      </c>
      <c r="P244" s="45" t="b">
        <f t="shared" si="37"/>
        <v>1</v>
      </c>
      <c r="Q244" s="183" t="str">
        <f t="shared" si="38"/>
        <v>×</v>
      </c>
      <c r="S244" s="410">
        <f t="shared" si="39"/>
        <v>0</v>
      </c>
      <c r="T244" s="410">
        <f t="shared" si="40"/>
        <v>0</v>
      </c>
      <c r="AJ244" s="58">
        <f t="shared" si="41"/>
        <v>0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0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0</v>
      </c>
      <c r="T245" s="410">
        <f t="shared" si="40"/>
        <v>0</v>
      </c>
      <c r="AJ245" s="58">
        <f t="shared" si="41"/>
        <v>0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0</v>
      </c>
      <c r="F246" s="42">
        <f t="shared" si="33"/>
        <v>0</v>
      </c>
      <c r="G246" s="42">
        <f>P!AJ247</f>
        <v>0</v>
      </c>
      <c r="H246" s="42">
        <f>G246*P!AK247</f>
        <v>0</v>
      </c>
      <c r="I246" s="42">
        <f>S!E245</f>
        <v>0</v>
      </c>
      <c r="J246" s="42">
        <f>I246*S!D245</f>
        <v>0</v>
      </c>
      <c r="K246" s="42">
        <f t="shared" si="34"/>
        <v>0</v>
      </c>
      <c r="L246" s="42">
        <f t="shared" si="43"/>
        <v>0</v>
      </c>
      <c r="M246" s="43">
        <f>IF(ISERR((J246+H246)/(G246+I246)),P!AK247,(J246+H246)/(G246+I246))</f>
        <v>0</v>
      </c>
      <c r="N246" s="44">
        <f t="shared" si="35"/>
        <v>0</v>
      </c>
      <c r="O246" s="44">
        <f t="shared" si="36"/>
        <v>0</v>
      </c>
      <c r="P246" s="45" t="b">
        <f t="shared" si="37"/>
        <v>1</v>
      </c>
      <c r="Q246" s="183" t="str">
        <f t="shared" si="38"/>
        <v>×</v>
      </c>
      <c r="S246" s="410">
        <f t="shared" si="39"/>
        <v>0</v>
      </c>
      <c r="T246" s="410">
        <f t="shared" si="40"/>
        <v>0</v>
      </c>
      <c r="AJ246" s="58">
        <f t="shared" si="41"/>
        <v>0</v>
      </c>
      <c r="AK246" s="58">
        <f t="shared" si="42"/>
        <v>0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0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0</v>
      </c>
      <c r="T247" s="410">
        <f t="shared" si="40"/>
        <v>0</v>
      </c>
      <c r="AJ247" s="58">
        <f t="shared" si="41"/>
        <v>0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0</v>
      </c>
      <c r="F248" s="197">
        <f t="shared" si="33"/>
        <v>0</v>
      </c>
      <c r="G248" s="197">
        <f>P!AJ249</f>
        <v>0</v>
      </c>
      <c r="H248" s="197">
        <f>G248*P!AK249</f>
        <v>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0</v>
      </c>
      <c r="N248" s="274">
        <f t="shared" si="35"/>
        <v>0</v>
      </c>
      <c r="O248" s="274">
        <f t="shared" si="36"/>
        <v>0</v>
      </c>
      <c r="P248" s="275" t="b">
        <f t="shared" si="37"/>
        <v>1</v>
      </c>
      <c r="Q248" s="199" t="str">
        <f t="shared" si="38"/>
        <v>×</v>
      </c>
      <c r="S248" s="410">
        <f t="shared" si="39"/>
        <v>0</v>
      </c>
      <c r="T248" s="410">
        <f t="shared" si="40"/>
        <v>0</v>
      </c>
      <c r="V248" s="1"/>
      <c r="AJ248" s="200">
        <f t="shared" si="41"/>
        <v>0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0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0</v>
      </c>
      <c r="T249" s="410">
        <f t="shared" si="40"/>
        <v>0</v>
      </c>
      <c r="AJ249" s="58">
        <f t="shared" si="41"/>
        <v>0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0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0</v>
      </c>
      <c r="T250" s="410">
        <f t="shared" si="40"/>
        <v>0</v>
      </c>
      <c r="AJ250" s="58">
        <f t="shared" si="41"/>
        <v>0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0</v>
      </c>
      <c r="F251" s="42">
        <f t="shared" si="33"/>
        <v>0</v>
      </c>
      <c r="G251" s="42">
        <f>P!AJ252</f>
        <v>0</v>
      </c>
      <c r="H251" s="42">
        <f>G251*P!AK252</f>
        <v>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0</v>
      </c>
      <c r="N251" s="44">
        <f t="shared" si="35"/>
        <v>0</v>
      </c>
      <c r="O251" s="44">
        <f t="shared" si="36"/>
        <v>0</v>
      </c>
      <c r="P251" s="45" t="b">
        <f t="shared" si="37"/>
        <v>1</v>
      </c>
      <c r="Q251" s="183" t="str">
        <f t="shared" si="38"/>
        <v>×</v>
      </c>
      <c r="S251" s="410">
        <f t="shared" si="39"/>
        <v>0</v>
      </c>
      <c r="T251" s="410">
        <f t="shared" si="40"/>
        <v>0</v>
      </c>
      <c r="AJ251" s="58">
        <f t="shared" si="41"/>
        <v>0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0</v>
      </c>
      <c r="F252" s="42">
        <f t="shared" si="33"/>
        <v>0</v>
      </c>
      <c r="G252" s="42">
        <f>P!AJ253</f>
        <v>0</v>
      </c>
      <c r="H252" s="42">
        <f>G252*P!AK253</f>
        <v>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0</v>
      </c>
      <c r="N252" s="44">
        <f t="shared" si="35"/>
        <v>0</v>
      </c>
      <c r="O252" s="44">
        <f t="shared" si="36"/>
        <v>0</v>
      </c>
      <c r="P252" s="45" t="b">
        <f t="shared" si="37"/>
        <v>1</v>
      </c>
      <c r="Q252" s="183" t="str">
        <f t="shared" si="38"/>
        <v>×</v>
      </c>
      <c r="S252" s="410">
        <f t="shared" si="39"/>
        <v>0</v>
      </c>
      <c r="T252" s="410">
        <f t="shared" si="40"/>
        <v>0</v>
      </c>
      <c r="AJ252" s="58">
        <f t="shared" si="41"/>
        <v>0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0</v>
      </c>
      <c r="F253" s="42">
        <f t="shared" si="33"/>
        <v>0</v>
      </c>
      <c r="G253" s="42">
        <f>P!AJ254</f>
        <v>0</v>
      </c>
      <c r="H253" s="42">
        <f>G253*P!AK254</f>
        <v>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0</v>
      </c>
      <c r="N253" s="44">
        <f t="shared" si="35"/>
        <v>0</v>
      </c>
      <c r="O253" s="44">
        <f t="shared" si="36"/>
        <v>0</v>
      </c>
      <c r="P253" s="45" t="b">
        <f t="shared" si="37"/>
        <v>1</v>
      </c>
      <c r="Q253" s="183" t="str">
        <f t="shared" si="38"/>
        <v>×</v>
      </c>
      <c r="S253" s="410">
        <f t="shared" si="39"/>
        <v>0</v>
      </c>
      <c r="T253" s="410">
        <f t="shared" si="40"/>
        <v>0</v>
      </c>
      <c r="AJ253" s="58">
        <f t="shared" si="41"/>
        <v>0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0</v>
      </c>
      <c r="G254" s="124"/>
      <c r="H254" s="123">
        <f>SUM(H4:H253)</f>
        <v>0</v>
      </c>
      <c r="I254" s="124"/>
      <c r="J254" s="123">
        <f>SUM(J4:J253)</f>
        <v>0</v>
      </c>
      <c r="K254" s="125"/>
      <c r="L254" s="123">
        <f>SUM(L4:L253)</f>
        <v>0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9"/>
      <c r="D283" s="439"/>
      <c r="E283" s="439"/>
      <c r="F283" s="439"/>
    </row>
    <row r="284" spans="3:6" ht="20.25" customHeight="1">
      <c r="C284" s="51"/>
      <c r="D284" s="52"/>
      <c r="E284" s="436"/>
      <c r="F284" s="436"/>
    </row>
    <row r="285" spans="3:6" ht="20.25" customHeight="1">
      <c r="C285" s="53"/>
      <c r="D285" s="52"/>
      <c r="E285" s="436"/>
      <c r="F285" s="436"/>
    </row>
    <row r="286" spans="3:6" ht="20.25" customHeight="1">
      <c r="C286" s="53"/>
      <c r="D286" s="52"/>
      <c r="E286" s="436"/>
      <c r="F286" s="436"/>
    </row>
    <row r="287" spans="3:6" ht="20.25" customHeight="1">
      <c r="C287" s="53"/>
      <c r="D287" s="52"/>
      <c r="E287" s="436"/>
      <c r="F287" s="436"/>
    </row>
    <row r="288" spans="3:6" ht="20.25" customHeight="1">
      <c r="C288" s="53"/>
      <c r="D288" s="52"/>
      <c r="E288" s="436"/>
      <c r="F288" s="436"/>
    </row>
    <row r="289" spans="3:6" ht="20.25" customHeight="1">
      <c r="C289" s="53"/>
      <c r="D289" s="52"/>
      <c r="E289" s="436"/>
      <c r="F289" s="436"/>
    </row>
    <row r="290" spans="3:6" ht="20.25" customHeight="1">
      <c r="C290" s="53"/>
      <c r="D290" s="52"/>
      <c r="E290" s="440"/>
      <c r="F290" s="440"/>
    </row>
    <row r="291" spans="3:6" ht="20.25" customHeight="1">
      <c r="C291" s="53"/>
      <c r="D291" s="52"/>
      <c r="E291" s="436"/>
      <c r="F291" s="436"/>
    </row>
    <row r="292" spans="3:6" ht="20.25" customHeight="1">
      <c r="C292" s="53"/>
      <c r="D292" s="52"/>
      <c r="E292" s="436"/>
      <c r="F292" s="436"/>
    </row>
    <row r="294" spans="3:6" ht="20.25" customHeight="1">
      <c r="C294" s="53"/>
      <c r="D294" s="436"/>
      <c r="E294" s="436"/>
      <c r="F294" s="436"/>
    </row>
    <row r="295" spans="3:6" ht="20.25" customHeight="1">
      <c r="C295" s="53"/>
      <c r="D295" s="436"/>
      <c r="E295" s="436"/>
      <c r="F295" s="436"/>
    </row>
    <row r="296" spans="3:6" ht="20.25" customHeight="1">
      <c r="C296" s="53"/>
      <c r="D296" s="436"/>
      <c r="E296" s="436"/>
      <c r="F296" s="436"/>
    </row>
    <row r="297" spans="3:6" ht="20.25" customHeight="1">
      <c r="C297" s="54"/>
      <c r="D297" s="436"/>
      <c r="E297" s="436"/>
      <c r="F297" s="436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1" t="s">
        <v>502</v>
      </c>
      <c r="B1" s="441"/>
      <c r="C1" s="441"/>
      <c r="D1" s="441"/>
      <c r="E1" s="441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0</v>
      </c>
      <c r="F5" s="183" t="str">
        <f t="shared" si="0"/>
        <v>×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0</v>
      </c>
      <c r="F6" s="183" t="str">
        <f t="shared" si="0"/>
        <v>×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0</v>
      </c>
      <c r="F8" s="183" t="str">
        <f t="shared" si="0"/>
        <v>×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0</v>
      </c>
      <c r="F13" s="183" t="str">
        <f t="shared" si="0"/>
        <v>×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0</v>
      </c>
      <c r="F14" s="183" t="str">
        <f t="shared" si="0"/>
        <v>×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</v>
      </c>
      <c r="F17" s="183" t="str">
        <f t="shared" si="0"/>
        <v>×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0</v>
      </c>
      <c r="F19" s="183" t="str">
        <f t="shared" si="0"/>
        <v>×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0</v>
      </c>
      <c r="F20" s="183" t="str">
        <f t="shared" si="0"/>
        <v>×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0</v>
      </c>
      <c r="F22" s="183" t="str">
        <f t="shared" si="0"/>
        <v>×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0</v>
      </c>
      <c r="F29" s="183" t="str">
        <f t="shared" si="0"/>
        <v>×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0</v>
      </c>
      <c r="F34" s="183" t="str">
        <f t="shared" si="0"/>
        <v>×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</v>
      </c>
      <c r="F38" s="183" t="str">
        <f t="shared" si="0"/>
        <v>×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0</v>
      </c>
      <c r="F40" s="183" t="str">
        <f t="shared" si="0"/>
        <v>×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0</v>
      </c>
      <c r="F50" s="183" t="str">
        <f t="shared" si="0"/>
        <v>×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0</v>
      </c>
      <c r="F54" s="183" t="str">
        <f t="shared" si="0"/>
        <v>×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0</v>
      </c>
      <c r="F55" s="183" t="str">
        <f t="shared" si="0"/>
        <v>×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0</v>
      </c>
      <c r="F56" s="183" t="str">
        <f t="shared" si="0"/>
        <v>×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0</v>
      </c>
      <c r="F60" s="183" t="str">
        <f t="shared" si="0"/>
        <v>×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0</v>
      </c>
      <c r="F61" s="183" t="str">
        <f t="shared" si="0"/>
        <v>×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0</v>
      </c>
      <c r="F62" s="183" t="str">
        <f t="shared" si="0"/>
        <v>×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</v>
      </c>
      <c r="F63" s="183" t="str">
        <f t="shared" si="0"/>
        <v>×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</v>
      </c>
      <c r="F65" s="183" t="str">
        <f t="shared" si="0"/>
        <v>×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0</v>
      </c>
      <c r="F66" s="183" t="str">
        <f t="shared" si="0"/>
        <v>×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0</v>
      </c>
      <c r="F67" s="183" t="str">
        <f t="shared" si="0"/>
        <v>×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</v>
      </c>
      <c r="F68" s="183" t="str">
        <f t="shared" ref="F68:F131" si="1">IF(E68&lt;&gt;0,"OK","×")</f>
        <v>×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</v>
      </c>
      <c r="F69" s="183" t="str">
        <f t="shared" si="1"/>
        <v>×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</v>
      </c>
      <c r="F70" s="183" t="str">
        <f t="shared" si="1"/>
        <v>×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</v>
      </c>
      <c r="F72" s="183" t="str">
        <f t="shared" si="1"/>
        <v>×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</v>
      </c>
      <c r="F73" s="183" t="str">
        <f t="shared" si="1"/>
        <v>×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</v>
      </c>
      <c r="F75" s="183" t="str">
        <f t="shared" si="1"/>
        <v>×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</v>
      </c>
      <c r="F78" s="183" t="str">
        <f t="shared" si="1"/>
        <v>×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0</v>
      </c>
      <c r="F80" s="183" t="str">
        <f t="shared" si="1"/>
        <v>×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</v>
      </c>
      <c r="F86" s="183" t="str">
        <f t="shared" si="1"/>
        <v>×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0</v>
      </c>
      <c r="F87" s="183" t="str">
        <f t="shared" si="1"/>
        <v>×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0</v>
      </c>
      <c r="F88" s="183" t="str">
        <f t="shared" si="1"/>
        <v>×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0</v>
      </c>
      <c r="F89" s="183" t="str">
        <f t="shared" si="1"/>
        <v>×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0</v>
      </c>
      <c r="F95" s="183" t="str">
        <f t="shared" si="1"/>
        <v>×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0</v>
      </c>
      <c r="F98" s="183" t="str">
        <f t="shared" si="1"/>
        <v>×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0</v>
      </c>
      <c r="F100" s="183" t="str">
        <f t="shared" si="1"/>
        <v>×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0</v>
      </c>
      <c r="F104" s="183" t="str">
        <f t="shared" si="1"/>
        <v>×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0</v>
      </c>
      <c r="F107" s="183" t="str">
        <f t="shared" si="1"/>
        <v>×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</v>
      </c>
      <c r="F112" s="183" t="str">
        <f t="shared" si="1"/>
        <v>×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0</v>
      </c>
      <c r="F116" s="183" t="str">
        <f t="shared" si="1"/>
        <v>×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0</v>
      </c>
      <c r="F123" s="183" t="str">
        <f t="shared" si="1"/>
        <v>×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0</v>
      </c>
      <c r="F124" s="183" t="str">
        <f t="shared" si="1"/>
        <v>×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0</v>
      </c>
      <c r="F126" s="183" t="str">
        <f t="shared" si="1"/>
        <v>×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0</v>
      </c>
      <c r="F128" s="183" t="str">
        <f t="shared" si="1"/>
        <v>×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0</v>
      </c>
      <c r="F129" s="183" t="str">
        <f t="shared" si="1"/>
        <v>×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0</v>
      </c>
      <c r="F130" s="183" t="str">
        <f t="shared" si="1"/>
        <v>×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0</v>
      </c>
      <c r="F133" s="183" t="str">
        <f t="shared" si="2"/>
        <v>×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0</v>
      </c>
      <c r="F141" s="183" t="str">
        <f t="shared" si="2"/>
        <v>×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0</v>
      </c>
      <c r="F143" s="183" t="str">
        <f t="shared" si="2"/>
        <v>×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0</v>
      </c>
      <c r="F150" s="183" t="str">
        <f t="shared" si="2"/>
        <v>×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0</v>
      </c>
      <c r="F152" s="183" t="str">
        <f t="shared" si="2"/>
        <v>×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0</v>
      </c>
      <c r="F153" s="183" t="str">
        <f t="shared" si="2"/>
        <v>×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0</v>
      </c>
      <c r="F154" s="183" t="str">
        <f t="shared" si="2"/>
        <v>×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0</v>
      </c>
      <c r="F160" s="183" t="str">
        <f t="shared" si="2"/>
        <v>×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0</v>
      </c>
      <c r="F161" s="183" t="str">
        <f t="shared" si="2"/>
        <v>×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0</v>
      </c>
      <c r="F168" s="183" t="str">
        <f t="shared" si="2"/>
        <v>×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0</v>
      </c>
      <c r="F169" s="183" t="str">
        <f t="shared" si="2"/>
        <v>×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0</v>
      </c>
      <c r="F170" s="183" t="str">
        <f t="shared" si="2"/>
        <v>×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0</v>
      </c>
      <c r="F177" s="183" t="str">
        <f t="shared" si="2"/>
        <v>×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0</v>
      </c>
      <c r="F178" s="183" t="str">
        <f t="shared" si="2"/>
        <v>×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0</v>
      </c>
      <c r="F179" s="183" t="str">
        <f t="shared" si="2"/>
        <v>×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0</v>
      </c>
      <c r="F180" s="183" t="str">
        <f t="shared" si="2"/>
        <v>×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0</v>
      </c>
      <c r="F181" s="183" t="str">
        <f t="shared" si="2"/>
        <v>×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0</v>
      </c>
      <c r="F182" s="183" t="str">
        <f t="shared" si="2"/>
        <v>×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0</v>
      </c>
      <c r="F183" s="183" t="str">
        <f t="shared" si="2"/>
        <v>×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0</v>
      </c>
      <c r="F184" s="183" t="str">
        <f t="shared" si="2"/>
        <v>×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0</v>
      </c>
      <c r="F185" s="183" t="str">
        <f t="shared" si="2"/>
        <v>×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0</v>
      </c>
      <c r="F186" s="183" t="str">
        <f t="shared" si="2"/>
        <v>×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0</v>
      </c>
      <c r="F187" s="183" t="str">
        <f t="shared" si="2"/>
        <v>×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0</v>
      </c>
      <c r="F188" s="183" t="str">
        <f t="shared" si="2"/>
        <v>×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0</v>
      </c>
      <c r="F191" s="183" t="str">
        <f t="shared" si="2"/>
        <v>×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0</v>
      </c>
      <c r="F193" s="183" t="str">
        <f t="shared" si="2"/>
        <v>×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0</v>
      </c>
      <c r="F194" s="183" t="str">
        <f t="shared" si="2"/>
        <v>×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0</v>
      </c>
      <c r="F195" s="183" t="str">
        <f t="shared" si="2"/>
        <v>×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0</v>
      </c>
      <c r="F197" s="183" t="str">
        <f t="shared" si="3"/>
        <v>×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0</v>
      </c>
      <c r="F198" s="183" t="str">
        <f t="shared" si="3"/>
        <v>×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</v>
      </c>
      <c r="F199" s="183" t="str">
        <f t="shared" si="3"/>
        <v>×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0</v>
      </c>
      <c r="F203" s="183" t="str">
        <f t="shared" si="3"/>
        <v>×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0</v>
      </c>
      <c r="F204" s="183" t="str">
        <f t="shared" si="3"/>
        <v>×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0</v>
      </c>
      <c r="F205" s="183" t="str">
        <f t="shared" si="3"/>
        <v>×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0</v>
      </c>
      <c r="F206" s="183" t="str">
        <f t="shared" si="3"/>
        <v>×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0</v>
      </c>
      <c r="F207" s="183" t="str">
        <f t="shared" si="3"/>
        <v>×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0</v>
      </c>
      <c r="F209" s="183" t="str">
        <f t="shared" si="3"/>
        <v>×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0</v>
      </c>
      <c r="F214" s="183" t="str">
        <f t="shared" si="3"/>
        <v>×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0</v>
      </c>
      <c r="F229" s="183" t="str">
        <f t="shared" si="3"/>
        <v>×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0</v>
      </c>
      <c r="F230" s="183" t="str">
        <f t="shared" si="3"/>
        <v>×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0</v>
      </c>
      <c r="F231" s="183" t="str">
        <f t="shared" si="3"/>
        <v>×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0</v>
      </c>
      <c r="F232" s="183" t="str">
        <f t="shared" si="3"/>
        <v>×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0</v>
      </c>
      <c r="F243" s="183" t="str">
        <f t="shared" si="3"/>
        <v>×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0</v>
      </c>
      <c r="F245" s="183" t="str">
        <f t="shared" si="3"/>
        <v>×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0</v>
      </c>
      <c r="F247" s="183" t="str">
        <f t="shared" si="3"/>
        <v>×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0</v>
      </c>
      <c r="F250" s="183" t="str">
        <f t="shared" si="3"/>
        <v>×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0</v>
      </c>
      <c r="F251" s="183" t="str">
        <f t="shared" si="3"/>
        <v>×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0</v>
      </c>
      <c r="F252" s="183" t="str">
        <f t="shared" si="3"/>
        <v>×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6" t="s">
        <v>501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182"/>
      <c r="W1" s="59"/>
    </row>
    <row r="2" spans="1:25" ht="15" customHeight="1">
      <c r="A2" s="448" t="s">
        <v>0</v>
      </c>
      <c r="B2" s="449" t="s">
        <v>214</v>
      </c>
      <c r="C2" s="450" t="s">
        <v>1</v>
      </c>
      <c r="D2" s="450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8" t="s">
        <v>295</v>
      </c>
      <c r="V2" s="442" t="s">
        <v>330</v>
      </c>
      <c r="W2" s="24"/>
      <c r="Y2" s="181"/>
    </row>
    <row r="3" spans="1:25" ht="12" customHeight="1">
      <c r="A3" s="448"/>
      <c r="B3" s="449"/>
      <c r="C3" s="450"/>
      <c r="D3" s="450"/>
      <c r="E3" s="422">
        <f>P!D3</f>
        <v>45972</v>
      </c>
      <c r="F3" s="422">
        <f>P!F3</f>
        <v>45973</v>
      </c>
      <c r="G3" s="422">
        <f>P!H3</f>
        <v>45974</v>
      </c>
      <c r="H3" s="422">
        <f>P!J3</f>
        <v>45975</v>
      </c>
      <c r="I3" s="422">
        <f>P!L3</f>
        <v>45976</v>
      </c>
      <c r="J3" s="422">
        <f>P!N3</f>
        <v>45977</v>
      </c>
      <c r="K3" s="422">
        <f>P!P3</f>
        <v>45978</v>
      </c>
      <c r="L3" s="422">
        <f>P!R3</f>
        <v>45979</v>
      </c>
      <c r="M3" s="422">
        <f>P!T3</f>
        <v>45980</v>
      </c>
      <c r="N3" s="422">
        <f>P!V3</f>
        <v>45981</v>
      </c>
      <c r="O3" s="422">
        <f>P!X3</f>
        <v>45982</v>
      </c>
      <c r="P3" s="33">
        <f>P!Z3</f>
        <v>45983</v>
      </c>
      <c r="Q3" s="33">
        <f>P!AB3</f>
        <v>45984</v>
      </c>
      <c r="R3" s="33">
        <f>P!AD3</f>
        <v>45985</v>
      </c>
      <c r="S3" s="33">
        <f>P!AF3</f>
        <v>45986</v>
      </c>
      <c r="T3" s="420">
        <f>P!AH3</f>
        <v>45987</v>
      </c>
      <c r="U3" s="448"/>
      <c r="V3" s="443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0</v>
      </c>
      <c r="G6" s="31">
        <f>P!H7</f>
        <v>0</v>
      </c>
      <c r="H6" s="31">
        <f>P!J7</f>
        <v>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0</v>
      </c>
      <c r="V6" s="183" t="str">
        <f t="shared" si="0"/>
        <v>×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0</v>
      </c>
      <c r="V7" s="183" t="str">
        <f t="shared" si="0"/>
        <v>×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0</v>
      </c>
      <c r="V9" s="183" t="str">
        <f t="shared" si="0"/>
        <v>×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0</v>
      </c>
      <c r="F14" s="31">
        <f>P!F15</f>
        <v>0</v>
      </c>
      <c r="G14" s="31">
        <f>P!H15</f>
        <v>0</v>
      </c>
      <c r="H14" s="31">
        <f>P!J15</f>
        <v>0</v>
      </c>
      <c r="I14" s="31">
        <f>P!L15</f>
        <v>0</v>
      </c>
      <c r="J14" s="31">
        <f>P!N15</f>
        <v>0</v>
      </c>
      <c r="K14" s="31">
        <f>P!P15</f>
        <v>0</v>
      </c>
      <c r="L14" s="31">
        <f>P!R15</f>
        <v>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0</v>
      </c>
      <c r="V14" s="183" t="str">
        <f t="shared" si="0"/>
        <v>×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0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0</v>
      </c>
      <c r="V15" s="183" t="str">
        <f t="shared" si="0"/>
        <v>×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0</v>
      </c>
      <c r="V18" s="183" t="str">
        <f t="shared" si="0"/>
        <v>×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0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0</v>
      </c>
      <c r="V20" s="183" t="str">
        <f t="shared" si="0"/>
        <v>×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</v>
      </c>
      <c r="F21" s="31">
        <f>P!F22</f>
        <v>0</v>
      </c>
      <c r="G21" s="31">
        <f>P!H22</f>
        <v>0</v>
      </c>
      <c r="H21" s="31">
        <f>P!J22</f>
        <v>0</v>
      </c>
      <c r="I21" s="31">
        <f>P!L22</f>
        <v>0</v>
      </c>
      <c r="J21" s="31">
        <f>P!N22</f>
        <v>0</v>
      </c>
      <c r="K21" s="31">
        <f>P!P22</f>
        <v>0</v>
      </c>
      <c r="L21" s="31">
        <f>P!R22</f>
        <v>0</v>
      </c>
      <c r="M21" s="31">
        <f>P!T22</f>
        <v>0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0</v>
      </c>
      <c r="V21" s="183" t="str">
        <f t="shared" si="0"/>
        <v>×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0</v>
      </c>
      <c r="V23" s="183" t="str">
        <f t="shared" si="0"/>
        <v>×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0</v>
      </c>
      <c r="V30" s="183" t="str">
        <f t="shared" si="0"/>
        <v>×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0</v>
      </c>
      <c r="V35" s="183" t="str">
        <f t="shared" si="0"/>
        <v>×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0</v>
      </c>
      <c r="V39" s="183" t="str">
        <f t="shared" si="0"/>
        <v>×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0</v>
      </c>
      <c r="V41" s="183" t="str">
        <f t="shared" si="0"/>
        <v>×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0</v>
      </c>
      <c r="V51" s="183" t="str">
        <f t="shared" si="0"/>
        <v>×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0</v>
      </c>
      <c r="V55" s="183" t="str">
        <f t="shared" si="0"/>
        <v>×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0</v>
      </c>
      <c r="V56" s="183" t="str">
        <f t="shared" si="0"/>
        <v>×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0</v>
      </c>
      <c r="H57" s="31">
        <f>P!J58</f>
        <v>0</v>
      </c>
      <c r="I57" s="31">
        <f>P!L58</f>
        <v>0</v>
      </c>
      <c r="J57" s="31">
        <f>P!N58</f>
        <v>0</v>
      </c>
      <c r="K57" s="31">
        <f>P!P58</f>
        <v>0</v>
      </c>
      <c r="L57" s="31">
        <f>P!R58</f>
        <v>0</v>
      </c>
      <c r="M57" s="31">
        <f>P!T58</f>
        <v>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0</v>
      </c>
      <c r="V57" s="183" t="str">
        <f t="shared" si="0"/>
        <v>×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0</v>
      </c>
      <c r="H61" s="31">
        <f>P!J62</f>
        <v>0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0</v>
      </c>
      <c r="V61" s="183" t="str">
        <f t="shared" si="0"/>
        <v>×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</v>
      </c>
      <c r="H62" s="31">
        <f>P!J63</f>
        <v>0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0</v>
      </c>
      <c r="V62" s="183" t="str">
        <f t="shared" si="0"/>
        <v>×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0</v>
      </c>
      <c r="H63" s="31">
        <f>P!J64</f>
        <v>0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0</v>
      </c>
      <c r="V63" s="183" t="str">
        <f t="shared" si="0"/>
        <v>×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0</v>
      </c>
      <c r="V64" s="183" t="str">
        <f t="shared" si="0"/>
        <v>×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</v>
      </c>
      <c r="H66" s="31">
        <f>P!J67</f>
        <v>0</v>
      </c>
      <c r="I66" s="31">
        <f>P!L67</f>
        <v>0</v>
      </c>
      <c r="J66" s="31">
        <f>P!N67</f>
        <v>0</v>
      </c>
      <c r="K66" s="31">
        <f>P!P67</f>
        <v>0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0</v>
      </c>
      <c r="V66" s="183" t="str">
        <f t="shared" si="0"/>
        <v>×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0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0</v>
      </c>
      <c r="V67" s="183" t="str">
        <f t="shared" si="0"/>
        <v>×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0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0</v>
      </c>
      <c r="V68" s="183" t="str">
        <f t="shared" si="0"/>
        <v>×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</v>
      </c>
      <c r="H69" s="31">
        <f>P!J70</f>
        <v>0</v>
      </c>
      <c r="I69" s="31">
        <f>P!L70</f>
        <v>0</v>
      </c>
      <c r="J69" s="31">
        <f>P!N70</f>
        <v>0</v>
      </c>
      <c r="K69" s="31">
        <f>P!P70</f>
        <v>0</v>
      </c>
      <c r="L69" s="31">
        <f>P!R70</f>
        <v>0</v>
      </c>
      <c r="M69" s="31">
        <f>P!T70</f>
        <v>0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0</v>
      </c>
      <c r="V69" s="183" t="str">
        <f t="shared" ref="V69:V132" si="1">IF(U69&lt;&gt;0, "OK","×")</f>
        <v>×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0</v>
      </c>
      <c r="V70" s="183" t="str">
        <f t="shared" si="1"/>
        <v>×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</v>
      </c>
      <c r="G71" s="31">
        <f>P!H72</f>
        <v>0</v>
      </c>
      <c r="H71" s="31">
        <f>P!J72</f>
        <v>0</v>
      </c>
      <c r="I71" s="31">
        <f>P!L72</f>
        <v>0</v>
      </c>
      <c r="J71" s="31">
        <f>P!N72</f>
        <v>0</v>
      </c>
      <c r="K71" s="31">
        <f>P!P72</f>
        <v>0</v>
      </c>
      <c r="L71" s="31">
        <f>P!R72</f>
        <v>0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0</v>
      </c>
      <c r="V71" s="183" t="str">
        <f t="shared" si="1"/>
        <v>×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0</v>
      </c>
      <c r="V73" s="183" t="str">
        <f t="shared" si="1"/>
        <v>×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0</v>
      </c>
      <c r="V74" s="183" t="str">
        <f t="shared" si="1"/>
        <v>×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0</v>
      </c>
      <c r="V76" s="183" t="str">
        <f t="shared" si="1"/>
        <v>×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</v>
      </c>
      <c r="H79" s="31">
        <f>P!J80</f>
        <v>0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0</v>
      </c>
      <c r="V79" s="183" t="str">
        <f t="shared" si="1"/>
        <v>×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0</v>
      </c>
      <c r="F81" s="31">
        <f>P!F82</f>
        <v>0</v>
      </c>
      <c r="G81" s="31">
        <f>P!H82</f>
        <v>0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0</v>
      </c>
      <c r="V81" s="183" t="str">
        <f t="shared" si="1"/>
        <v>×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0</v>
      </c>
      <c r="V87" s="183" t="str">
        <f t="shared" si="1"/>
        <v>×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0</v>
      </c>
      <c r="G88" s="31">
        <f>P!H89</f>
        <v>0</v>
      </c>
      <c r="H88" s="31">
        <f>P!J89</f>
        <v>0</v>
      </c>
      <c r="I88" s="31">
        <f>P!L89</f>
        <v>0</v>
      </c>
      <c r="J88" s="31">
        <f>P!N89</f>
        <v>0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0</v>
      </c>
      <c r="V88" s="183" t="str">
        <f t="shared" si="1"/>
        <v>×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0</v>
      </c>
      <c r="V89" s="183" t="str">
        <f t="shared" si="1"/>
        <v>×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0</v>
      </c>
      <c r="G90" s="31">
        <f>P!H91</f>
        <v>0</v>
      </c>
      <c r="H90" s="31">
        <f>P!J91</f>
        <v>0</v>
      </c>
      <c r="I90" s="31">
        <f>P!L91</f>
        <v>0</v>
      </c>
      <c r="J90" s="31">
        <f>P!N91</f>
        <v>0</v>
      </c>
      <c r="K90" s="31">
        <f>P!P91</f>
        <v>0</v>
      </c>
      <c r="L90" s="31">
        <f>P!R91</f>
        <v>0</v>
      </c>
      <c r="M90" s="31">
        <f>P!T91</f>
        <v>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0</v>
      </c>
      <c r="V90" s="183" t="str">
        <f t="shared" si="1"/>
        <v>×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0</v>
      </c>
      <c r="F96" s="31">
        <f>P!F97</f>
        <v>0</v>
      </c>
      <c r="G96" s="31">
        <f>P!H97</f>
        <v>0</v>
      </c>
      <c r="H96" s="31">
        <f>P!J97</f>
        <v>0</v>
      </c>
      <c r="I96" s="31">
        <f>P!L97</f>
        <v>0</v>
      </c>
      <c r="J96" s="31">
        <f>P!N97</f>
        <v>0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0</v>
      </c>
      <c r="V96" s="183" t="str">
        <f t="shared" si="1"/>
        <v>×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0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0</v>
      </c>
      <c r="V99" s="183" t="str">
        <f t="shared" si="1"/>
        <v>×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0</v>
      </c>
      <c r="V101" s="183" t="str">
        <f t="shared" si="1"/>
        <v>×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0</v>
      </c>
      <c r="V105" s="183" t="str">
        <f t="shared" si="1"/>
        <v>×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0</v>
      </c>
      <c r="V108" s="183" t="str">
        <f t="shared" si="1"/>
        <v>×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0</v>
      </c>
      <c r="V113" s="183" t="str">
        <f t="shared" si="1"/>
        <v>×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0</v>
      </c>
      <c r="J117" s="31">
        <f>P!N118</f>
        <v>0</v>
      </c>
      <c r="K117" s="31">
        <f>P!P118</f>
        <v>0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0</v>
      </c>
      <c r="V117" s="183" t="str">
        <f t="shared" si="1"/>
        <v>×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0</v>
      </c>
      <c r="V124" s="183" t="str">
        <f t="shared" si="1"/>
        <v>×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0</v>
      </c>
      <c r="F125" s="31">
        <f>P!F126</f>
        <v>0</v>
      </c>
      <c r="G125" s="31">
        <f>P!H126</f>
        <v>0</v>
      </c>
      <c r="H125" s="31">
        <f>P!J126</f>
        <v>0</v>
      </c>
      <c r="I125" s="31">
        <f>P!L126</f>
        <v>0</v>
      </c>
      <c r="J125" s="31">
        <f>P!N126</f>
        <v>0</v>
      </c>
      <c r="K125" s="31">
        <f>P!P126</f>
        <v>0</v>
      </c>
      <c r="L125" s="31">
        <f>P!R126</f>
        <v>0</v>
      </c>
      <c r="M125" s="31">
        <f>P!T126</f>
        <v>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0</v>
      </c>
      <c r="V125" s="183" t="str">
        <f t="shared" si="1"/>
        <v>×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0</v>
      </c>
      <c r="I127" s="31">
        <f>P!L128</f>
        <v>0</v>
      </c>
      <c r="J127" s="31">
        <f>P!N128</f>
        <v>0</v>
      </c>
      <c r="K127" s="31">
        <f>P!P128</f>
        <v>0</v>
      </c>
      <c r="L127" s="31">
        <f>P!R128</f>
        <v>0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0</v>
      </c>
      <c r="V127" s="183" t="str">
        <f t="shared" si="1"/>
        <v>×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0</v>
      </c>
      <c r="V129" s="183" t="str">
        <f t="shared" si="1"/>
        <v>×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0</v>
      </c>
      <c r="V130" s="183" t="str">
        <f t="shared" si="1"/>
        <v>×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0</v>
      </c>
      <c r="F131" s="31">
        <f>P!F132</f>
        <v>0</v>
      </c>
      <c r="G131" s="31">
        <f>P!H132</f>
        <v>0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0</v>
      </c>
      <c r="V131" s="183" t="str">
        <f t="shared" si="1"/>
        <v>×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0</v>
      </c>
      <c r="J134" s="31">
        <f>P!N135</f>
        <v>0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0</v>
      </c>
      <c r="V134" s="183" t="str">
        <f t="shared" si="2"/>
        <v>×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0</v>
      </c>
      <c r="L142" s="31">
        <f>P!R143</f>
        <v>0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0</v>
      </c>
      <c r="V142" s="183" t="str">
        <f t="shared" si="2"/>
        <v>×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0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0</v>
      </c>
      <c r="V144" s="183" t="str">
        <f t="shared" si="2"/>
        <v>×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0</v>
      </c>
      <c r="F151" s="31">
        <f>P!F152</f>
        <v>0</v>
      </c>
      <c r="G151" s="31">
        <f>P!H152</f>
        <v>0</v>
      </c>
      <c r="H151" s="31">
        <f>P!J152</f>
        <v>0</v>
      </c>
      <c r="I151" s="31">
        <f>P!L152</f>
        <v>0</v>
      </c>
      <c r="J151" s="31">
        <f>P!N152</f>
        <v>0</v>
      </c>
      <c r="K151" s="31">
        <f>P!P152</f>
        <v>0</v>
      </c>
      <c r="L151" s="31">
        <f>P!R152</f>
        <v>0</v>
      </c>
      <c r="M151" s="31">
        <f>P!T152</f>
        <v>0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0</v>
      </c>
      <c r="V151" s="183" t="str">
        <f t="shared" si="2"/>
        <v>×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0</v>
      </c>
      <c r="G153" s="31">
        <f>P!H154</f>
        <v>0</v>
      </c>
      <c r="H153" s="31">
        <f>P!J154</f>
        <v>0</v>
      </c>
      <c r="I153" s="31">
        <f>P!L154</f>
        <v>0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0</v>
      </c>
      <c r="V153" s="183" t="str">
        <f t="shared" si="2"/>
        <v>×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0</v>
      </c>
      <c r="J154" s="31">
        <f>P!N155</f>
        <v>0</v>
      </c>
      <c r="K154" s="31">
        <f>P!P155</f>
        <v>0</v>
      </c>
      <c r="L154" s="31">
        <f>P!R155</f>
        <v>0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0</v>
      </c>
      <c r="V154" s="183" t="str">
        <f t="shared" si="2"/>
        <v>×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0</v>
      </c>
      <c r="V155" s="183" t="str">
        <f t="shared" si="2"/>
        <v>×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0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0</v>
      </c>
      <c r="V161" s="183" t="str">
        <f t="shared" si="2"/>
        <v>×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0</v>
      </c>
      <c r="V162" s="183" t="str">
        <f t="shared" si="2"/>
        <v>×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0</v>
      </c>
      <c r="V169" s="183" t="str">
        <f t="shared" si="2"/>
        <v>×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0</v>
      </c>
      <c r="V170" s="183" t="str">
        <f t="shared" si="2"/>
        <v>×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0</v>
      </c>
      <c r="V171" s="183" t="str">
        <f t="shared" si="2"/>
        <v>×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0</v>
      </c>
      <c r="F178" s="31">
        <f>P!F179</f>
        <v>0</v>
      </c>
      <c r="G178" s="31">
        <f>P!H179</f>
        <v>0</v>
      </c>
      <c r="H178" s="31">
        <f>P!J179</f>
        <v>0</v>
      </c>
      <c r="I178" s="31">
        <f>P!L179</f>
        <v>0</v>
      </c>
      <c r="J178" s="31">
        <f>P!N179</f>
        <v>0</v>
      </c>
      <c r="K178" s="31">
        <f>P!P179</f>
        <v>0</v>
      </c>
      <c r="L178" s="31">
        <f>P!R179</f>
        <v>0</v>
      </c>
      <c r="M178" s="31">
        <f>P!T179</f>
        <v>0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0</v>
      </c>
      <c r="V178" s="183" t="str">
        <f t="shared" si="2"/>
        <v>×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0</v>
      </c>
      <c r="F179" s="31">
        <f>P!F180</f>
        <v>0</v>
      </c>
      <c r="G179" s="31">
        <f>P!H180</f>
        <v>0</v>
      </c>
      <c r="H179" s="31">
        <f>P!J180</f>
        <v>0</v>
      </c>
      <c r="I179" s="31">
        <f>P!L180</f>
        <v>0</v>
      </c>
      <c r="J179" s="31">
        <f>P!N180</f>
        <v>0</v>
      </c>
      <c r="K179" s="31">
        <f>P!P180</f>
        <v>0</v>
      </c>
      <c r="L179" s="31">
        <f>P!R180</f>
        <v>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0</v>
      </c>
      <c r="V179" s="183" t="str">
        <f t="shared" si="2"/>
        <v>×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</v>
      </c>
      <c r="F180" s="31">
        <f>P!F181</f>
        <v>0</v>
      </c>
      <c r="G180" s="31">
        <f>P!H181</f>
        <v>0</v>
      </c>
      <c r="H180" s="31">
        <f>P!J181</f>
        <v>0</v>
      </c>
      <c r="I180" s="31">
        <f>P!L181</f>
        <v>0</v>
      </c>
      <c r="J180" s="31">
        <f>P!N181</f>
        <v>0</v>
      </c>
      <c r="K180" s="31">
        <f>P!P181</f>
        <v>0</v>
      </c>
      <c r="L180" s="31">
        <f>P!R181</f>
        <v>0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0</v>
      </c>
      <c r="V180" s="183" t="str">
        <f t="shared" si="2"/>
        <v>×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</v>
      </c>
      <c r="F181" s="31">
        <f>P!F182</f>
        <v>0</v>
      </c>
      <c r="G181" s="31">
        <f>P!H182</f>
        <v>0</v>
      </c>
      <c r="H181" s="31">
        <f>P!J182</f>
        <v>0</v>
      </c>
      <c r="I181" s="31">
        <f>P!L182</f>
        <v>0</v>
      </c>
      <c r="J181" s="31">
        <f>P!N182</f>
        <v>0</v>
      </c>
      <c r="K181" s="31">
        <f>P!P182</f>
        <v>0</v>
      </c>
      <c r="L181" s="31">
        <f>P!R182</f>
        <v>0</v>
      </c>
      <c r="M181" s="31">
        <f>P!T182</f>
        <v>0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0</v>
      </c>
      <c r="V181" s="183" t="str">
        <f t="shared" si="2"/>
        <v>×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0</v>
      </c>
      <c r="F182" s="31">
        <f>P!F183</f>
        <v>0</v>
      </c>
      <c r="G182" s="31">
        <f>P!H183</f>
        <v>0</v>
      </c>
      <c r="H182" s="31">
        <f>P!J183</f>
        <v>0</v>
      </c>
      <c r="I182" s="31">
        <f>P!L183</f>
        <v>0</v>
      </c>
      <c r="J182" s="31">
        <f>P!N183</f>
        <v>0</v>
      </c>
      <c r="K182" s="31">
        <f>P!P183</f>
        <v>0</v>
      </c>
      <c r="L182" s="31">
        <f>P!R183</f>
        <v>0</v>
      </c>
      <c r="M182" s="31">
        <f>P!T183</f>
        <v>0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0</v>
      </c>
      <c r="V182" s="183" t="str">
        <f t="shared" si="2"/>
        <v>×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0</v>
      </c>
      <c r="F183" s="31">
        <f>P!F184</f>
        <v>0</v>
      </c>
      <c r="G183" s="31">
        <f>P!H184</f>
        <v>0</v>
      </c>
      <c r="H183" s="31">
        <f>P!J184</f>
        <v>0</v>
      </c>
      <c r="I183" s="31">
        <f>P!L184</f>
        <v>0</v>
      </c>
      <c r="J183" s="31">
        <f>P!N184</f>
        <v>0</v>
      </c>
      <c r="K183" s="31">
        <f>P!P184</f>
        <v>0</v>
      </c>
      <c r="L183" s="31">
        <f>P!R184</f>
        <v>0</v>
      </c>
      <c r="M183" s="31">
        <f>P!T184</f>
        <v>0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0</v>
      </c>
      <c r="V183" s="183" t="str">
        <f t="shared" si="2"/>
        <v>×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0</v>
      </c>
      <c r="F184" s="31">
        <f>P!F185</f>
        <v>0</v>
      </c>
      <c r="G184" s="31">
        <f>P!H185</f>
        <v>0</v>
      </c>
      <c r="H184" s="31">
        <f>P!J185</f>
        <v>0</v>
      </c>
      <c r="I184" s="31">
        <f>P!L185</f>
        <v>0</v>
      </c>
      <c r="J184" s="31">
        <f>P!N185</f>
        <v>0</v>
      </c>
      <c r="K184" s="31">
        <f>P!P185</f>
        <v>0</v>
      </c>
      <c r="L184" s="31">
        <f>P!R185</f>
        <v>0</v>
      </c>
      <c r="M184" s="31">
        <f>P!T185</f>
        <v>0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0</v>
      </c>
      <c r="V184" s="183" t="str">
        <f t="shared" si="2"/>
        <v>×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0</v>
      </c>
      <c r="F185" s="31">
        <f>P!F186</f>
        <v>0</v>
      </c>
      <c r="G185" s="31">
        <f>P!H186</f>
        <v>0</v>
      </c>
      <c r="H185" s="31">
        <f>P!J186</f>
        <v>0</v>
      </c>
      <c r="I185" s="31">
        <f>P!L186</f>
        <v>0</v>
      </c>
      <c r="J185" s="31">
        <f>P!N186</f>
        <v>0</v>
      </c>
      <c r="K185" s="31">
        <f>P!P186</f>
        <v>0</v>
      </c>
      <c r="L185" s="31">
        <f>P!R186</f>
        <v>0</v>
      </c>
      <c r="M185" s="31">
        <f>P!T186</f>
        <v>0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0</v>
      </c>
      <c r="V185" s="183" t="str">
        <f t="shared" si="2"/>
        <v>×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0</v>
      </c>
      <c r="G186" s="31">
        <f>P!H187</f>
        <v>0</v>
      </c>
      <c r="H186" s="31">
        <f>P!J187</f>
        <v>0</v>
      </c>
      <c r="I186" s="31">
        <f>P!L187</f>
        <v>0</v>
      </c>
      <c r="J186" s="31">
        <f>P!N187</f>
        <v>0</v>
      </c>
      <c r="K186" s="31">
        <f>P!P187</f>
        <v>0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0</v>
      </c>
      <c r="V186" s="183" t="str">
        <f t="shared" si="2"/>
        <v>×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0</v>
      </c>
      <c r="V187" s="183" t="str">
        <f t="shared" si="2"/>
        <v>×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0</v>
      </c>
      <c r="I188" s="31">
        <f>P!L189</f>
        <v>0</v>
      </c>
      <c r="J188" s="31">
        <f>P!N189</f>
        <v>0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0</v>
      </c>
      <c r="V188" s="183" t="str">
        <f t="shared" si="2"/>
        <v>×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0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0</v>
      </c>
      <c r="V189" s="183" t="str">
        <f t="shared" si="2"/>
        <v>×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0</v>
      </c>
      <c r="V192" s="183" t="str">
        <f t="shared" si="2"/>
        <v>×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0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0</v>
      </c>
      <c r="V194" s="183" t="str">
        <f t="shared" si="2"/>
        <v>×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0</v>
      </c>
      <c r="H195" s="31">
        <f>P!J196</f>
        <v>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0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0</v>
      </c>
      <c r="V195" s="183" t="str">
        <f t="shared" si="2"/>
        <v>×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0</v>
      </c>
      <c r="F196" s="31">
        <f>P!F197</f>
        <v>0</v>
      </c>
      <c r="G196" s="31">
        <f>P!H197</f>
        <v>0</v>
      </c>
      <c r="H196" s="31">
        <f>P!J197</f>
        <v>0</v>
      </c>
      <c r="I196" s="31">
        <f>P!L197</f>
        <v>0</v>
      </c>
      <c r="J196" s="31">
        <f>P!N197</f>
        <v>0</v>
      </c>
      <c r="K196" s="31">
        <f>P!P197</f>
        <v>0</v>
      </c>
      <c r="L196" s="31">
        <f>P!R197</f>
        <v>0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0</v>
      </c>
      <c r="V196" s="183" t="str">
        <f t="shared" si="2"/>
        <v>×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0</v>
      </c>
      <c r="F198" s="31">
        <f>P!F199</f>
        <v>0</v>
      </c>
      <c r="G198" s="31">
        <f>P!H199</f>
        <v>0</v>
      </c>
      <c r="H198" s="31">
        <f>P!J199</f>
        <v>0</v>
      </c>
      <c r="I198" s="31">
        <f>P!L199</f>
        <v>0</v>
      </c>
      <c r="J198" s="31">
        <f>P!N199</f>
        <v>0</v>
      </c>
      <c r="K198" s="31">
        <f>P!P199</f>
        <v>0</v>
      </c>
      <c r="L198" s="31">
        <f>P!R199</f>
        <v>0</v>
      </c>
      <c r="M198" s="31">
        <f>P!T199</f>
        <v>0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0</v>
      </c>
      <c r="V198" s="183" t="str">
        <f t="shared" si="3"/>
        <v>×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</v>
      </c>
      <c r="F199" s="31">
        <f>P!F200</f>
        <v>0</v>
      </c>
      <c r="G199" s="31">
        <f>P!H200</f>
        <v>0</v>
      </c>
      <c r="H199" s="31">
        <f>P!J200</f>
        <v>0</v>
      </c>
      <c r="I199" s="31">
        <f>P!L200</f>
        <v>0</v>
      </c>
      <c r="J199" s="31">
        <f>P!N200</f>
        <v>0</v>
      </c>
      <c r="K199" s="31">
        <f>P!P200</f>
        <v>0</v>
      </c>
      <c r="L199" s="31">
        <f>P!R200</f>
        <v>0</v>
      </c>
      <c r="M199" s="31">
        <f>P!T200</f>
        <v>0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0</v>
      </c>
      <c r="V199" s="183" t="str">
        <f t="shared" si="3"/>
        <v>×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0</v>
      </c>
      <c r="V200" s="183" t="str">
        <f t="shared" si="3"/>
        <v>×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0</v>
      </c>
      <c r="F204" s="31">
        <f>P!F205</f>
        <v>0</v>
      </c>
      <c r="G204" s="31">
        <f>P!H205</f>
        <v>0</v>
      </c>
      <c r="H204" s="31">
        <f>P!J205</f>
        <v>0</v>
      </c>
      <c r="I204" s="31">
        <f>P!L205</f>
        <v>0</v>
      </c>
      <c r="J204" s="31">
        <f>P!N205</f>
        <v>0</v>
      </c>
      <c r="K204" s="31">
        <f>P!P205</f>
        <v>0</v>
      </c>
      <c r="L204" s="31">
        <f>P!R205</f>
        <v>0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0</v>
      </c>
      <c r="V204" s="183" t="str">
        <f t="shared" si="3"/>
        <v>×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0</v>
      </c>
      <c r="H205" s="31">
        <f>P!J206</f>
        <v>0</v>
      </c>
      <c r="I205" s="31">
        <f>P!L206</f>
        <v>0</v>
      </c>
      <c r="J205" s="31">
        <f>P!N206</f>
        <v>0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0</v>
      </c>
      <c r="V205" s="183" t="str">
        <f t="shared" si="3"/>
        <v>×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0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0</v>
      </c>
      <c r="V206" s="183" t="str">
        <f t="shared" si="3"/>
        <v>×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0</v>
      </c>
      <c r="G207" s="31">
        <f>P!H208</f>
        <v>0</v>
      </c>
      <c r="H207" s="31">
        <f>P!J208</f>
        <v>0</v>
      </c>
      <c r="I207" s="31">
        <f>P!L208</f>
        <v>0</v>
      </c>
      <c r="J207" s="31">
        <f>P!N208</f>
        <v>0</v>
      </c>
      <c r="K207" s="31">
        <f>P!P208</f>
        <v>0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0</v>
      </c>
      <c r="V207" s="183" t="str">
        <f t="shared" si="3"/>
        <v>×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0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0</v>
      </c>
      <c r="V208" s="183" t="str">
        <f t="shared" si="3"/>
        <v>×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0</v>
      </c>
      <c r="V210" s="183" t="str">
        <f t="shared" si="3"/>
        <v>×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0</v>
      </c>
      <c r="G215" s="31">
        <f>P!H216</f>
        <v>0</v>
      </c>
      <c r="H215" s="31">
        <f>P!J216</f>
        <v>0</v>
      </c>
      <c r="I215" s="31">
        <f>P!L216</f>
        <v>0</v>
      </c>
      <c r="J215" s="31">
        <f>P!N216</f>
        <v>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0</v>
      </c>
      <c r="V215" s="183" t="str">
        <f t="shared" si="3"/>
        <v>×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0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0</v>
      </c>
      <c r="V230" s="183" t="str">
        <f t="shared" si="3"/>
        <v>×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0</v>
      </c>
      <c r="V231" s="183" t="str">
        <f t="shared" si="3"/>
        <v>×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0</v>
      </c>
      <c r="V232" s="183" t="str">
        <f t="shared" si="3"/>
        <v>×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0</v>
      </c>
      <c r="G233" s="31">
        <f>P!H234</f>
        <v>0</v>
      </c>
      <c r="H233" s="31">
        <f>P!J234</f>
        <v>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0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0</v>
      </c>
      <c r="V233" s="183" t="str">
        <f t="shared" si="3"/>
        <v>×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0</v>
      </c>
      <c r="F244" s="31">
        <f>P!F245</f>
        <v>0</v>
      </c>
      <c r="G244" s="31">
        <f>P!H245</f>
        <v>0</v>
      </c>
      <c r="H244" s="31">
        <f>P!J245</f>
        <v>0</v>
      </c>
      <c r="I244" s="31">
        <f>P!L245</f>
        <v>0</v>
      </c>
      <c r="J244" s="31">
        <f>P!N245</f>
        <v>0</v>
      </c>
      <c r="K244" s="31">
        <f>P!P245</f>
        <v>0</v>
      </c>
      <c r="L244" s="31">
        <f>P!R245</f>
        <v>0</v>
      </c>
      <c r="M244" s="31">
        <f>P!T245</f>
        <v>0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0</v>
      </c>
      <c r="V244" s="183" t="str">
        <f t="shared" si="3"/>
        <v>×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0</v>
      </c>
      <c r="V246" s="183" t="str">
        <f t="shared" si="3"/>
        <v>×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0</v>
      </c>
      <c r="J248" s="31">
        <f>P!N249</f>
        <v>0</v>
      </c>
      <c r="K248" s="31">
        <f>P!P249</f>
        <v>0</v>
      </c>
      <c r="L248" s="31">
        <f>P!R249</f>
        <v>0</v>
      </c>
      <c r="M248" s="31">
        <f>P!T249</f>
        <v>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0</v>
      </c>
      <c r="V248" s="183" t="str">
        <f t="shared" si="3"/>
        <v>×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0</v>
      </c>
      <c r="F251" s="31">
        <f>P!F252</f>
        <v>0</v>
      </c>
      <c r="G251" s="31">
        <f>P!H252</f>
        <v>0</v>
      </c>
      <c r="H251" s="31">
        <f>P!J252</f>
        <v>0</v>
      </c>
      <c r="I251" s="31">
        <f>P!L252</f>
        <v>0</v>
      </c>
      <c r="J251" s="31">
        <f>P!N252</f>
        <v>0</v>
      </c>
      <c r="K251" s="31">
        <f>P!P252</f>
        <v>0</v>
      </c>
      <c r="L251" s="31">
        <f>P!R252</f>
        <v>0</v>
      </c>
      <c r="M251" s="31">
        <f>P!T252</f>
        <v>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0</v>
      </c>
      <c r="V251" s="183" t="str">
        <f t="shared" si="3"/>
        <v>×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0</v>
      </c>
      <c r="F252" s="31">
        <f>P!F253</f>
        <v>0</v>
      </c>
      <c r="G252" s="31">
        <f>P!H253</f>
        <v>0</v>
      </c>
      <c r="H252" s="31">
        <f>P!J253</f>
        <v>0</v>
      </c>
      <c r="I252" s="31">
        <f>P!L253</f>
        <v>0</v>
      </c>
      <c r="J252" s="31">
        <f>P!N253</f>
        <v>0</v>
      </c>
      <c r="K252" s="31">
        <f>P!P253</f>
        <v>0</v>
      </c>
      <c r="L252" s="31">
        <f>P!R253</f>
        <v>0</v>
      </c>
      <c r="M252" s="31">
        <f>P!T253</f>
        <v>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0</v>
      </c>
      <c r="V252" s="183" t="str">
        <f t="shared" si="3"/>
        <v>×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0</v>
      </c>
      <c r="F253" s="31">
        <f>P!F254</f>
        <v>0</v>
      </c>
      <c r="G253" s="31">
        <f>P!H254</f>
        <v>0</v>
      </c>
      <c r="H253" s="31">
        <f>P!J254</f>
        <v>0</v>
      </c>
      <c r="I253" s="31">
        <f>P!L254</f>
        <v>0</v>
      </c>
      <c r="J253" s="31">
        <f>P!N254</f>
        <v>0</v>
      </c>
      <c r="K253" s="31">
        <f>P!P254</f>
        <v>0</v>
      </c>
      <c r="L253" s="31">
        <f>P!R254</f>
        <v>0</v>
      </c>
      <c r="M253" s="31">
        <f>P!T254</f>
        <v>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0</v>
      </c>
      <c r="V253" s="183" t="str">
        <f t="shared" si="3"/>
        <v>×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1">
        <f>SUM(U4:U253)</f>
        <v>0</v>
      </c>
      <c r="U254" s="452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4"/>
      <c r="K255" s="444"/>
      <c r="L255" s="444"/>
      <c r="M255" s="444"/>
      <c r="N255" s="444"/>
      <c r="O255" s="444"/>
      <c r="P255" s="444"/>
      <c r="Q255" s="444"/>
      <c r="R255" s="444"/>
      <c r="S255" s="444"/>
      <c r="T255" s="447"/>
      <c r="U255" s="444"/>
      <c r="V255"/>
      <c r="W255" s="25"/>
      <c r="X255" s="353" t="b">
        <f>T254=TS!D20</f>
        <v>1</v>
      </c>
      <c r="Y255" s="353" t="s">
        <v>362</v>
      </c>
    </row>
    <row r="256" spans="1:25" ht="16.5"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4"/>
      <c r="J260" s="444"/>
      <c r="K260" s="444"/>
      <c r="L260" s="444"/>
      <c r="M260" s="444"/>
      <c r="N260" s="444"/>
      <c r="O260" s="444"/>
      <c r="P260" s="444"/>
      <c r="Q260" s="444"/>
      <c r="R260" s="444"/>
      <c r="S260" s="444"/>
      <c r="T260" s="444"/>
      <c r="U260" s="444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="85" zoomScaleNormal="85" workbookViewId="0">
      <pane xSplit="3" ySplit="2" topLeftCell="D70" activePane="bottomRight" state="frozen"/>
      <selection pane="topRight" activeCell="D1" sqref="D1"/>
      <selection pane="bottomLeft" activeCell="A3" sqref="A3"/>
      <selection pane="bottomRight" activeCell="K235" sqref="K235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.140625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61" t="s">
        <v>0</v>
      </c>
      <c r="B1" s="461" t="s">
        <v>1</v>
      </c>
      <c r="C1" s="461" t="s">
        <v>2</v>
      </c>
      <c r="D1" s="462" t="s">
        <v>204</v>
      </c>
      <c r="E1" s="463" t="s">
        <v>252</v>
      </c>
      <c r="F1" s="453" t="s">
        <v>11</v>
      </c>
      <c r="G1" s="453" t="s">
        <v>253</v>
      </c>
      <c r="H1" s="241">
        <f>I1</f>
        <v>45972</v>
      </c>
      <c r="I1" s="231">
        <f>H!C7</f>
        <v>45972</v>
      </c>
      <c r="J1" s="241">
        <f>K1</f>
        <v>45973</v>
      </c>
      <c r="K1" s="231">
        <f>I1+1</f>
        <v>45973</v>
      </c>
      <c r="L1" s="241">
        <f>M1</f>
        <v>45974</v>
      </c>
      <c r="M1" s="231">
        <f t="shared" ref="M1:W1" si="0">K1+1</f>
        <v>45974</v>
      </c>
      <c r="N1" s="241">
        <f>O1</f>
        <v>45975</v>
      </c>
      <c r="O1" s="231">
        <f t="shared" si="0"/>
        <v>45975</v>
      </c>
      <c r="P1" s="241">
        <f>Q1</f>
        <v>45976</v>
      </c>
      <c r="Q1" s="231">
        <f>O1+1</f>
        <v>45976</v>
      </c>
      <c r="R1" s="241">
        <f>S1</f>
        <v>45977</v>
      </c>
      <c r="S1" s="231">
        <f t="shared" si="0"/>
        <v>45977</v>
      </c>
      <c r="T1" s="241">
        <f>U1</f>
        <v>45978</v>
      </c>
      <c r="U1" s="231">
        <f t="shared" si="0"/>
        <v>45978</v>
      </c>
      <c r="V1" s="241">
        <f>W1</f>
        <v>45979</v>
      </c>
      <c r="W1" s="229">
        <f t="shared" si="0"/>
        <v>45979</v>
      </c>
      <c r="X1" s="241">
        <f>Y1</f>
        <v>45980</v>
      </c>
      <c r="Y1" s="229">
        <f t="shared" ref="Y1" si="1">W1+1</f>
        <v>45980</v>
      </c>
      <c r="Z1" s="241">
        <f>AA1</f>
        <v>45981</v>
      </c>
      <c r="AA1" s="229">
        <f t="shared" ref="AA1" si="2">Y1+1</f>
        <v>45981</v>
      </c>
      <c r="AB1" s="241">
        <f>AC1</f>
        <v>45982</v>
      </c>
      <c r="AC1" s="229">
        <f>AA1+1</f>
        <v>45982</v>
      </c>
      <c r="AD1" s="241">
        <f>AE1</f>
        <v>45983</v>
      </c>
      <c r="AE1" s="229">
        <f>AC1+1</f>
        <v>45983</v>
      </c>
      <c r="AF1" s="241">
        <f>AG1</f>
        <v>45984</v>
      </c>
      <c r="AG1" s="229">
        <f>AE1+1</f>
        <v>45984</v>
      </c>
      <c r="AH1" s="241">
        <f>AI1</f>
        <v>45985</v>
      </c>
      <c r="AI1" s="229">
        <f>AG1+1</f>
        <v>45985</v>
      </c>
      <c r="AJ1" s="241">
        <f>AH1+1</f>
        <v>45986</v>
      </c>
      <c r="AK1" s="229">
        <f>AI1+1</f>
        <v>45986</v>
      </c>
      <c r="AL1" s="241">
        <f>AJ1+1</f>
        <v>45987</v>
      </c>
      <c r="AM1" s="229">
        <f>AK1+1</f>
        <v>45987</v>
      </c>
      <c r="AN1" s="458" t="s">
        <v>227</v>
      </c>
      <c r="AO1" s="454" t="s">
        <v>13</v>
      </c>
      <c r="AP1" s="456" t="s">
        <v>15</v>
      </c>
      <c r="AQ1" s="460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61"/>
      <c r="B2" s="461"/>
      <c r="C2" s="461"/>
      <c r="D2" s="462"/>
      <c r="E2" s="463"/>
      <c r="F2" s="453"/>
      <c r="G2" s="453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59"/>
      <c r="AO2" s="455"/>
      <c r="AP2" s="457"/>
      <c r="AQ2" s="460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/>
      <c r="E3" s="243"/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0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/>
      <c r="E4" s="243"/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/>
      <c r="E5" s="243"/>
      <c r="F5" s="244">
        <f>P!AJ7</f>
        <v>0</v>
      </c>
      <c r="G5" s="244">
        <f t="shared" si="3"/>
        <v>0</v>
      </c>
      <c r="H5" s="276"/>
      <c r="I5" s="277"/>
      <c r="J5" s="276"/>
      <c r="K5" s="277"/>
      <c r="L5" s="304"/>
      <c r="M5" s="305"/>
      <c r="N5" s="304"/>
      <c r="O5" s="305"/>
      <c r="P5" s="304"/>
      <c r="Q5" s="305"/>
      <c r="R5" s="304"/>
      <c r="S5" s="305"/>
      <c r="T5" s="304"/>
      <c r="U5" s="305"/>
      <c r="V5" s="304"/>
      <c r="W5" s="305"/>
      <c r="X5" s="304"/>
      <c r="Y5" s="305"/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0</v>
      </c>
      <c r="AO5" s="252">
        <f>P!AK7</f>
        <v>0</v>
      </c>
      <c r="AP5" s="253">
        <f t="shared" si="5"/>
        <v>0</v>
      </c>
      <c r="AQ5" s="70" t="str">
        <f t="shared" si="6"/>
        <v>০</v>
      </c>
    </row>
    <row r="6" spans="1:55">
      <c r="A6" s="68">
        <v>4</v>
      </c>
      <c r="B6" s="92" t="s">
        <v>18</v>
      </c>
      <c r="C6" s="68" t="s">
        <v>9</v>
      </c>
      <c r="D6" s="243"/>
      <c r="E6" s="243"/>
      <c r="F6" s="244">
        <f>P!AJ8</f>
        <v>0</v>
      </c>
      <c r="G6" s="244">
        <f t="shared" si="3"/>
        <v>0</v>
      </c>
      <c r="H6" s="276"/>
      <c r="I6" s="277"/>
      <c r="J6" s="276"/>
      <c r="K6" s="277"/>
      <c r="L6" s="304"/>
      <c r="M6" s="305"/>
      <c r="N6" s="304"/>
      <c r="O6" s="305"/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0</v>
      </c>
      <c r="AO6" s="252">
        <f>P!AK8</f>
        <v>0</v>
      </c>
      <c r="AP6" s="253">
        <f t="shared" si="5"/>
        <v>0</v>
      </c>
      <c r="AQ6" s="70" t="str">
        <f t="shared" si="6"/>
        <v>০</v>
      </c>
    </row>
    <row r="7" spans="1:55">
      <c r="A7" s="68">
        <v>5</v>
      </c>
      <c r="B7" s="92" t="s">
        <v>19</v>
      </c>
      <c r="C7" s="68" t="s">
        <v>9</v>
      </c>
      <c r="D7" s="243"/>
      <c r="E7" s="243"/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/>
      <c r="E8" s="243"/>
      <c r="F8" s="244">
        <f>P!AJ10</f>
        <v>0</v>
      </c>
      <c r="G8" s="244">
        <f t="shared" si="3"/>
        <v>0</v>
      </c>
      <c r="H8" s="276"/>
      <c r="I8" s="277"/>
      <c r="J8" s="276"/>
      <c r="K8" s="277"/>
      <c r="L8" s="304"/>
      <c r="M8" s="305"/>
      <c r="N8" s="304"/>
      <c r="O8" s="305"/>
      <c r="P8" s="304"/>
      <c r="Q8" s="305"/>
      <c r="R8" s="304"/>
      <c r="S8" s="305"/>
      <c r="T8" s="304"/>
      <c r="U8" s="305"/>
      <c r="V8" s="304"/>
      <c r="W8" s="305"/>
      <c r="X8" s="304"/>
      <c r="Y8" s="305"/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0</v>
      </c>
      <c r="AO8" s="252">
        <f>P!AK10</f>
        <v>0</v>
      </c>
      <c r="AP8" s="253">
        <f t="shared" si="5"/>
        <v>0</v>
      </c>
      <c r="AQ8" s="70" t="str">
        <f t="shared" si="6"/>
        <v>০</v>
      </c>
    </row>
    <row r="9" spans="1:55">
      <c r="A9" s="68">
        <v>7</v>
      </c>
      <c r="B9" s="92" t="s">
        <v>21</v>
      </c>
      <c r="C9" s="68" t="s">
        <v>9</v>
      </c>
      <c r="D9" s="243"/>
      <c r="E9" s="243"/>
      <c r="F9" s="244">
        <f>P!AJ11</f>
        <v>0</v>
      </c>
      <c r="G9" s="244">
        <f t="shared" si="3"/>
        <v>0</v>
      </c>
      <c r="H9" s="276"/>
      <c r="I9" s="277"/>
      <c r="J9" s="276"/>
      <c r="K9" s="277"/>
      <c r="L9" s="304"/>
      <c r="M9" s="305"/>
      <c r="N9" s="304"/>
      <c r="O9" s="305"/>
      <c r="P9" s="304"/>
      <c r="Q9" s="305"/>
      <c r="R9" s="304"/>
      <c r="S9" s="305"/>
      <c r="T9" s="304"/>
      <c r="U9" s="305"/>
      <c r="V9" s="304"/>
      <c r="W9" s="305"/>
      <c r="X9" s="304"/>
      <c r="Y9" s="305"/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0</v>
      </c>
      <c r="AO9" s="252">
        <f>P!AK11</f>
        <v>0</v>
      </c>
      <c r="AP9" s="253">
        <f t="shared" si="5"/>
        <v>0</v>
      </c>
      <c r="AQ9" s="70" t="str">
        <f t="shared" si="6"/>
        <v>০</v>
      </c>
    </row>
    <row r="10" spans="1:55">
      <c r="A10" s="68">
        <v>8</v>
      </c>
      <c r="B10" s="92" t="s">
        <v>360</v>
      </c>
      <c r="C10" s="68" t="s">
        <v>9</v>
      </c>
      <c r="D10" s="243"/>
      <c r="E10" s="243"/>
      <c r="F10" s="244">
        <f>P!AJ12</f>
        <v>0</v>
      </c>
      <c r="G10" s="244">
        <f t="shared" si="3"/>
        <v>0</v>
      </c>
      <c r="H10" s="276"/>
      <c r="I10" s="277"/>
      <c r="J10" s="276"/>
      <c r="K10" s="277"/>
      <c r="L10" s="304"/>
      <c r="M10" s="305"/>
      <c r="N10" s="304"/>
      <c r="O10" s="305"/>
      <c r="P10" s="304"/>
      <c r="Q10" s="305"/>
      <c r="R10" s="304"/>
      <c r="S10" s="305"/>
      <c r="T10" s="304"/>
      <c r="U10" s="305"/>
      <c r="V10" s="304"/>
      <c r="W10" s="305"/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0</v>
      </c>
      <c r="AO10" s="252">
        <f>P!AK12</f>
        <v>0</v>
      </c>
      <c r="AP10" s="253">
        <f t="shared" si="5"/>
        <v>0</v>
      </c>
      <c r="AQ10" s="70" t="str">
        <f t="shared" si="6"/>
        <v>০</v>
      </c>
    </row>
    <row r="11" spans="1:55">
      <c r="A11" s="68">
        <v>9</v>
      </c>
      <c r="B11" s="92" t="s">
        <v>196</v>
      </c>
      <c r="C11" s="68" t="s">
        <v>9</v>
      </c>
      <c r="D11" s="243"/>
      <c r="E11" s="243"/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0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/>
      <c r="E12" s="243"/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0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/>
      <c r="E13" s="243"/>
      <c r="F13" s="244">
        <f>P!AJ15</f>
        <v>0</v>
      </c>
      <c r="G13" s="244">
        <f>E13+F13</f>
        <v>0</v>
      </c>
      <c r="H13" s="276"/>
      <c r="I13" s="277"/>
      <c r="J13" s="276"/>
      <c r="K13" s="277"/>
      <c r="L13" s="304"/>
      <c r="M13" s="305"/>
      <c r="N13" s="304"/>
      <c r="O13" s="305"/>
      <c r="P13" s="304"/>
      <c r="Q13" s="305"/>
      <c r="R13" s="304"/>
      <c r="S13" s="305"/>
      <c r="T13" s="304"/>
      <c r="U13" s="305"/>
      <c r="V13" s="304"/>
      <c r="W13" s="305"/>
      <c r="X13" s="304"/>
      <c r="Y13" s="305"/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0</v>
      </c>
      <c r="AO13" s="252">
        <f>P!AK15</f>
        <v>0</v>
      </c>
      <c r="AP13" s="253">
        <f t="shared" si="5"/>
        <v>0</v>
      </c>
      <c r="AQ13" s="70" t="str">
        <f t="shared" si="6"/>
        <v>০</v>
      </c>
    </row>
    <row r="14" spans="1:55">
      <c r="A14" s="68">
        <v>12</v>
      </c>
      <c r="B14" s="92" t="s">
        <v>27</v>
      </c>
      <c r="C14" s="68" t="s">
        <v>26</v>
      </c>
      <c r="D14" s="243"/>
      <c r="E14" s="243"/>
      <c r="F14" s="244">
        <f>P!AJ16</f>
        <v>0</v>
      </c>
      <c r="G14" s="244">
        <f t="shared" si="3"/>
        <v>0</v>
      </c>
      <c r="H14" s="276"/>
      <c r="I14" s="277"/>
      <c r="J14" s="276"/>
      <c r="K14" s="277"/>
      <c r="L14" s="304"/>
      <c r="M14" s="305"/>
      <c r="N14" s="304"/>
      <c r="O14" s="305"/>
      <c r="P14" s="304"/>
      <c r="Q14" s="305"/>
      <c r="R14" s="304"/>
      <c r="S14" s="305"/>
      <c r="T14" s="304"/>
      <c r="U14" s="305"/>
      <c r="V14" s="304"/>
      <c r="W14" s="305"/>
      <c r="X14" s="304"/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0</v>
      </c>
      <c r="AO14" s="252">
        <f>P!AK16</f>
        <v>0</v>
      </c>
      <c r="AP14" s="253">
        <f t="shared" si="5"/>
        <v>0</v>
      </c>
      <c r="AQ14" s="70" t="str">
        <f t="shared" si="6"/>
        <v>০</v>
      </c>
    </row>
    <row r="15" spans="1:55">
      <c r="A15" s="68">
        <v>13</v>
      </c>
      <c r="B15" s="92" t="s">
        <v>5</v>
      </c>
      <c r="C15" s="68" t="s">
        <v>9</v>
      </c>
      <c r="D15" s="243"/>
      <c r="E15" s="243"/>
      <c r="F15" s="244">
        <f>P!AJ17</f>
        <v>0</v>
      </c>
      <c r="G15" s="244">
        <f t="shared" si="3"/>
        <v>0</v>
      </c>
      <c r="H15" s="276"/>
      <c r="I15" s="277"/>
      <c r="J15" s="276"/>
      <c r="K15" s="277"/>
      <c r="L15" s="304"/>
      <c r="M15" s="305"/>
      <c r="N15" s="304"/>
      <c r="O15" s="305"/>
      <c r="P15" s="304"/>
      <c r="Q15" s="305"/>
      <c r="R15" s="304"/>
      <c r="S15" s="305"/>
      <c r="T15" s="304"/>
      <c r="U15" s="305"/>
      <c r="V15" s="304"/>
      <c r="W15" s="305"/>
      <c r="X15" s="304"/>
      <c r="Y15" s="305"/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0</v>
      </c>
      <c r="AO15" s="252">
        <f>P!AK17</f>
        <v>0</v>
      </c>
      <c r="AP15" s="253">
        <f t="shared" si="5"/>
        <v>0</v>
      </c>
      <c r="AQ15" s="70" t="str">
        <f t="shared" si="6"/>
        <v>০</v>
      </c>
    </row>
    <row r="16" spans="1:55">
      <c r="A16" s="68">
        <v>14</v>
      </c>
      <c r="B16" s="92" t="s">
        <v>199</v>
      </c>
      <c r="C16" s="68" t="s">
        <v>31</v>
      </c>
      <c r="D16" s="243"/>
      <c r="E16" s="243"/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0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/>
      <c r="E17" s="243"/>
      <c r="F17" s="244">
        <f>P!AJ19</f>
        <v>0</v>
      </c>
      <c r="G17" s="244">
        <f t="shared" si="3"/>
        <v>0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/>
      <c r="E18" s="243"/>
      <c r="F18" s="244">
        <f>P!AJ20</f>
        <v>0</v>
      </c>
      <c r="G18" s="244">
        <f t="shared" si="3"/>
        <v>0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0</v>
      </c>
      <c r="AP18" s="253">
        <f t="shared" si="5"/>
        <v>0</v>
      </c>
      <c r="AQ18" s="70" t="str">
        <f t="shared" si="6"/>
        <v>০</v>
      </c>
    </row>
    <row r="19" spans="1:44">
      <c r="A19" s="68">
        <v>17</v>
      </c>
      <c r="B19" s="92" t="s">
        <v>30</v>
      </c>
      <c r="C19" s="68" t="s">
        <v>31</v>
      </c>
      <c r="D19" s="243"/>
      <c r="E19" s="243"/>
      <c r="F19" s="244">
        <f>P!AJ21</f>
        <v>0</v>
      </c>
      <c r="G19" s="244">
        <f t="shared" si="3"/>
        <v>0</v>
      </c>
      <c r="H19" s="276"/>
      <c r="I19" s="277"/>
      <c r="J19" s="276"/>
      <c r="K19" s="277"/>
      <c r="L19" s="304"/>
      <c r="M19" s="305"/>
      <c r="N19" s="304"/>
      <c r="O19" s="305"/>
      <c r="P19" s="304"/>
      <c r="Q19" s="305"/>
      <c r="R19" s="304"/>
      <c r="S19" s="305"/>
      <c r="T19" s="304"/>
      <c r="U19" s="305"/>
      <c r="V19" s="304"/>
      <c r="W19" s="305"/>
      <c r="X19" s="304"/>
      <c r="Y19" s="305"/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0</v>
      </c>
      <c r="AO19" s="252">
        <f>P!AK21</f>
        <v>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/>
      <c r="E20" s="243"/>
      <c r="F20" s="244">
        <f>P!AJ22</f>
        <v>0</v>
      </c>
      <c r="G20" s="244">
        <f t="shared" si="3"/>
        <v>0</v>
      </c>
      <c r="H20" s="276"/>
      <c r="I20" s="277"/>
      <c r="J20" s="276"/>
      <c r="K20" s="277"/>
      <c r="L20" s="304"/>
      <c r="M20" s="305"/>
      <c r="N20" s="304"/>
      <c r="O20" s="305"/>
      <c r="P20" s="304"/>
      <c r="Q20" s="305"/>
      <c r="R20" s="304"/>
      <c r="S20" s="305"/>
      <c r="T20" s="304"/>
      <c r="U20" s="305"/>
      <c r="V20" s="304"/>
      <c r="W20" s="305"/>
      <c r="X20" s="304"/>
      <c r="Y20" s="305"/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0</v>
      </c>
      <c r="AO20" s="252">
        <f>P!AK22</f>
        <v>0</v>
      </c>
      <c r="AP20" s="253">
        <f t="shared" si="5"/>
        <v>0</v>
      </c>
      <c r="AQ20" s="70" t="str">
        <f t="shared" si="6"/>
        <v>০</v>
      </c>
    </row>
    <row r="21" spans="1:44">
      <c r="A21" s="68">
        <v>19</v>
      </c>
      <c r="B21" s="92" t="s">
        <v>33</v>
      </c>
      <c r="C21" s="68" t="s">
        <v>9</v>
      </c>
      <c r="D21" s="243"/>
      <c r="E21" s="243"/>
      <c r="F21" s="244">
        <f>P!AJ23</f>
        <v>0</v>
      </c>
      <c r="G21" s="244">
        <f t="shared" si="3"/>
        <v>0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/>
      <c r="V21" s="304"/>
      <c r="W21" s="305"/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0</v>
      </c>
      <c r="AO21" s="252">
        <f>P!AK23</f>
        <v>0</v>
      </c>
      <c r="AP21" s="253">
        <f t="shared" si="5"/>
        <v>0</v>
      </c>
      <c r="AQ21" s="70" t="str">
        <f t="shared" si="6"/>
        <v>০</v>
      </c>
    </row>
    <row r="22" spans="1:44">
      <c r="A22" s="68">
        <v>20</v>
      </c>
      <c r="B22" s="92" t="s">
        <v>34</v>
      </c>
      <c r="C22" s="68" t="s">
        <v>31</v>
      </c>
      <c r="D22" s="243"/>
      <c r="E22" s="243"/>
      <c r="F22" s="244">
        <f>P!AJ24</f>
        <v>0</v>
      </c>
      <c r="G22" s="244">
        <f t="shared" si="3"/>
        <v>0</v>
      </c>
      <c r="H22" s="276"/>
      <c r="I22" s="277"/>
      <c r="J22" s="276"/>
      <c r="K22" s="277"/>
      <c r="L22" s="304"/>
      <c r="M22" s="305"/>
      <c r="N22" s="304"/>
      <c r="O22" s="305"/>
      <c r="P22" s="304"/>
      <c r="Q22" s="305"/>
      <c r="R22" s="304"/>
      <c r="S22" s="305"/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0</v>
      </c>
      <c r="AO22" s="252">
        <f>P!AK24</f>
        <v>0</v>
      </c>
      <c r="AP22" s="253">
        <f t="shared" si="5"/>
        <v>0</v>
      </c>
      <c r="AQ22" s="70" t="str">
        <f t="shared" si="6"/>
        <v>০</v>
      </c>
    </row>
    <row r="23" spans="1:44">
      <c r="A23" s="68">
        <v>21</v>
      </c>
      <c r="B23" s="92" t="s">
        <v>35</v>
      </c>
      <c r="C23" s="68" t="s">
        <v>31</v>
      </c>
      <c r="D23" s="243"/>
      <c r="E23" s="243"/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/>
      <c r="E24" s="243"/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/>
      <c r="E25" s="243"/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0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/>
      <c r="E26" s="243"/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/>
      <c r="E27" s="243"/>
      <c r="F27" s="244">
        <f>P!AJ29</f>
        <v>0</v>
      </c>
      <c r="G27" s="244">
        <f t="shared" si="3"/>
        <v>0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0</v>
      </c>
      <c r="AP27" s="253">
        <f t="shared" si="5"/>
        <v>0</v>
      </c>
      <c r="AQ27" s="70" t="str">
        <f t="shared" si="6"/>
        <v>০</v>
      </c>
    </row>
    <row r="28" spans="1:44">
      <c r="A28" s="68">
        <v>26</v>
      </c>
      <c r="B28" s="92" t="s">
        <v>39</v>
      </c>
      <c r="C28" s="68" t="s">
        <v>9</v>
      </c>
      <c r="D28" s="243"/>
      <c r="E28" s="243"/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/>
      <c r="E29" s="243"/>
      <c r="F29" s="244">
        <f>P!AJ31</f>
        <v>0</v>
      </c>
      <c r="G29" s="244">
        <f t="shared" si="3"/>
        <v>0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/>
      <c r="E30" s="243"/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0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/>
      <c r="E31" s="243"/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/>
      <c r="E32" s="243"/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/>
      <c r="E33" s="243"/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/>
      <c r="E34" s="243"/>
      <c r="F34" s="244">
        <f>P!AJ36</f>
        <v>0</v>
      </c>
      <c r="G34" s="244">
        <f t="shared" si="3"/>
        <v>0</v>
      </c>
      <c r="H34" s="276"/>
      <c r="I34" s="277"/>
      <c r="J34" s="276"/>
      <c r="K34" s="277"/>
      <c r="L34" s="304"/>
      <c r="M34" s="305"/>
      <c r="N34" s="304"/>
      <c r="O34" s="305"/>
      <c r="P34" s="304"/>
      <c r="Q34" s="305"/>
      <c r="R34" s="304"/>
      <c r="S34" s="305"/>
      <c r="T34" s="304"/>
      <c r="U34" s="305"/>
      <c r="V34" s="304"/>
      <c r="W34" s="305"/>
      <c r="X34" s="304"/>
      <c r="Y34" s="305"/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0</v>
      </c>
      <c r="AO34" s="252">
        <f>P!AK36</f>
        <v>0</v>
      </c>
      <c r="AP34" s="253">
        <f t="shared" si="5"/>
        <v>0</v>
      </c>
      <c r="AQ34" s="70" t="str">
        <f t="shared" si="6"/>
        <v>০</v>
      </c>
    </row>
    <row r="35" spans="1:43">
      <c r="A35" s="68">
        <v>33</v>
      </c>
      <c r="B35" s="92" t="s">
        <v>45</v>
      </c>
      <c r="C35" s="68" t="s">
        <v>9</v>
      </c>
      <c r="D35" s="243"/>
      <c r="E35" s="243"/>
      <c r="F35" s="244">
        <f>P!AJ37</f>
        <v>0</v>
      </c>
      <c r="G35" s="244">
        <f t="shared" si="3"/>
        <v>0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0</v>
      </c>
      <c r="AP35" s="253">
        <f t="shared" si="5"/>
        <v>0</v>
      </c>
      <c r="AQ35" s="70" t="str">
        <f t="shared" si="6"/>
        <v>০</v>
      </c>
    </row>
    <row r="36" spans="1:43">
      <c r="A36" s="68">
        <v>34</v>
      </c>
      <c r="B36" s="92" t="s">
        <v>46</v>
      </c>
      <c r="C36" s="68" t="s">
        <v>9</v>
      </c>
      <c r="D36" s="243"/>
      <c r="E36" s="243"/>
      <c r="F36" s="244">
        <f>P!AJ38</f>
        <v>0</v>
      </c>
      <c r="G36" s="244">
        <f t="shared" si="3"/>
        <v>0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0</v>
      </c>
      <c r="AP36" s="253">
        <f t="shared" si="5"/>
        <v>0</v>
      </c>
      <c r="AQ36" s="70" t="str">
        <f t="shared" si="6"/>
        <v>০</v>
      </c>
    </row>
    <row r="37" spans="1:43">
      <c r="A37" s="68">
        <v>35</v>
      </c>
      <c r="B37" s="92" t="s">
        <v>257</v>
      </c>
      <c r="C37" s="68" t="s">
        <v>9</v>
      </c>
      <c r="D37" s="243"/>
      <c r="E37" s="243"/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/>
      <c r="E38" s="243"/>
      <c r="F38" s="244">
        <f>P!AJ40</f>
        <v>0</v>
      </c>
      <c r="G38" s="244">
        <f t="shared" si="3"/>
        <v>0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</v>
      </c>
      <c r="AO38" s="312">
        <f>P!AK40</f>
        <v>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/>
      <c r="E39" s="243"/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0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/>
      <c r="E40" s="243"/>
      <c r="F40" s="244">
        <f>P!AJ42</f>
        <v>0</v>
      </c>
      <c r="G40" s="244">
        <f t="shared" si="3"/>
        <v>0</v>
      </c>
      <c r="H40" s="311"/>
      <c r="I40" s="316">
        <f>P!D42</f>
        <v>0</v>
      </c>
      <c r="J40" s="311"/>
      <c r="K40" s="316">
        <f>P!F42</f>
        <v>0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0</v>
      </c>
      <c r="AO40" s="324">
        <f>P!AK42</f>
        <v>0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/>
      <c r="E41" s="243"/>
      <c r="F41" s="244">
        <f>P!AJ43</f>
        <v>0</v>
      </c>
      <c r="G41" s="244">
        <f t="shared" si="3"/>
        <v>0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0</v>
      </c>
      <c r="AP41" s="315">
        <f t="shared" si="5"/>
        <v>0</v>
      </c>
      <c r="AQ41" s="70" t="str">
        <f t="shared" si="6"/>
        <v>০</v>
      </c>
    </row>
    <row r="42" spans="1:43">
      <c r="A42" s="68">
        <v>40</v>
      </c>
      <c r="B42" s="92" t="s">
        <v>50</v>
      </c>
      <c r="C42" s="68" t="s">
        <v>31</v>
      </c>
      <c r="D42" s="243"/>
      <c r="E42" s="243"/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0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/>
      <c r="E43" s="243"/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/>
      <c r="E44" s="243"/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/>
      <c r="E45" s="243"/>
      <c r="F45" s="244">
        <f>P!AJ47</f>
        <v>0</v>
      </c>
      <c r="G45" s="244">
        <f t="shared" si="3"/>
        <v>0</v>
      </c>
      <c r="H45" s="276"/>
      <c r="I45" s="277"/>
      <c r="J45" s="276"/>
      <c r="K45" s="277"/>
      <c r="L45" s="304"/>
      <c r="M45" s="305"/>
      <c r="N45" s="304"/>
      <c r="O45" s="305"/>
      <c r="P45" s="304"/>
      <c r="Q45" s="305"/>
      <c r="R45" s="304"/>
      <c r="S45" s="305"/>
      <c r="T45" s="304"/>
      <c r="U45" s="305"/>
      <c r="V45" s="304"/>
      <c r="W45" s="305"/>
      <c r="X45" s="304"/>
      <c r="Y45" s="305"/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0</v>
      </c>
      <c r="AO45" s="252">
        <f>P!AK47</f>
        <v>0</v>
      </c>
      <c r="AP45" s="253">
        <f t="shared" si="5"/>
        <v>0</v>
      </c>
      <c r="AQ45" s="70" t="str">
        <f t="shared" si="6"/>
        <v>০</v>
      </c>
    </row>
    <row r="46" spans="1:43">
      <c r="A46" s="68">
        <v>44</v>
      </c>
      <c r="B46" s="92" t="s">
        <v>52</v>
      </c>
      <c r="C46" s="68" t="s">
        <v>31</v>
      </c>
      <c r="D46" s="243"/>
      <c r="E46" s="243"/>
      <c r="F46" s="244">
        <f>P!AJ48</f>
        <v>0</v>
      </c>
      <c r="G46" s="244">
        <f t="shared" si="3"/>
        <v>0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0</v>
      </c>
      <c r="AP46" s="253">
        <f t="shared" si="5"/>
        <v>0</v>
      </c>
      <c r="AQ46" s="70" t="str">
        <f t="shared" si="6"/>
        <v>০</v>
      </c>
    </row>
    <row r="47" spans="1:43">
      <c r="A47" s="68">
        <v>45</v>
      </c>
      <c r="B47" s="92" t="s">
        <v>53</v>
      </c>
      <c r="C47" s="68" t="s">
        <v>31</v>
      </c>
      <c r="D47" s="243"/>
      <c r="E47" s="243"/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0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/>
      <c r="E48" s="243"/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0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/>
      <c r="E49" s="243"/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/>
      <c r="E50" s="243"/>
      <c r="F50" s="244">
        <f>P!AJ52</f>
        <v>0</v>
      </c>
      <c r="G50" s="244">
        <f t="shared" si="3"/>
        <v>0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0</v>
      </c>
      <c r="AP50" s="253">
        <f t="shared" si="5"/>
        <v>0</v>
      </c>
      <c r="AQ50" s="70" t="str">
        <f t="shared" si="6"/>
        <v>০</v>
      </c>
    </row>
    <row r="51" spans="1:43">
      <c r="A51" s="68">
        <v>49</v>
      </c>
      <c r="B51" s="92" t="s">
        <v>58</v>
      </c>
      <c r="C51" s="68" t="s">
        <v>31</v>
      </c>
      <c r="D51" s="243"/>
      <c r="E51" s="243"/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0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/>
      <c r="E52" s="243"/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0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/>
      <c r="E53" s="243"/>
      <c r="F53" s="244">
        <f>P!AJ55</f>
        <v>0</v>
      </c>
      <c r="G53" s="244">
        <f t="shared" si="3"/>
        <v>0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0</v>
      </c>
      <c r="AP53" s="253">
        <f t="shared" si="5"/>
        <v>0</v>
      </c>
      <c r="AQ53" s="70" t="str">
        <f t="shared" si="6"/>
        <v>০</v>
      </c>
    </row>
    <row r="54" spans="1:43">
      <c r="A54" s="68">
        <v>52</v>
      </c>
      <c r="B54" s="92" t="s">
        <v>62</v>
      </c>
      <c r="C54" s="68" t="s">
        <v>31</v>
      </c>
      <c r="D54" s="243"/>
      <c r="E54" s="243"/>
      <c r="F54" s="244">
        <f>P!AJ56</f>
        <v>0</v>
      </c>
      <c r="G54" s="244">
        <f t="shared" si="3"/>
        <v>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</v>
      </c>
      <c r="AP54" s="253">
        <f t="shared" si="5"/>
        <v>0</v>
      </c>
      <c r="AQ54" s="70" t="str">
        <f t="shared" si="6"/>
        <v>০</v>
      </c>
    </row>
    <row r="55" spans="1:43">
      <c r="A55" s="68">
        <v>53</v>
      </c>
      <c r="B55" s="92" t="s">
        <v>63</v>
      </c>
      <c r="C55" s="68" t="s">
        <v>31</v>
      </c>
      <c r="D55" s="243"/>
      <c r="E55" s="243"/>
      <c r="F55" s="244">
        <f>P!AJ57</f>
        <v>0</v>
      </c>
      <c r="G55" s="244">
        <f t="shared" si="3"/>
        <v>0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</v>
      </c>
      <c r="AP55" s="253">
        <f t="shared" si="5"/>
        <v>0</v>
      </c>
      <c r="AQ55" s="70" t="str">
        <f t="shared" si="6"/>
        <v>০</v>
      </c>
    </row>
    <row r="56" spans="1:43">
      <c r="A56" s="68">
        <v>54</v>
      </c>
      <c r="B56" s="92" t="s">
        <v>64</v>
      </c>
      <c r="C56" s="68" t="s">
        <v>31</v>
      </c>
      <c r="D56" s="243"/>
      <c r="E56" s="243"/>
      <c r="F56" s="244">
        <f>P!AJ58</f>
        <v>0</v>
      </c>
      <c r="G56" s="244">
        <f t="shared" si="3"/>
        <v>0</v>
      </c>
      <c r="H56" s="276"/>
      <c r="I56" s="277"/>
      <c r="J56" s="276"/>
      <c r="K56" s="277"/>
      <c r="L56" s="304"/>
      <c r="M56" s="305"/>
      <c r="N56" s="304"/>
      <c r="O56" s="305"/>
      <c r="P56" s="304"/>
      <c r="Q56" s="305"/>
      <c r="R56" s="304"/>
      <c r="S56" s="305"/>
      <c r="T56" s="304"/>
      <c r="U56" s="305"/>
      <c r="V56" s="304"/>
      <c r="W56" s="305"/>
      <c r="X56" s="304"/>
      <c r="Y56" s="305"/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0</v>
      </c>
      <c r="AO56" s="252">
        <f>P!AK58</f>
        <v>0</v>
      </c>
      <c r="AP56" s="253">
        <f t="shared" si="5"/>
        <v>0</v>
      </c>
      <c r="AQ56" s="70" t="str">
        <f t="shared" si="6"/>
        <v>০</v>
      </c>
    </row>
    <row r="57" spans="1:43">
      <c r="A57" s="68">
        <v>55</v>
      </c>
      <c r="B57" s="92" t="s">
        <v>65</v>
      </c>
      <c r="C57" s="68" t="s">
        <v>66</v>
      </c>
      <c r="D57" s="243"/>
      <c r="E57" s="243"/>
      <c r="F57" s="244">
        <f>P!AJ59</f>
        <v>0</v>
      </c>
      <c r="G57" s="244">
        <f t="shared" si="3"/>
        <v>0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0</v>
      </c>
      <c r="AP57" s="253">
        <f t="shared" si="5"/>
        <v>0</v>
      </c>
      <c r="AQ57" s="70" t="str">
        <f t="shared" si="6"/>
        <v>০</v>
      </c>
    </row>
    <row r="58" spans="1:43">
      <c r="A58" s="68">
        <v>56</v>
      </c>
      <c r="B58" s="92" t="s">
        <v>67</v>
      </c>
      <c r="C58" s="68" t="s">
        <v>31</v>
      </c>
      <c r="D58" s="243"/>
      <c r="E58" s="243"/>
      <c r="F58" s="244">
        <f>P!AJ60</f>
        <v>0</v>
      </c>
      <c r="G58" s="244">
        <f t="shared" si="3"/>
        <v>0</v>
      </c>
      <c r="H58" s="276"/>
      <c r="I58" s="277"/>
      <c r="J58" s="276"/>
      <c r="K58" s="277"/>
      <c r="L58" s="304"/>
      <c r="M58" s="305"/>
      <c r="N58" s="304"/>
      <c r="O58" s="305"/>
      <c r="P58" s="304"/>
      <c r="Q58" s="305"/>
      <c r="R58" s="304"/>
      <c r="S58" s="305"/>
      <c r="T58" s="304"/>
      <c r="U58" s="305"/>
      <c r="V58" s="304"/>
      <c r="W58" s="305"/>
      <c r="X58" s="304"/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0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/>
      <c r="E59" s="243"/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/>
      <c r="E60" s="243"/>
      <c r="F60" s="244">
        <f>P!AJ62</f>
        <v>0</v>
      </c>
      <c r="G60" s="244">
        <f t="shared" si="3"/>
        <v>0</v>
      </c>
      <c r="H60" s="276"/>
      <c r="I60" s="277"/>
      <c r="J60" s="276"/>
      <c r="K60" s="277"/>
      <c r="L60" s="304"/>
      <c r="M60" s="305"/>
      <c r="N60" s="304"/>
      <c r="O60" s="305"/>
      <c r="P60" s="304"/>
      <c r="Q60" s="305"/>
      <c r="R60" s="304"/>
      <c r="S60" s="305"/>
      <c r="T60" s="304"/>
      <c r="U60" s="305"/>
      <c r="V60" s="304"/>
      <c r="W60" s="305"/>
      <c r="X60" s="304"/>
      <c r="Y60" s="305"/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0</v>
      </c>
      <c r="AO60" s="252">
        <f>P!AK62</f>
        <v>0</v>
      </c>
      <c r="AP60" s="253">
        <f t="shared" si="5"/>
        <v>0</v>
      </c>
      <c r="AQ60" s="70" t="str">
        <f t="shared" si="6"/>
        <v>০</v>
      </c>
    </row>
    <row r="61" spans="1:43">
      <c r="A61" s="68">
        <v>59</v>
      </c>
      <c r="B61" s="92" t="s">
        <v>70</v>
      </c>
      <c r="C61" s="68" t="s">
        <v>9</v>
      </c>
      <c r="D61" s="243"/>
      <c r="E61" s="243"/>
      <c r="F61" s="244">
        <f>P!AJ63</f>
        <v>0</v>
      </c>
      <c r="G61" s="244">
        <f t="shared" si="3"/>
        <v>0</v>
      </c>
      <c r="H61" s="276"/>
      <c r="I61" s="277"/>
      <c r="J61" s="276"/>
      <c r="K61" s="277"/>
      <c r="L61" s="304"/>
      <c r="M61" s="305"/>
      <c r="N61" s="304"/>
      <c r="O61" s="305"/>
      <c r="P61" s="304"/>
      <c r="Q61" s="305"/>
      <c r="R61" s="304"/>
      <c r="S61" s="305"/>
      <c r="T61" s="304"/>
      <c r="U61" s="305"/>
      <c r="V61" s="304"/>
      <c r="W61" s="305"/>
      <c r="X61" s="304"/>
      <c r="Y61" s="305"/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</v>
      </c>
      <c r="AO61" s="252">
        <f>P!AK63</f>
        <v>0</v>
      </c>
      <c r="AP61" s="253">
        <f t="shared" si="5"/>
        <v>0</v>
      </c>
      <c r="AQ61" s="70" t="str">
        <f t="shared" si="6"/>
        <v>০</v>
      </c>
    </row>
    <row r="62" spans="1:43">
      <c r="A62" s="68">
        <v>60</v>
      </c>
      <c r="B62" s="92" t="s">
        <v>71</v>
      </c>
      <c r="C62" s="68" t="s">
        <v>9</v>
      </c>
      <c r="D62" s="243"/>
      <c r="E62" s="243"/>
      <c r="F62" s="244">
        <f>P!AJ64</f>
        <v>0</v>
      </c>
      <c r="G62" s="244">
        <f t="shared" si="3"/>
        <v>0</v>
      </c>
      <c r="H62" s="276"/>
      <c r="I62" s="277"/>
      <c r="J62" s="276"/>
      <c r="K62" s="277"/>
      <c r="L62" s="304"/>
      <c r="M62" s="305"/>
      <c r="N62" s="304"/>
      <c r="O62" s="305"/>
      <c r="P62" s="304"/>
      <c r="Q62" s="305"/>
      <c r="R62" s="304"/>
      <c r="S62" s="305"/>
      <c r="T62" s="304"/>
      <c r="U62" s="305"/>
      <c r="V62" s="304"/>
      <c r="W62" s="305"/>
      <c r="X62" s="304"/>
      <c r="Y62" s="305"/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0</v>
      </c>
      <c r="AO62" s="252">
        <f>P!AK64</f>
        <v>0</v>
      </c>
      <c r="AP62" s="253">
        <f t="shared" si="5"/>
        <v>0</v>
      </c>
      <c r="AQ62" s="70" t="str">
        <f t="shared" si="6"/>
        <v>০</v>
      </c>
    </row>
    <row r="63" spans="1:43">
      <c r="A63" s="68">
        <v>61</v>
      </c>
      <c r="B63" s="92" t="s">
        <v>72</v>
      </c>
      <c r="C63" s="68" t="s">
        <v>9</v>
      </c>
      <c r="D63" s="243"/>
      <c r="E63" s="243"/>
      <c r="F63" s="244">
        <f>P!AJ65</f>
        <v>0</v>
      </c>
      <c r="G63" s="244">
        <f t="shared" si="3"/>
        <v>0</v>
      </c>
      <c r="H63" s="276"/>
      <c r="I63" s="277"/>
      <c r="J63" s="276"/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/>
      <c r="W63" s="305"/>
      <c r="X63" s="304"/>
      <c r="Y63" s="305"/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</v>
      </c>
      <c r="AO63" s="252">
        <f>P!AK65</f>
        <v>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/>
      <c r="E64" s="243"/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0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/>
      <c r="E65" s="243"/>
      <c r="F65" s="244">
        <f>P!AJ67</f>
        <v>0</v>
      </c>
      <c r="G65" s="244">
        <f t="shared" si="3"/>
        <v>0</v>
      </c>
      <c r="H65" s="276"/>
      <c r="I65" s="277"/>
      <c r="J65" s="276"/>
      <c r="K65" s="277"/>
      <c r="L65" s="304"/>
      <c r="M65" s="305"/>
      <c r="N65" s="304"/>
      <c r="O65" s="305"/>
      <c r="P65" s="304"/>
      <c r="Q65" s="305"/>
      <c r="R65" s="304"/>
      <c r="S65" s="305"/>
      <c r="T65" s="304"/>
      <c r="U65" s="305"/>
      <c r="V65" s="304"/>
      <c r="W65" s="305"/>
      <c r="X65" s="304"/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</v>
      </c>
      <c r="AO65" s="252">
        <f>P!AK67</f>
        <v>0</v>
      </c>
      <c r="AP65" s="253">
        <f>G65-AN65</f>
        <v>0</v>
      </c>
      <c r="AQ65" s="70" t="str">
        <f>IF(AND(AP65&gt;=0, AP65&lt;1),IF(AP65=0,"০","NZ")," ")</f>
        <v>০</v>
      </c>
    </row>
    <row r="66" spans="1:44">
      <c r="A66" s="68">
        <v>64</v>
      </c>
      <c r="B66" s="92" t="s">
        <v>75</v>
      </c>
      <c r="C66" s="68" t="s">
        <v>31</v>
      </c>
      <c r="D66" s="243"/>
      <c r="E66" s="243"/>
      <c r="F66" s="244">
        <f>P!AJ68</f>
        <v>0</v>
      </c>
      <c r="G66" s="244">
        <f t="shared" si="3"/>
        <v>0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0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/>
      <c r="E67" s="243"/>
      <c r="F67" s="244">
        <f>P!AJ69</f>
        <v>0</v>
      </c>
      <c r="G67" s="244">
        <f t="shared" si="3"/>
        <v>0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0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/>
      <c r="E68" s="243"/>
      <c r="F68" s="244">
        <f>P!AJ70</f>
        <v>0</v>
      </c>
      <c r="G68" s="244">
        <f t="shared" ref="G68:G133" si="8">E68+F68</f>
        <v>0</v>
      </c>
      <c r="H68" s="276"/>
      <c r="I68" s="277"/>
      <c r="J68" s="276"/>
      <c r="K68" s="277"/>
      <c r="L68" s="304"/>
      <c r="M68" s="305"/>
      <c r="N68" s="304"/>
      <c r="O68" s="305"/>
      <c r="P68" s="304"/>
      <c r="Q68" s="305"/>
      <c r="R68" s="304"/>
      <c r="S68" s="305"/>
      <c r="T68" s="304"/>
      <c r="U68" s="305"/>
      <c r="V68" s="304"/>
      <c r="W68" s="305"/>
      <c r="X68" s="304"/>
      <c r="Y68" s="305"/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</v>
      </c>
      <c r="AO68" s="252">
        <f>P!AK70</f>
        <v>0</v>
      </c>
      <c r="AP68" s="253">
        <f t="shared" si="7"/>
        <v>0</v>
      </c>
      <c r="AQ68" s="70" t="str">
        <f t="shared" ref="AQ68:AQ131" si="10">IF(AND(AP68&gt;=0, AP68&lt;1),IF(AP68=0,"০","NZ")," ")</f>
        <v>০</v>
      </c>
    </row>
    <row r="69" spans="1:44">
      <c r="A69" s="68">
        <v>67</v>
      </c>
      <c r="B69" s="92" t="s">
        <v>78</v>
      </c>
      <c r="C69" s="68" t="s">
        <v>9</v>
      </c>
      <c r="D69" s="243"/>
      <c r="E69" s="243"/>
      <c r="F69" s="244">
        <f>P!AJ71</f>
        <v>0</v>
      </c>
      <c r="G69" s="244">
        <f t="shared" si="8"/>
        <v>0</v>
      </c>
      <c r="H69" s="276"/>
      <c r="I69" s="277"/>
      <c r="J69" s="276"/>
      <c r="K69" s="277"/>
      <c r="L69" s="304"/>
      <c r="M69" s="305"/>
      <c r="N69" s="304"/>
      <c r="O69" s="305"/>
      <c r="P69" s="304"/>
      <c r="Q69" s="305"/>
      <c r="R69" s="304"/>
      <c r="S69" s="305"/>
      <c r="T69" s="304"/>
      <c r="U69" s="305"/>
      <c r="V69" s="304"/>
      <c r="W69" s="305"/>
      <c r="X69" s="304"/>
      <c r="Y69" s="305"/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</v>
      </c>
      <c r="AO69" s="252">
        <f>P!AK71</f>
        <v>0</v>
      </c>
      <c r="AP69" s="253">
        <f t="shared" si="7"/>
        <v>0</v>
      </c>
      <c r="AQ69" s="70" t="str">
        <f t="shared" si="10"/>
        <v>০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/>
      <c r="E70" s="243"/>
      <c r="F70" s="244">
        <f>P!AJ72</f>
        <v>0</v>
      </c>
      <c r="G70" s="244">
        <f t="shared" si="8"/>
        <v>0</v>
      </c>
      <c r="H70" s="276"/>
      <c r="I70" s="277"/>
      <c r="J70" s="276"/>
      <c r="K70" s="277"/>
      <c r="L70" s="304"/>
      <c r="M70" s="305"/>
      <c r="N70" s="304"/>
      <c r="O70" s="305"/>
      <c r="P70" s="304"/>
      <c r="Q70" s="305"/>
      <c r="R70" s="304"/>
      <c r="S70" s="305"/>
      <c r="T70" s="304"/>
      <c r="U70" s="305"/>
      <c r="V70" s="304"/>
      <c r="W70" s="305"/>
      <c r="X70" s="304"/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</v>
      </c>
      <c r="AO70" s="252">
        <f>P!AK72</f>
        <v>0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/>
      <c r="E71" s="243"/>
      <c r="F71" s="244">
        <f>P!AJ73</f>
        <v>0</v>
      </c>
      <c r="G71" s="244">
        <f t="shared" si="8"/>
        <v>0</v>
      </c>
      <c r="H71" s="276"/>
      <c r="I71" s="277"/>
      <c r="J71" s="276"/>
      <c r="K71" s="277"/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0</v>
      </c>
      <c r="AP71" s="253">
        <f t="shared" si="7"/>
        <v>0</v>
      </c>
      <c r="AQ71" s="70" t="str">
        <f t="shared" si="10"/>
        <v>০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/>
      <c r="E72" s="243"/>
      <c r="F72" s="244">
        <f>P!AJ74</f>
        <v>0</v>
      </c>
      <c r="G72" s="244">
        <f t="shared" si="8"/>
        <v>0</v>
      </c>
      <c r="H72" s="276"/>
      <c r="I72" s="277"/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</v>
      </c>
      <c r="AO72" s="252">
        <f>P!AK74</f>
        <v>0</v>
      </c>
      <c r="AP72" s="253">
        <f t="shared" si="7"/>
        <v>0</v>
      </c>
      <c r="AQ72" s="70" t="str">
        <f t="shared" si="10"/>
        <v>০</v>
      </c>
    </row>
    <row r="73" spans="1:44">
      <c r="A73" s="68">
        <v>71</v>
      </c>
      <c r="B73" s="92" t="s">
        <v>82</v>
      </c>
      <c r="C73" s="68" t="s">
        <v>9</v>
      </c>
      <c r="D73" s="243"/>
      <c r="E73" s="243"/>
      <c r="F73" s="244">
        <f>P!AJ75</f>
        <v>0</v>
      </c>
      <c r="G73" s="244">
        <f t="shared" si="8"/>
        <v>0</v>
      </c>
      <c r="H73" s="276"/>
      <c r="I73" s="277"/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</v>
      </c>
      <c r="AO73" s="252">
        <f>P!AK75</f>
        <v>0</v>
      </c>
      <c r="AP73" s="253">
        <f t="shared" si="7"/>
        <v>0</v>
      </c>
      <c r="AQ73" s="70" t="str">
        <f t="shared" si="10"/>
        <v>০</v>
      </c>
    </row>
    <row r="74" spans="1:44">
      <c r="A74" s="68">
        <v>72</v>
      </c>
      <c r="B74" s="92" t="s">
        <v>83</v>
      </c>
      <c r="C74" s="68" t="s">
        <v>9</v>
      </c>
      <c r="D74" s="243"/>
      <c r="E74" s="243"/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/>
      <c r="E75" s="243"/>
      <c r="F75" s="244">
        <f>P!AJ77</f>
        <v>0</v>
      </c>
      <c r="G75" s="244">
        <f t="shared" si="8"/>
        <v>0</v>
      </c>
      <c r="H75" s="276"/>
      <c r="I75" s="277"/>
      <c r="J75" s="276"/>
      <c r="K75" s="277"/>
      <c r="L75" s="304"/>
      <c r="M75" s="305"/>
      <c r="N75" s="304"/>
      <c r="O75" s="305"/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0</v>
      </c>
      <c r="AO75" s="252">
        <f>P!AK77</f>
        <v>0</v>
      </c>
      <c r="AP75" s="253">
        <f t="shared" si="7"/>
        <v>0</v>
      </c>
      <c r="AQ75" s="70" t="str">
        <f t="shared" si="10"/>
        <v>০</v>
      </c>
    </row>
    <row r="76" spans="1:44">
      <c r="A76" s="68">
        <v>74</v>
      </c>
      <c r="B76" s="92" t="s">
        <v>84</v>
      </c>
      <c r="C76" s="68" t="s">
        <v>9</v>
      </c>
      <c r="D76" s="243"/>
      <c r="E76" s="243"/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0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/>
      <c r="E77" s="243"/>
      <c r="F77" s="244">
        <f>P!AJ79</f>
        <v>0</v>
      </c>
      <c r="G77" s="244">
        <f t="shared" si="8"/>
        <v>0</v>
      </c>
      <c r="H77" s="276"/>
      <c r="I77" s="277"/>
      <c r="J77" s="276"/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0</v>
      </c>
      <c r="AP77" s="254">
        <f t="shared" si="7"/>
        <v>0</v>
      </c>
      <c r="AQ77" s="70" t="str">
        <f t="shared" si="10"/>
        <v>০</v>
      </c>
    </row>
    <row r="78" spans="1:44">
      <c r="A78" s="68">
        <v>76</v>
      </c>
      <c r="B78" s="92" t="s">
        <v>86</v>
      </c>
      <c r="C78" s="68" t="s">
        <v>9</v>
      </c>
      <c r="D78" s="243"/>
      <c r="E78" s="243"/>
      <c r="F78" s="244">
        <f>P!AJ80</f>
        <v>0</v>
      </c>
      <c r="G78" s="244">
        <f t="shared" si="8"/>
        <v>0</v>
      </c>
      <c r="H78" s="276"/>
      <c r="I78" s="277"/>
      <c r="J78" s="276"/>
      <c r="K78" s="277"/>
      <c r="L78" s="304"/>
      <c r="M78" s="305"/>
      <c r="N78" s="304"/>
      <c r="O78" s="305"/>
      <c r="P78" s="304"/>
      <c r="Q78" s="305"/>
      <c r="R78" s="304"/>
      <c r="S78" s="305"/>
      <c r="T78" s="304"/>
      <c r="U78" s="305"/>
      <c r="V78" s="304"/>
      <c r="W78" s="305"/>
      <c r="X78" s="304"/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</v>
      </c>
      <c r="AO78" s="252">
        <f>P!AK80</f>
        <v>0</v>
      </c>
      <c r="AP78" s="253">
        <f t="shared" si="7"/>
        <v>0</v>
      </c>
      <c r="AQ78" s="70" t="str">
        <f>IF(AND(AP78&gt;=0, AP78&lt;1),IF(AP78=0,"০","NZ")," ")</f>
        <v>০</v>
      </c>
    </row>
    <row r="79" spans="1:44">
      <c r="A79" s="68">
        <v>77</v>
      </c>
      <c r="B79" s="92" t="s">
        <v>87</v>
      </c>
      <c r="C79" s="68" t="s">
        <v>9</v>
      </c>
      <c r="D79" s="243"/>
      <c r="E79" s="243"/>
      <c r="F79" s="244">
        <f>P!AJ81</f>
        <v>0</v>
      </c>
      <c r="G79" s="244">
        <f t="shared" si="8"/>
        <v>0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0</v>
      </c>
      <c r="AP79" s="253">
        <f t="shared" si="7"/>
        <v>0</v>
      </c>
      <c r="AQ79" s="70" t="str">
        <f t="shared" si="10"/>
        <v>০</v>
      </c>
    </row>
    <row r="80" spans="1:44">
      <c r="A80" s="68">
        <v>78</v>
      </c>
      <c r="B80" s="92" t="s">
        <v>88</v>
      </c>
      <c r="C80" s="68" t="s">
        <v>9</v>
      </c>
      <c r="D80" s="243"/>
      <c r="E80" s="243"/>
      <c r="F80" s="244">
        <f>P!AJ82</f>
        <v>0</v>
      </c>
      <c r="G80" s="244">
        <f t="shared" si="8"/>
        <v>0</v>
      </c>
      <c r="H80" s="276"/>
      <c r="I80" s="277"/>
      <c r="J80" s="276"/>
      <c r="K80" s="277"/>
      <c r="L80" s="304"/>
      <c r="M80" s="305"/>
      <c r="N80" s="304"/>
      <c r="O80" s="305"/>
      <c r="P80" s="304"/>
      <c r="Q80" s="305"/>
      <c r="R80" s="304"/>
      <c r="S80" s="305"/>
      <c r="T80" s="304"/>
      <c r="U80" s="305"/>
      <c r="V80" s="304"/>
      <c r="W80" s="305"/>
      <c r="X80" s="304"/>
      <c r="Y80" s="305"/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0</v>
      </c>
      <c r="AO80" s="252">
        <f>P!AK82</f>
        <v>0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/>
      <c r="E81" s="243"/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/>
      <c r="E82" s="243"/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/>
      <c r="E83" s="243"/>
      <c r="F83" s="244">
        <f>P!AJ85</f>
        <v>0</v>
      </c>
      <c r="G83" s="244">
        <f t="shared" si="8"/>
        <v>0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0</v>
      </c>
      <c r="AP83" s="253">
        <f t="shared" si="7"/>
        <v>0</v>
      </c>
      <c r="AQ83" s="70" t="str">
        <f t="shared" si="10"/>
        <v>০</v>
      </c>
    </row>
    <row r="84" spans="1:43">
      <c r="A84" s="68">
        <v>82</v>
      </c>
      <c r="B84" s="92" t="s">
        <v>90</v>
      </c>
      <c r="C84" s="68" t="s">
        <v>9</v>
      </c>
      <c r="D84" s="243"/>
      <c r="E84" s="243"/>
      <c r="F84" s="244">
        <f>P!AJ86</f>
        <v>0</v>
      </c>
      <c r="G84" s="244">
        <f t="shared" si="8"/>
        <v>0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0</v>
      </c>
      <c r="AP84" s="253">
        <f t="shared" si="7"/>
        <v>0</v>
      </c>
      <c r="AQ84" s="70" t="str">
        <f t="shared" si="10"/>
        <v>০</v>
      </c>
    </row>
    <row r="85" spans="1:43">
      <c r="A85" s="68">
        <v>83</v>
      </c>
      <c r="B85" s="92" t="s">
        <v>91</v>
      </c>
      <c r="C85" s="68" t="s">
        <v>9</v>
      </c>
      <c r="D85" s="243"/>
      <c r="E85" s="243"/>
      <c r="F85" s="244">
        <f>P!AJ87</f>
        <v>0</v>
      </c>
      <c r="G85" s="244">
        <f t="shared" si="8"/>
        <v>0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0</v>
      </c>
      <c r="AP85" s="253">
        <f t="shared" si="7"/>
        <v>0</v>
      </c>
      <c r="AQ85" s="70" t="str">
        <f t="shared" si="10"/>
        <v>০</v>
      </c>
    </row>
    <row r="86" spans="1:43">
      <c r="A86" s="68">
        <v>84</v>
      </c>
      <c r="B86" s="92" t="s">
        <v>264</v>
      </c>
      <c r="C86" s="68" t="s">
        <v>9</v>
      </c>
      <c r="D86" s="243"/>
      <c r="E86" s="243"/>
      <c r="F86" s="244">
        <f>P!AJ88</f>
        <v>0</v>
      </c>
      <c r="G86" s="244">
        <f t="shared" si="8"/>
        <v>0</v>
      </c>
      <c r="H86" s="276"/>
      <c r="I86" s="277"/>
      <c r="J86" s="276"/>
      <c r="K86" s="277"/>
      <c r="L86" s="304"/>
      <c r="M86" s="305"/>
      <c r="N86" s="304"/>
      <c r="O86" s="305"/>
      <c r="P86" s="304"/>
      <c r="Q86" s="305"/>
      <c r="R86" s="304"/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</v>
      </c>
      <c r="AO86" s="252">
        <f>P!AK88</f>
        <v>0</v>
      </c>
      <c r="AP86" s="254">
        <f t="shared" si="7"/>
        <v>0</v>
      </c>
      <c r="AQ86" s="70" t="str">
        <f t="shared" si="10"/>
        <v>০</v>
      </c>
    </row>
    <row r="87" spans="1:43">
      <c r="A87" s="68">
        <v>85</v>
      </c>
      <c r="B87" s="92" t="s">
        <v>92</v>
      </c>
      <c r="C87" s="68" t="s">
        <v>9</v>
      </c>
      <c r="D87" s="243"/>
      <c r="E87" s="243"/>
      <c r="F87" s="244">
        <f>P!AJ89</f>
        <v>0</v>
      </c>
      <c r="G87" s="244">
        <f t="shared" si="8"/>
        <v>0</v>
      </c>
      <c r="H87" s="276"/>
      <c r="I87" s="277"/>
      <c r="J87" s="276"/>
      <c r="K87" s="277"/>
      <c r="L87" s="304"/>
      <c r="M87" s="305"/>
      <c r="N87" s="304"/>
      <c r="O87" s="305"/>
      <c r="P87" s="304"/>
      <c r="Q87" s="305"/>
      <c r="R87" s="304"/>
      <c r="S87" s="305"/>
      <c r="T87" s="304"/>
      <c r="U87" s="305"/>
      <c r="V87" s="304"/>
      <c r="W87" s="305"/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0</v>
      </c>
      <c r="AO87" s="252">
        <f>P!AK89</f>
        <v>0</v>
      </c>
      <c r="AP87" s="253">
        <f t="shared" si="7"/>
        <v>0</v>
      </c>
      <c r="AQ87" s="70" t="str">
        <f t="shared" si="10"/>
        <v>০</v>
      </c>
    </row>
    <row r="88" spans="1:43">
      <c r="A88" s="68">
        <v>86</v>
      </c>
      <c r="B88" s="92" t="s">
        <v>93</v>
      </c>
      <c r="C88" s="68" t="s">
        <v>9</v>
      </c>
      <c r="D88" s="243"/>
      <c r="E88" s="243"/>
      <c r="F88" s="244">
        <f>P!AJ90</f>
        <v>0</v>
      </c>
      <c r="G88" s="244">
        <f t="shared" si="8"/>
        <v>0</v>
      </c>
      <c r="H88" s="276"/>
      <c r="I88" s="277"/>
      <c r="J88" s="276"/>
      <c r="K88" s="277"/>
      <c r="L88" s="304"/>
      <c r="M88" s="305"/>
      <c r="N88" s="304"/>
      <c r="O88" s="305"/>
      <c r="P88" s="304"/>
      <c r="Q88" s="305"/>
      <c r="R88" s="304"/>
      <c r="S88" s="305"/>
      <c r="T88" s="304"/>
      <c r="U88" s="305"/>
      <c r="V88" s="304"/>
      <c r="W88" s="305"/>
      <c r="X88" s="304"/>
      <c r="Y88" s="305"/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0</v>
      </c>
      <c r="AO88" s="252">
        <f>P!AK90</f>
        <v>0</v>
      </c>
      <c r="AP88" s="253">
        <f t="shared" si="7"/>
        <v>0</v>
      </c>
      <c r="AQ88" s="70" t="str">
        <f t="shared" si="10"/>
        <v>০</v>
      </c>
    </row>
    <row r="89" spans="1:43">
      <c r="A89" s="68">
        <v>87</v>
      </c>
      <c r="B89" s="92" t="s">
        <v>94</v>
      </c>
      <c r="C89" s="68" t="s">
        <v>31</v>
      </c>
      <c r="D89" s="243"/>
      <c r="E89" s="243"/>
      <c r="F89" s="244">
        <f>P!AJ91</f>
        <v>0</v>
      </c>
      <c r="G89" s="244">
        <f t="shared" si="8"/>
        <v>0</v>
      </c>
      <c r="H89" s="276"/>
      <c r="I89" s="277"/>
      <c r="J89" s="276"/>
      <c r="K89" s="277"/>
      <c r="L89" s="304"/>
      <c r="M89" s="277"/>
      <c r="N89" s="304"/>
      <c r="O89" s="277"/>
      <c r="P89" s="304"/>
      <c r="Q89" s="277"/>
      <c r="R89" s="304"/>
      <c r="S89" s="277"/>
      <c r="T89" s="304"/>
      <c r="U89" s="277"/>
      <c r="V89" s="304"/>
      <c r="W89" s="277"/>
      <c r="X89" s="304"/>
      <c r="Y89" s="277"/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0</v>
      </c>
      <c r="AO89" s="252">
        <f>P!AK91</f>
        <v>0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313</v>
      </c>
      <c r="C90" s="68" t="s">
        <v>31</v>
      </c>
      <c r="D90" s="243"/>
      <c r="E90" s="243"/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/>
      <c r="E91" s="243"/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0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/>
      <c r="E92" s="243"/>
      <c r="F92" s="244">
        <f>P!AJ94</f>
        <v>0</v>
      </c>
      <c r="G92" s="244">
        <f t="shared" si="8"/>
        <v>0</v>
      </c>
      <c r="H92" s="276"/>
      <c r="I92" s="277"/>
      <c r="J92" s="276"/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0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/>
      <c r="E93" s="243"/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/>
      <c r="E94" s="243"/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/>
      <c r="E95" s="243"/>
      <c r="F95" s="244">
        <f>P!AJ97</f>
        <v>0</v>
      </c>
      <c r="G95" s="244">
        <f t="shared" si="8"/>
        <v>0</v>
      </c>
      <c r="H95" s="276"/>
      <c r="I95" s="277"/>
      <c r="J95" s="276"/>
      <c r="K95" s="277"/>
      <c r="L95" s="304"/>
      <c r="M95" s="305"/>
      <c r="N95" s="304"/>
      <c r="O95" s="305"/>
      <c r="P95" s="304"/>
      <c r="Q95" s="305"/>
      <c r="R95" s="304"/>
      <c r="S95" s="305"/>
      <c r="T95" s="304"/>
      <c r="U95" s="305"/>
      <c r="V95" s="304"/>
      <c r="W95" s="305"/>
      <c r="X95" s="304"/>
      <c r="Y95" s="305"/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0</v>
      </c>
      <c r="AO95" s="252">
        <f>P!AK97</f>
        <v>0</v>
      </c>
      <c r="AP95" s="253">
        <f t="shared" si="7"/>
        <v>0</v>
      </c>
      <c r="AQ95" s="70" t="str">
        <f t="shared" si="10"/>
        <v>০</v>
      </c>
    </row>
    <row r="96" spans="1:43">
      <c r="A96" s="68">
        <v>94</v>
      </c>
      <c r="B96" s="92" t="s">
        <v>100</v>
      </c>
      <c r="C96" s="68" t="s">
        <v>31</v>
      </c>
      <c r="D96" s="243"/>
      <c r="E96" s="243"/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/>
      <c r="E97" s="243"/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/>
      <c r="E98" s="243"/>
      <c r="F98" s="244">
        <f>P!AJ100</f>
        <v>0</v>
      </c>
      <c r="G98" s="244">
        <f t="shared" si="8"/>
        <v>0</v>
      </c>
      <c r="H98" s="276"/>
      <c r="I98" s="277"/>
      <c r="J98" s="276"/>
      <c r="K98" s="277"/>
      <c r="L98" s="304"/>
      <c r="M98" s="305"/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0</v>
      </c>
      <c r="AO98" s="252">
        <f>P!AK100</f>
        <v>0</v>
      </c>
      <c r="AP98" s="253">
        <f t="shared" si="7"/>
        <v>0</v>
      </c>
      <c r="AQ98" s="70" t="str">
        <f t="shared" si="10"/>
        <v>০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/>
      <c r="E99" s="243"/>
      <c r="F99" s="244">
        <f>P!AJ101</f>
        <v>0</v>
      </c>
      <c r="G99" s="244">
        <f t="shared" si="8"/>
        <v>0</v>
      </c>
      <c r="H99" s="276"/>
      <c r="I99" s="277"/>
      <c r="J99" s="276"/>
      <c r="K99" s="277"/>
      <c r="L99" s="304"/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0</v>
      </c>
      <c r="AP99" s="254">
        <f t="shared" si="7"/>
        <v>0</v>
      </c>
      <c r="AQ99" s="70" t="str">
        <f t="shared" si="10"/>
        <v>০</v>
      </c>
    </row>
    <row r="100" spans="1:45">
      <c r="A100" s="68">
        <v>98</v>
      </c>
      <c r="B100" s="92" t="s">
        <v>103</v>
      </c>
      <c r="C100" s="68" t="s">
        <v>31</v>
      </c>
      <c r="D100" s="243"/>
      <c r="E100" s="243"/>
      <c r="F100" s="244">
        <f>P!AJ102</f>
        <v>0</v>
      </c>
      <c r="G100" s="244">
        <f t="shared" si="8"/>
        <v>0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/>
      <c r="E101" s="243"/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0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/>
      <c r="E102" s="243"/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/>
      <c r="E103" s="243"/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/>
      <c r="E104" s="243"/>
      <c r="F104" s="244">
        <f>P!AJ106</f>
        <v>0</v>
      </c>
      <c r="G104" s="244">
        <f t="shared" si="8"/>
        <v>0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0</v>
      </c>
      <c r="AP104" s="253">
        <f t="shared" si="7"/>
        <v>0</v>
      </c>
      <c r="AQ104" s="70" t="str">
        <f t="shared" si="10"/>
        <v>০</v>
      </c>
    </row>
    <row r="105" spans="1:45">
      <c r="A105" s="68">
        <v>103</v>
      </c>
      <c r="B105" s="92" t="s">
        <v>105</v>
      </c>
      <c r="C105" s="68" t="s">
        <v>31</v>
      </c>
      <c r="D105" s="243"/>
      <c r="E105" s="243"/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0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/>
      <c r="E106" s="243"/>
      <c r="F106" s="244">
        <f>P!AJ108</f>
        <v>0</v>
      </c>
      <c r="G106" s="244">
        <f t="shared" si="8"/>
        <v>0</v>
      </c>
      <c r="H106" s="276"/>
      <c r="I106" s="277"/>
      <c r="J106" s="276"/>
      <c r="K106" s="277"/>
      <c r="L106" s="304"/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0</v>
      </c>
      <c r="AP106" s="253">
        <f t="shared" si="7"/>
        <v>0</v>
      </c>
      <c r="AQ106" s="70" t="str">
        <f t="shared" si="10"/>
        <v>০</v>
      </c>
    </row>
    <row r="107" spans="1:45">
      <c r="A107" s="68">
        <v>105</v>
      </c>
      <c r="B107" s="92" t="s">
        <v>108</v>
      </c>
      <c r="C107" s="68" t="s">
        <v>9</v>
      </c>
      <c r="D107" s="243"/>
      <c r="E107" s="243"/>
      <c r="F107" s="244">
        <f>P!AJ109</f>
        <v>0</v>
      </c>
      <c r="G107" s="244">
        <f t="shared" si="8"/>
        <v>0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0</v>
      </c>
      <c r="AP107" s="253">
        <f t="shared" si="7"/>
        <v>0</v>
      </c>
      <c r="AQ107" s="70" t="str">
        <f t="shared" si="10"/>
        <v>০</v>
      </c>
    </row>
    <row r="108" spans="1:45">
      <c r="A108" s="68">
        <v>106</v>
      </c>
      <c r="B108" s="92" t="s">
        <v>109</v>
      </c>
      <c r="C108" s="68" t="s">
        <v>31</v>
      </c>
      <c r="D108" s="243"/>
      <c r="E108" s="243"/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0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/>
      <c r="E109" s="243"/>
      <c r="F109" s="244">
        <f>P!AJ111</f>
        <v>0</v>
      </c>
      <c r="G109" s="244">
        <f t="shared" si="8"/>
        <v>0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0</v>
      </c>
      <c r="AP109" s="253">
        <f t="shared" si="7"/>
        <v>0</v>
      </c>
      <c r="AQ109" s="70" t="str">
        <f t="shared" si="10"/>
        <v>০</v>
      </c>
    </row>
    <row r="110" spans="1:45">
      <c r="A110" s="68">
        <v>108</v>
      </c>
      <c r="B110" s="92" t="s">
        <v>117</v>
      </c>
      <c r="C110" s="68" t="s">
        <v>9</v>
      </c>
      <c r="D110" s="243"/>
      <c r="E110" s="243"/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/>
      <c r="E111" s="243"/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0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/>
      <c r="E112" s="243"/>
      <c r="F112" s="244">
        <f>P!AJ114</f>
        <v>0</v>
      </c>
      <c r="G112" s="244">
        <f t="shared" si="8"/>
        <v>0</v>
      </c>
      <c r="H112" s="276"/>
      <c r="I112" s="277"/>
      <c r="J112" s="276"/>
      <c r="K112" s="277"/>
      <c r="L112" s="304"/>
      <c r="M112" s="277"/>
      <c r="N112" s="304"/>
      <c r="O112" s="277"/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</v>
      </c>
      <c r="AO112" s="252">
        <f>P!AK114</f>
        <v>0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/>
      <c r="E113" s="243"/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/>
      <c r="E114" s="243"/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/>
      <c r="E115" s="243"/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/>
      <c r="E116" s="243"/>
      <c r="F116" s="244">
        <f>P!AJ118</f>
        <v>0</v>
      </c>
      <c r="G116" s="244">
        <f t="shared" si="8"/>
        <v>0</v>
      </c>
      <c r="H116" s="276"/>
      <c r="I116" s="277"/>
      <c r="J116" s="276"/>
      <c r="K116" s="277"/>
      <c r="L116" s="304"/>
      <c r="M116" s="305"/>
      <c r="N116" s="304"/>
      <c r="O116" s="305"/>
      <c r="P116" s="304"/>
      <c r="Q116" s="305"/>
      <c r="R116" s="304"/>
      <c r="S116" s="305"/>
      <c r="T116" s="304"/>
      <c r="U116" s="305"/>
      <c r="V116" s="304"/>
      <c r="W116" s="305"/>
      <c r="X116" s="304"/>
      <c r="Y116" s="305"/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0</v>
      </c>
      <c r="AO116" s="252">
        <f>P!AK118</f>
        <v>0</v>
      </c>
      <c r="AP116" s="253">
        <f t="shared" si="7"/>
        <v>0</v>
      </c>
      <c r="AQ116" s="70" t="str">
        <f t="shared" si="10"/>
        <v>০</v>
      </c>
    </row>
    <row r="117" spans="1:43">
      <c r="A117" s="68">
        <v>115</v>
      </c>
      <c r="B117" s="92" t="s">
        <v>115</v>
      </c>
      <c r="C117" s="68" t="s">
        <v>9</v>
      </c>
      <c r="D117" s="243"/>
      <c r="E117" s="243"/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/>
      <c r="E118" s="243"/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/>
      <c r="E119" s="243"/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0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/>
      <c r="E120" s="243"/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/>
      <c r="E121" s="243"/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/>
      <c r="E122" s="243"/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0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/>
      <c r="E123" s="243"/>
      <c r="F123" s="244">
        <f>P!AJ125</f>
        <v>0</v>
      </c>
      <c r="G123" s="244">
        <f t="shared" si="8"/>
        <v>0</v>
      </c>
      <c r="H123" s="276"/>
      <c r="I123" s="277"/>
      <c r="J123" s="276"/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0</v>
      </c>
      <c r="AP123" s="313">
        <f t="shared" si="7"/>
        <v>0</v>
      </c>
      <c r="AQ123" s="70" t="str">
        <f t="shared" si="10"/>
        <v>০</v>
      </c>
    </row>
    <row r="124" spans="1:43">
      <c r="A124" s="68">
        <v>122</v>
      </c>
      <c r="B124" s="92" t="s">
        <v>123</v>
      </c>
      <c r="C124" s="68" t="s">
        <v>31</v>
      </c>
      <c r="D124" s="243"/>
      <c r="E124" s="243"/>
      <c r="F124" s="244">
        <f>P!AJ126</f>
        <v>0</v>
      </c>
      <c r="G124" s="244">
        <f t="shared" si="8"/>
        <v>0</v>
      </c>
      <c r="H124" s="317"/>
      <c r="I124" s="316">
        <f>P!D126</f>
        <v>0</v>
      </c>
      <c r="J124" s="317"/>
      <c r="K124" s="316">
        <f>P!F126</f>
        <v>0</v>
      </c>
      <c r="L124" s="317"/>
      <c r="M124" s="316">
        <f>P!H126</f>
        <v>0</v>
      </c>
      <c r="N124" s="317"/>
      <c r="O124" s="316">
        <f>P!J126</f>
        <v>0</v>
      </c>
      <c r="P124" s="317"/>
      <c r="Q124" s="316">
        <f>P!L126</f>
        <v>0</v>
      </c>
      <c r="R124" s="317"/>
      <c r="S124" s="316">
        <f>P!N126</f>
        <v>0</v>
      </c>
      <c r="T124" s="317"/>
      <c r="U124" s="316">
        <f>P!P126</f>
        <v>0</v>
      </c>
      <c r="V124" s="317"/>
      <c r="W124" s="316">
        <f>P!R126</f>
        <v>0</v>
      </c>
      <c r="X124" s="317"/>
      <c r="Y124" s="316">
        <f>P!T126</f>
        <v>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0</v>
      </c>
      <c r="AO124" s="324">
        <f>P!AK126</f>
        <v>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/>
      <c r="E125" s="243"/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0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/>
      <c r="E126" s="243"/>
      <c r="F126" s="244">
        <f>P!AJ128</f>
        <v>0</v>
      </c>
      <c r="G126" s="244">
        <f t="shared" si="8"/>
        <v>0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0</v>
      </c>
      <c r="P126" s="317"/>
      <c r="Q126" s="316">
        <f>P!L128</f>
        <v>0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0</v>
      </c>
      <c r="AO126" s="324">
        <f>P!AK128</f>
        <v>0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/>
      <c r="E127" s="243"/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0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/>
      <c r="E128" s="243"/>
      <c r="F128" s="244">
        <f>P!AJ130</f>
        <v>0</v>
      </c>
      <c r="G128" s="244">
        <f t="shared" si="8"/>
        <v>0</v>
      </c>
      <c r="H128" s="317"/>
      <c r="I128" s="316">
        <f>P!D130</f>
        <v>0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0</v>
      </c>
      <c r="AO128" s="324">
        <f>P!AK130</f>
        <v>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/>
      <c r="E129" s="243"/>
      <c r="F129" s="244">
        <f>P!AJ131</f>
        <v>0</v>
      </c>
      <c r="G129" s="244">
        <f t="shared" si="8"/>
        <v>0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0</v>
      </c>
      <c r="AO129" s="324">
        <f>P!AK131</f>
        <v>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/>
      <c r="E130" s="243"/>
      <c r="F130" s="244">
        <f>P!AJ132</f>
        <v>0</v>
      </c>
      <c r="G130" s="244">
        <f t="shared" si="8"/>
        <v>0</v>
      </c>
      <c r="H130" s="317"/>
      <c r="I130" s="316">
        <f>P!D132</f>
        <v>0</v>
      </c>
      <c r="J130" s="317"/>
      <c r="K130" s="316">
        <f>P!F132</f>
        <v>0</v>
      </c>
      <c r="L130" s="317"/>
      <c r="M130" s="316">
        <f>P!H132</f>
        <v>0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0</v>
      </c>
      <c r="AO130" s="324">
        <f>P!AK132</f>
        <v>0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/>
      <c r="E131" s="243"/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/>
      <c r="E132" s="243"/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/>
      <c r="E133" s="243"/>
      <c r="F133" s="244">
        <f>P!AJ135</f>
        <v>0</v>
      </c>
      <c r="G133" s="244">
        <f t="shared" si="8"/>
        <v>0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0</v>
      </c>
      <c r="P133" s="317"/>
      <c r="Q133" s="316">
        <f>P!L135</f>
        <v>0</v>
      </c>
      <c r="R133" s="317"/>
      <c r="S133" s="316">
        <f>P!N135</f>
        <v>0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0</v>
      </c>
      <c r="AO133" s="324">
        <f>P!AK135</f>
        <v>0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/>
      <c r="E134" s="243"/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/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/>
      <c r="E135" s="243"/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/>
      <c r="E136" s="243"/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0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/>
      <c r="E137" s="243"/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/>
      <c r="E138" s="243"/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0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/>
      <c r="E139" s="243"/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0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/>
      <c r="E140" s="243"/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/>
      <c r="E141" s="243"/>
      <c r="F141" s="244">
        <f>P!AJ143</f>
        <v>0</v>
      </c>
      <c r="G141" s="244">
        <f t="shared" si="14"/>
        <v>0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/>
      <c r="W141" s="305"/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/>
      <c r="E142" s="243"/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0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/>
      <c r="E143" s="243"/>
      <c r="F143" s="244">
        <f>P!AJ145</f>
        <v>0</v>
      </c>
      <c r="G143" s="244">
        <f t="shared" si="14"/>
        <v>0</v>
      </c>
      <c r="H143" s="276"/>
      <c r="I143" s="277"/>
      <c r="J143" s="304"/>
      <c r="K143" s="277"/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0</v>
      </c>
      <c r="AO143" s="252">
        <f>P!AK145</f>
        <v>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/>
      <c r="E144" s="243"/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0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/>
      <c r="E145" s="243"/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/>
      <c r="E146" s="243"/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/>
      <c r="E147" s="243"/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/>
      <c r="E148" s="243"/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/>
      <c r="E149" s="243"/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0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/>
      <c r="E150" s="243"/>
      <c r="F150" s="297">
        <f>P!AJ152</f>
        <v>0</v>
      </c>
      <c r="G150" s="297">
        <f t="shared" si="14"/>
        <v>0</v>
      </c>
      <c r="H150" s="406"/>
      <c r="I150" s="305"/>
      <c r="J150" s="304"/>
      <c r="K150" s="305"/>
      <c r="L150" s="304"/>
      <c r="M150" s="305"/>
      <c r="N150" s="304"/>
      <c r="O150" s="305"/>
      <c r="P150" s="304"/>
      <c r="Q150" s="305"/>
      <c r="R150" s="304"/>
      <c r="S150" s="305"/>
      <c r="T150" s="304"/>
      <c r="U150" s="305"/>
      <c r="V150" s="304"/>
      <c r="W150" s="305"/>
      <c r="X150" s="304"/>
      <c r="Y150" s="305"/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0</v>
      </c>
      <c r="AO150" s="251">
        <f>P!AK152</f>
        <v>0</v>
      </c>
      <c r="AP150" s="407">
        <f t="shared" si="11"/>
        <v>0</v>
      </c>
      <c r="AQ150" s="299" t="str">
        <f t="shared" si="13"/>
        <v>০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/>
      <c r="E151" s="243"/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0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/>
      <c r="E152" s="243"/>
      <c r="F152" s="244">
        <f>P!AJ154</f>
        <v>0</v>
      </c>
      <c r="G152" s="244">
        <f t="shared" si="14"/>
        <v>0</v>
      </c>
      <c r="H152" s="276"/>
      <c r="I152" s="277"/>
      <c r="J152" s="304"/>
      <c r="K152" s="277"/>
      <c r="L152" s="304"/>
      <c r="M152" s="277"/>
      <c r="N152" s="304"/>
      <c r="O152" s="277"/>
      <c r="P152" s="304"/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0</v>
      </c>
      <c r="AO152" s="252">
        <f>P!AK154</f>
        <v>0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/>
      <c r="E153" s="243"/>
      <c r="F153" s="244">
        <f>P!AJ155</f>
        <v>0</v>
      </c>
      <c r="G153" s="244">
        <f t="shared" si="14"/>
        <v>0</v>
      </c>
      <c r="H153" s="276"/>
      <c r="I153" s="277"/>
      <c r="J153" s="304"/>
      <c r="K153" s="277"/>
      <c r="L153" s="304"/>
      <c r="M153" s="277"/>
      <c r="N153" s="304"/>
      <c r="O153" s="277"/>
      <c r="P153" s="304"/>
      <c r="Q153" s="277"/>
      <c r="R153" s="304"/>
      <c r="S153" s="277"/>
      <c r="T153" s="304"/>
      <c r="U153" s="277"/>
      <c r="V153" s="304"/>
      <c r="W153" s="277"/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0</v>
      </c>
      <c r="AO153" s="252">
        <f>P!AK155</f>
        <v>0</v>
      </c>
      <c r="AP153" s="253">
        <f t="shared" si="11"/>
        <v>0</v>
      </c>
      <c r="AQ153" s="70" t="str">
        <f t="shared" si="13"/>
        <v>০</v>
      </c>
    </row>
    <row r="154" spans="1:53">
      <c r="A154" s="68">
        <v>152</v>
      </c>
      <c r="B154" s="92" t="s">
        <v>267</v>
      </c>
      <c r="C154" s="68" t="s">
        <v>9</v>
      </c>
      <c r="D154" s="243"/>
      <c r="E154" s="243"/>
      <c r="F154" s="244">
        <f>P!AJ156</f>
        <v>0</v>
      </c>
      <c r="G154" s="244">
        <f t="shared" si="14"/>
        <v>0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/>
      <c r="E155" s="243"/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0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/>
      <c r="E156" s="243"/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/>
      <c r="E157" s="243"/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/>
      <c r="E158" s="243"/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0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/>
      <c r="E159" s="243"/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/>
      <c r="E160" s="243"/>
      <c r="F160" s="244">
        <f>P!AJ162</f>
        <v>0</v>
      </c>
      <c r="G160" s="244">
        <f t="shared" si="14"/>
        <v>0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0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/>
      <c r="E161" s="243"/>
      <c r="F161" s="244">
        <f>P!AJ163</f>
        <v>0</v>
      </c>
      <c r="G161" s="244">
        <f t="shared" si="14"/>
        <v>0</v>
      </c>
      <c r="H161" s="276"/>
      <c r="I161" s="305"/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0</v>
      </c>
      <c r="AO161" s="252">
        <f>P!AK163</f>
        <v>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/>
      <c r="E162" s="243"/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/>
      <c r="E163" s="243"/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/>
      <c r="E164" s="243"/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/>
      <c r="E165" s="243"/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/>
      <c r="E166" s="243"/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/>
      <c r="E167" s="243"/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/>
      <c r="E168" s="243"/>
      <c r="F168" s="244">
        <f>P!AJ170</f>
        <v>0</v>
      </c>
      <c r="G168" s="244">
        <f t="shared" si="14"/>
        <v>0</v>
      </c>
      <c r="H168" s="276"/>
      <c r="I168" s="305"/>
      <c r="J168" s="304"/>
      <c r="K168" s="305"/>
      <c r="L168" s="304"/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0</v>
      </c>
      <c r="AO168" s="252">
        <f>P!AK170</f>
        <v>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/>
      <c r="E169" s="243"/>
      <c r="F169" s="244">
        <f>P!AJ171</f>
        <v>0</v>
      </c>
      <c r="G169" s="244">
        <f t="shared" si="14"/>
        <v>0</v>
      </c>
      <c r="H169" s="276"/>
      <c r="I169" s="277"/>
      <c r="J169" s="304"/>
      <c r="K169" s="277"/>
      <c r="L169" s="304"/>
      <c r="M169" s="277"/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0</v>
      </c>
      <c r="AO169" s="252">
        <f>P!AK171</f>
        <v>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/>
      <c r="E170" s="243"/>
      <c r="F170" s="244">
        <f>P!AJ172</f>
        <v>0</v>
      </c>
      <c r="G170" s="244">
        <f t="shared" si="14"/>
        <v>0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0</v>
      </c>
      <c r="AO170" s="252">
        <f>P!AK172</f>
        <v>0</v>
      </c>
      <c r="AP170" s="253">
        <f t="shared" si="11"/>
        <v>0</v>
      </c>
      <c r="AQ170" s="70" t="str">
        <f t="shared" si="13"/>
        <v>০</v>
      </c>
    </row>
    <row r="171" spans="1:43">
      <c r="A171" s="68">
        <v>169</v>
      </c>
      <c r="B171" s="92" t="s">
        <v>226</v>
      </c>
      <c r="C171" s="68" t="s">
        <v>9</v>
      </c>
      <c r="D171" s="243"/>
      <c r="E171" s="243"/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/>
      <c r="E172" s="243"/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/>
      <c r="E173" s="243"/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/>
      <c r="E174" s="243"/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/>
      <c r="E175" s="243"/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/>
      <c r="E176" s="243"/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/>
      <c r="E177" s="243"/>
      <c r="F177" s="244">
        <f>P!AJ179</f>
        <v>0</v>
      </c>
      <c r="G177" s="289">
        <f t="shared" si="14"/>
        <v>0</v>
      </c>
      <c r="H177" s="311"/>
      <c r="I177" s="316">
        <f>P!D179</f>
        <v>0</v>
      </c>
      <c r="J177" s="317"/>
      <c r="K177" s="316">
        <f>P!F179</f>
        <v>0</v>
      </c>
      <c r="L177" s="317"/>
      <c r="M177" s="316">
        <f>P!H179</f>
        <v>0</v>
      </c>
      <c r="N177" s="317"/>
      <c r="O177" s="316">
        <f>P!J179</f>
        <v>0</v>
      </c>
      <c r="P177" s="317"/>
      <c r="Q177" s="316">
        <f>P!L179</f>
        <v>0</v>
      </c>
      <c r="R177" s="317"/>
      <c r="S177" s="316">
        <f>P!N179</f>
        <v>0</v>
      </c>
      <c r="T177" s="317"/>
      <c r="U177" s="316">
        <f>P!P179</f>
        <v>0</v>
      </c>
      <c r="V177" s="317"/>
      <c r="W177" s="316">
        <f>P!R179</f>
        <v>0</v>
      </c>
      <c r="X177" s="317"/>
      <c r="Y177" s="316">
        <f>P!T179</f>
        <v>0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0</v>
      </c>
      <c r="AO177" s="324">
        <f>P!AK179</f>
        <v>0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/>
      <c r="E178" s="243"/>
      <c r="F178" s="244">
        <f>P!AJ180</f>
        <v>0</v>
      </c>
      <c r="G178" s="289">
        <f t="shared" si="14"/>
        <v>0</v>
      </c>
      <c r="H178" s="311"/>
      <c r="I178" s="316">
        <f>P!D180</f>
        <v>0</v>
      </c>
      <c r="J178" s="317"/>
      <c r="K178" s="316">
        <f>P!F180</f>
        <v>0</v>
      </c>
      <c r="L178" s="317"/>
      <c r="M178" s="316">
        <f>P!H180</f>
        <v>0</v>
      </c>
      <c r="N178" s="317"/>
      <c r="O178" s="316">
        <f>P!J180</f>
        <v>0</v>
      </c>
      <c r="P178" s="317"/>
      <c r="Q178" s="316">
        <f>P!L180</f>
        <v>0</v>
      </c>
      <c r="R178" s="317"/>
      <c r="S178" s="316">
        <f>P!N180</f>
        <v>0</v>
      </c>
      <c r="T178" s="317"/>
      <c r="U178" s="316">
        <f>P!P180</f>
        <v>0</v>
      </c>
      <c r="V178" s="317"/>
      <c r="W178" s="316">
        <f>P!R180</f>
        <v>0</v>
      </c>
      <c r="X178" s="317"/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0</v>
      </c>
      <c r="AO178" s="324">
        <f>P!AK180</f>
        <v>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/>
      <c r="E179" s="243"/>
      <c r="F179" s="244">
        <f>P!AJ181</f>
        <v>0</v>
      </c>
      <c r="G179" s="289">
        <f t="shared" si="14"/>
        <v>0</v>
      </c>
      <c r="H179" s="311"/>
      <c r="I179" s="316">
        <f>P!D181</f>
        <v>0</v>
      </c>
      <c r="J179" s="317"/>
      <c r="K179" s="316">
        <f>P!F181</f>
        <v>0</v>
      </c>
      <c r="L179" s="317"/>
      <c r="M179" s="316">
        <f>P!H181</f>
        <v>0</v>
      </c>
      <c r="N179" s="317"/>
      <c r="O179" s="316">
        <f>P!J181</f>
        <v>0</v>
      </c>
      <c r="P179" s="317"/>
      <c r="Q179" s="316">
        <f>P!L181</f>
        <v>0</v>
      </c>
      <c r="R179" s="317"/>
      <c r="S179" s="316">
        <f>P!N181</f>
        <v>0</v>
      </c>
      <c r="T179" s="317"/>
      <c r="U179" s="316">
        <f>P!P181</f>
        <v>0</v>
      </c>
      <c r="V179" s="317"/>
      <c r="W179" s="316">
        <f>P!R181</f>
        <v>0</v>
      </c>
      <c r="X179" s="317"/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0</v>
      </c>
      <c r="AO179" s="324">
        <f>P!AK181</f>
        <v>0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/>
      <c r="E180" s="243"/>
      <c r="F180" s="244">
        <f>P!AJ182</f>
        <v>0</v>
      </c>
      <c r="G180" s="289">
        <f t="shared" si="14"/>
        <v>0</v>
      </c>
      <c r="H180" s="311"/>
      <c r="I180" s="316">
        <f>P!D182</f>
        <v>0</v>
      </c>
      <c r="J180" s="317"/>
      <c r="K180" s="316">
        <f>P!F182</f>
        <v>0</v>
      </c>
      <c r="L180" s="317"/>
      <c r="M180" s="316">
        <f>P!H182</f>
        <v>0</v>
      </c>
      <c r="N180" s="317"/>
      <c r="O180" s="316">
        <f>P!J182</f>
        <v>0</v>
      </c>
      <c r="P180" s="317"/>
      <c r="Q180" s="316">
        <f>P!L182</f>
        <v>0</v>
      </c>
      <c r="R180" s="317"/>
      <c r="S180" s="316">
        <f>P!N182</f>
        <v>0</v>
      </c>
      <c r="T180" s="317"/>
      <c r="U180" s="316">
        <f>P!P182</f>
        <v>0</v>
      </c>
      <c r="V180" s="317"/>
      <c r="W180" s="316">
        <f>P!R182</f>
        <v>0</v>
      </c>
      <c r="X180" s="317"/>
      <c r="Y180" s="316">
        <f>P!T182</f>
        <v>0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0</v>
      </c>
      <c r="AO180" s="324">
        <f>P!AK182</f>
        <v>0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/>
      <c r="E181" s="243"/>
      <c r="F181" s="244">
        <f>P!AJ183</f>
        <v>0</v>
      </c>
      <c r="G181" s="289">
        <f t="shared" si="14"/>
        <v>0</v>
      </c>
      <c r="H181" s="311"/>
      <c r="I181" s="316">
        <f>P!D183</f>
        <v>0</v>
      </c>
      <c r="J181" s="317"/>
      <c r="K181" s="316">
        <f>P!F183</f>
        <v>0</v>
      </c>
      <c r="L181" s="317"/>
      <c r="M181" s="316">
        <f>P!H183</f>
        <v>0</v>
      </c>
      <c r="N181" s="317"/>
      <c r="O181" s="316">
        <f>P!J183</f>
        <v>0</v>
      </c>
      <c r="P181" s="317"/>
      <c r="Q181" s="316">
        <f>P!L183</f>
        <v>0</v>
      </c>
      <c r="R181" s="317"/>
      <c r="S181" s="316">
        <f>P!N183</f>
        <v>0</v>
      </c>
      <c r="T181" s="317"/>
      <c r="U181" s="316">
        <f>P!P183</f>
        <v>0</v>
      </c>
      <c r="V181" s="317"/>
      <c r="W181" s="316">
        <f>P!R183</f>
        <v>0</v>
      </c>
      <c r="X181" s="317"/>
      <c r="Y181" s="316">
        <f>P!T183</f>
        <v>0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0</v>
      </c>
      <c r="AO181" s="324">
        <f>P!AK183</f>
        <v>0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/>
      <c r="E182" s="243"/>
      <c r="F182" s="244">
        <f>P!AJ184</f>
        <v>0</v>
      </c>
      <c r="G182" s="289">
        <f t="shared" si="14"/>
        <v>0</v>
      </c>
      <c r="H182" s="311"/>
      <c r="I182" s="316">
        <f>P!D184</f>
        <v>0</v>
      </c>
      <c r="J182" s="317"/>
      <c r="K182" s="316">
        <f>P!F184</f>
        <v>0</v>
      </c>
      <c r="L182" s="317"/>
      <c r="M182" s="316">
        <f>P!H184</f>
        <v>0</v>
      </c>
      <c r="N182" s="317"/>
      <c r="O182" s="316">
        <f>P!J184</f>
        <v>0</v>
      </c>
      <c r="P182" s="317"/>
      <c r="Q182" s="316">
        <f>P!L184</f>
        <v>0</v>
      </c>
      <c r="R182" s="317"/>
      <c r="S182" s="316">
        <f>P!N184</f>
        <v>0</v>
      </c>
      <c r="T182" s="317"/>
      <c r="U182" s="316">
        <f>P!P184</f>
        <v>0</v>
      </c>
      <c r="V182" s="317"/>
      <c r="W182" s="316">
        <f>P!R184</f>
        <v>0</v>
      </c>
      <c r="X182" s="317"/>
      <c r="Y182" s="316">
        <f>P!T184</f>
        <v>0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0</v>
      </c>
      <c r="AO182" s="324">
        <f>P!AK184</f>
        <v>0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/>
      <c r="E183" s="243"/>
      <c r="F183" s="244">
        <f>P!AJ185</f>
        <v>0</v>
      </c>
      <c r="G183" s="289">
        <f t="shared" si="14"/>
        <v>0</v>
      </c>
      <c r="H183" s="311"/>
      <c r="I183" s="316">
        <f>P!D185</f>
        <v>0</v>
      </c>
      <c r="J183" s="317"/>
      <c r="K183" s="316">
        <f>P!F185</f>
        <v>0</v>
      </c>
      <c r="L183" s="317"/>
      <c r="M183" s="316">
        <f>P!H185</f>
        <v>0</v>
      </c>
      <c r="N183" s="317"/>
      <c r="O183" s="316">
        <f>P!J185</f>
        <v>0</v>
      </c>
      <c r="P183" s="317"/>
      <c r="Q183" s="316">
        <f>P!L185</f>
        <v>0</v>
      </c>
      <c r="R183" s="317"/>
      <c r="S183" s="316">
        <f>P!N185</f>
        <v>0</v>
      </c>
      <c r="T183" s="317"/>
      <c r="U183" s="316">
        <f>P!P185</f>
        <v>0</v>
      </c>
      <c r="V183" s="317"/>
      <c r="W183" s="316">
        <f>P!R185</f>
        <v>0</v>
      </c>
      <c r="X183" s="317"/>
      <c r="Y183" s="316">
        <f>P!T185</f>
        <v>0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0</v>
      </c>
      <c r="AO183" s="324">
        <f>P!AK185</f>
        <v>0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/>
      <c r="E184" s="243"/>
      <c r="F184" s="244">
        <f>P!AJ186</f>
        <v>0</v>
      </c>
      <c r="G184" s="289">
        <f t="shared" si="14"/>
        <v>0</v>
      </c>
      <c r="H184" s="311"/>
      <c r="I184" s="316">
        <f>P!D186</f>
        <v>0</v>
      </c>
      <c r="J184" s="317"/>
      <c r="K184" s="316">
        <f>P!F186</f>
        <v>0</v>
      </c>
      <c r="L184" s="317"/>
      <c r="M184" s="316">
        <f>P!H186</f>
        <v>0</v>
      </c>
      <c r="N184" s="317"/>
      <c r="O184" s="316">
        <f>P!J186</f>
        <v>0</v>
      </c>
      <c r="P184" s="317"/>
      <c r="Q184" s="316">
        <f>P!L186</f>
        <v>0</v>
      </c>
      <c r="R184" s="317"/>
      <c r="S184" s="316">
        <f>P!N186</f>
        <v>0</v>
      </c>
      <c r="T184" s="317"/>
      <c r="U184" s="316">
        <f>P!P186</f>
        <v>0</v>
      </c>
      <c r="V184" s="317"/>
      <c r="W184" s="316">
        <f>P!R186</f>
        <v>0</v>
      </c>
      <c r="X184" s="317"/>
      <c r="Y184" s="316">
        <f>P!T186</f>
        <v>0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0</v>
      </c>
      <c r="AO184" s="324">
        <f>P!AK186</f>
        <v>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/>
      <c r="E185" s="243"/>
      <c r="F185" s="244">
        <f>P!AJ187</f>
        <v>0</v>
      </c>
      <c r="G185" s="289">
        <f t="shared" si="14"/>
        <v>0</v>
      </c>
      <c r="H185" s="311"/>
      <c r="I185" s="316">
        <f>P!D187</f>
        <v>0</v>
      </c>
      <c r="J185" s="317"/>
      <c r="K185" s="316">
        <f>P!F187</f>
        <v>0</v>
      </c>
      <c r="L185" s="317"/>
      <c r="M185" s="316">
        <f>P!H187</f>
        <v>0</v>
      </c>
      <c r="N185" s="317"/>
      <c r="O185" s="316">
        <f>P!J187</f>
        <v>0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0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0</v>
      </c>
      <c r="AO185" s="324">
        <f>P!AK187</f>
        <v>0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/>
      <c r="E186" s="243"/>
      <c r="F186" s="244">
        <f>P!AJ188</f>
        <v>0</v>
      </c>
      <c r="G186" s="289">
        <f t="shared" si="14"/>
        <v>0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0</v>
      </c>
      <c r="AO186" s="324">
        <f>P!AK188</f>
        <v>0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/>
      <c r="E187" s="243"/>
      <c r="F187" s="244">
        <f>P!AJ189</f>
        <v>0</v>
      </c>
      <c r="G187" s="289">
        <f t="shared" si="14"/>
        <v>0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/>
      <c r="O187" s="316">
        <f>P!J189</f>
        <v>0</v>
      </c>
      <c r="P187" s="317"/>
      <c r="Q187" s="316">
        <f>P!L189</f>
        <v>0</v>
      </c>
      <c r="R187" s="317"/>
      <c r="S187" s="316">
        <f>P!N189</f>
        <v>0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0</v>
      </c>
      <c r="AO187" s="324">
        <f>P!AK189</f>
        <v>0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/>
      <c r="E188" s="243"/>
      <c r="F188" s="244">
        <f>P!AJ190</f>
        <v>0</v>
      </c>
      <c r="G188" s="289">
        <f t="shared" si="14"/>
        <v>0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/>
      <c r="W188" s="316">
        <f>P!R190</f>
        <v>0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0</v>
      </c>
      <c r="AO188" s="324">
        <f>P!AK190</f>
        <v>0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/>
      <c r="E189" s="243"/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0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/>
      <c r="E190" s="243"/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0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/>
      <c r="E191" s="243"/>
      <c r="F191" s="244">
        <f>P!AJ193</f>
        <v>0</v>
      </c>
      <c r="G191" s="289">
        <f t="shared" si="14"/>
        <v>0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0</v>
      </c>
      <c r="AO191" s="324">
        <f>P!AK193</f>
        <v>0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/>
      <c r="E192" s="243"/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/>
      <c r="E193" s="243"/>
      <c r="F193" s="244">
        <f>P!AJ195</f>
        <v>0</v>
      </c>
      <c r="G193" s="289">
        <f t="shared" si="14"/>
        <v>0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/>
      <c r="Q193" s="316">
        <f>P!L195</f>
        <v>0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0</v>
      </c>
      <c r="AO193" s="324">
        <f>P!AK195</f>
        <v>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/>
      <c r="E194" s="243"/>
      <c r="F194" s="244">
        <f>P!AJ196</f>
        <v>0</v>
      </c>
      <c r="G194" s="289">
        <f t="shared" si="14"/>
        <v>0</v>
      </c>
      <c r="H194" s="311"/>
      <c r="I194" s="316">
        <f>P!D196</f>
        <v>0</v>
      </c>
      <c r="J194" s="317"/>
      <c r="K194" s="316">
        <f>P!F196</f>
        <v>0</v>
      </c>
      <c r="L194" s="317"/>
      <c r="M194" s="316">
        <f>P!H196</f>
        <v>0</v>
      </c>
      <c r="N194" s="317"/>
      <c r="O194" s="316">
        <f>P!J196</f>
        <v>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/>
      <c r="W194" s="316">
        <f>P!R196</f>
        <v>0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0</v>
      </c>
      <c r="AO194" s="324">
        <f>P!AK196</f>
        <v>0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/>
      <c r="E195" s="243"/>
      <c r="F195" s="244">
        <f>P!AJ197</f>
        <v>0</v>
      </c>
      <c r="G195" s="289">
        <f t="shared" si="14"/>
        <v>0</v>
      </c>
      <c r="H195" s="311"/>
      <c r="I195" s="316">
        <f>P!D197</f>
        <v>0</v>
      </c>
      <c r="J195" s="317"/>
      <c r="K195" s="316">
        <f>P!F197</f>
        <v>0</v>
      </c>
      <c r="L195" s="317"/>
      <c r="M195" s="316">
        <f>P!H197</f>
        <v>0</v>
      </c>
      <c r="N195" s="317"/>
      <c r="O195" s="316">
        <f>P!J197</f>
        <v>0</v>
      </c>
      <c r="P195" s="317"/>
      <c r="Q195" s="316">
        <f>P!L197</f>
        <v>0</v>
      </c>
      <c r="R195" s="317"/>
      <c r="S195" s="316">
        <f>P!N197</f>
        <v>0</v>
      </c>
      <c r="T195" s="317"/>
      <c r="U195" s="316">
        <f>P!P197</f>
        <v>0</v>
      </c>
      <c r="V195" s="317"/>
      <c r="W195" s="316">
        <f>P!R197</f>
        <v>0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0</v>
      </c>
      <c r="AO195" s="324">
        <f>P!AK197</f>
        <v>0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/>
      <c r="E196" s="243"/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/>
      <c r="E197" s="243"/>
      <c r="F197" s="244">
        <f>P!AJ199</f>
        <v>0</v>
      </c>
      <c r="G197" s="289">
        <f t="shared" ref="G197:G252" si="18">E197+F197</f>
        <v>0</v>
      </c>
      <c r="H197" s="311"/>
      <c r="I197" s="316">
        <f>P!D199</f>
        <v>0</v>
      </c>
      <c r="J197" s="317"/>
      <c r="K197" s="316">
        <f>P!F199</f>
        <v>0</v>
      </c>
      <c r="L197" s="317"/>
      <c r="M197" s="316">
        <f>P!H199</f>
        <v>0</v>
      </c>
      <c r="N197" s="317"/>
      <c r="O197" s="316">
        <f>P!J199</f>
        <v>0</v>
      </c>
      <c r="P197" s="317"/>
      <c r="Q197" s="316">
        <f>P!L199</f>
        <v>0</v>
      </c>
      <c r="R197" s="317"/>
      <c r="S197" s="316">
        <f>P!N199</f>
        <v>0</v>
      </c>
      <c r="T197" s="317"/>
      <c r="U197" s="316">
        <f>P!P199</f>
        <v>0</v>
      </c>
      <c r="V197" s="317"/>
      <c r="W197" s="316">
        <f>P!R199</f>
        <v>0</v>
      </c>
      <c r="X197" s="317"/>
      <c r="Y197" s="316">
        <f>P!T199</f>
        <v>0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0</v>
      </c>
      <c r="AO197" s="324">
        <f>P!AK199</f>
        <v>0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/>
      <c r="E198" s="243"/>
      <c r="F198" s="244">
        <f>P!AJ200</f>
        <v>0</v>
      </c>
      <c r="G198" s="289">
        <f t="shared" si="18"/>
        <v>0</v>
      </c>
      <c r="H198" s="311"/>
      <c r="I198" s="316">
        <f>P!D200</f>
        <v>0</v>
      </c>
      <c r="J198" s="317"/>
      <c r="K198" s="316">
        <f>P!F200</f>
        <v>0</v>
      </c>
      <c r="L198" s="317"/>
      <c r="M198" s="316">
        <f>P!H200</f>
        <v>0</v>
      </c>
      <c r="N198" s="317"/>
      <c r="O198" s="316">
        <f>P!J200</f>
        <v>0</v>
      </c>
      <c r="P198" s="317"/>
      <c r="Q198" s="316">
        <f>P!L200</f>
        <v>0</v>
      </c>
      <c r="R198" s="317"/>
      <c r="S198" s="316">
        <f>P!N200</f>
        <v>0</v>
      </c>
      <c r="T198" s="317"/>
      <c r="U198" s="316">
        <f>P!P200</f>
        <v>0</v>
      </c>
      <c r="V198" s="317"/>
      <c r="W198" s="316">
        <f>P!R200</f>
        <v>0</v>
      </c>
      <c r="X198" s="317"/>
      <c r="Y198" s="316">
        <f>P!T200</f>
        <v>0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0</v>
      </c>
      <c r="AO198" s="324">
        <f>P!AK200</f>
        <v>0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/>
      <c r="E199" s="243"/>
      <c r="F199" s="244">
        <f>P!AJ201</f>
        <v>0</v>
      </c>
      <c r="G199" s="289">
        <f t="shared" si="18"/>
        <v>0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</v>
      </c>
      <c r="AO199" s="324">
        <f>P!AK201</f>
        <v>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/>
      <c r="E200" s="243"/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/>
      <c r="E201" s="243"/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/>
      <c r="E202" s="243"/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/>
      <c r="E203" s="243"/>
      <c r="F203" s="244">
        <f>P!AJ205</f>
        <v>0</v>
      </c>
      <c r="G203" s="289">
        <f t="shared" si="18"/>
        <v>0</v>
      </c>
      <c r="H203" s="311"/>
      <c r="I203" s="316">
        <f>P!D205</f>
        <v>0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0</v>
      </c>
      <c r="P203" s="317"/>
      <c r="Q203" s="316">
        <f>P!L205</f>
        <v>0</v>
      </c>
      <c r="R203" s="317"/>
      <c r="S203" s="316">
        <f>P!N205</f>
        <v>0</v>
      </c>
      <c r="T203" s="317"/>
      <c r="U203" s="316">
        <f>P!P205</f>
        <v>0</v>
      </c>
      <c r="V203" s="317"/>
      <c r="W203" s="316">
        <f>P!R205</f>
        <v>0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0</v>
      </c>
      <c r="AO203" s="324">
        <f>P!AK205</f>
        <v>0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/>
      <c r="E204" s="243"/>
      <c r="F204" s="244">
        <f>P!AJ206</f>
        <v>0</v>
      </c>
      <c r="G204" s="289">
        <f t="shared" si="18"/>
        <v>0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0</v>
      </c>
      <c r="N204" s="317"/>
      <c r="O204" s="316">
        <f>P!J206</f>
        <v>0</v>
      </c>
      <c r="P204" s="317"/>
      <c r="Q204" s="316">
        <f>P!L206</f>
        <v>0</v>
      </c>
      <c r="R204" s="317"/>
      <c r="S204" s="316">
        <f>P!N206</f>
        <v>0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0</v>
      </c>
      <c r="AO204" s="324">
        <f>P!AK206</f>
        <v>0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/>
      <c r="E205" s="243"/>
      <c r="F205" s="244">
        <f>P!AJ207</f>
        <v>0</v>
      </c>
      <c r="G205" s="289">
        <f t="shared" si="18"/>
        <v>0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0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0</v>
      </c>
      <c r="AO205" s="324">
        <f>P!AK207</f>
        <v>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/>
      <c r="E206" s="243"/>
      <c r="F206" s="244">
        <f>P!AJ208</f>
        <v>0</v>
      </c>
      <c r="G206" s="289">
        <f t="shared" si="18"/>
        <v>0</v>
      </c>
      <c r="H206" s="311"/>
      <c r="I206" s="316">
        <f>P!D208</f>
        <v>0</v>
      </c>
      <c r="J206" s="317"/>
      <c r="K206" s="316">
        <f>P!F208</f>
        <v>0</v>
      </c>
      <c r="L206" s="317"/>
      <c r="M206" s="316">
        <f>P!H208</f>
        <v>0</v>
      </c>
      <c r="N206" s="317"/>
      <c r="O206" s="316">
        <f>P!J208</f>
        <v>0</v>
      </c>
      <c r="P206" s="317"/>
      <c r="Q206" s="316">
        <f>P!L208</f>
        <v>0</v>
      </c>
      <c r="R206" s="317"/>
      <c r="S206" s="316">
        <f>P!N208</f>
        <v>0</v>
      </c>
      <c r="T206" s="317"/>
      <c r="U206" s="316">
        <f>P!P208</f>
        <v>0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0</v>
      </c>
      <c r="AO206" s="324">
        <f>P!AK208</f>
        <v>0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/>
      <c r="E207" s="243"/>
      <c r="F207" s="244">
        <f>P!AJ209</f>
        <v>0</v>
      </c>
      <c r="G207" s="289">
        <f t="shared" si="18"/>
        <v>0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/>
      <c r="U207" s="316">
        <f>P!P209</f>
        <v>0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0</v>
      </c>
      <c r="AO207" s="324">
        <f>P!AK209</f>
        <v>0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/>
      <c r="E208" s="243"/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/>
      <c r="E209" s="243"/>
      <c r="F209" s="244">
        <f>P!AJ211</f>
        <v>0</v>
      </c>
      <c r="G209" s="289">
        <f t="shared" si="18"/>
        <v>0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0</v>
      </c>
      <c r="AO209" s="324">
        <f>P!AK211</f>
        <v>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/>
      <c r="E210" s="243"/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/>
      <c r="E211" s="243"/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/>
      <c r="E212" s="243"/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0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/>
      <c r="E213" s="243"/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/>
      <c r="E214" s="243"/>
      <c r="F214" s="244">
        <f>P!AJ216</f>
        <v>0</v>
      </c>
      <c r="G214" s="244">
        <f t="shared" si="18"/>
        <v>0</v>
      </c>
      <c r="H214" s="276"/>
      <c r="I214" s="305"/>
      <c r="J214" s="304"/>
      <c r="K214" s="305"/>
      <c r="L214" s="304"/>
      <c r="M214" s="305"/>
      <c r="N214" s="304"/>
      <c r="O214" s="305"/>
      <c r="P214" s="304"/>
      <c r="Q214" s="305"/>
      <c r="R214" s="304"/>
      <c r="S214" s="305"/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0</v>
      </c>
      <c r="AO214" s="314">
        <f>P!AK216</f>
        <v>0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/>
      <c r="E215" s="243"/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0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/>
      <c r="E216" s="243"/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/>
      <c r="E217" s="243"/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/>
      <c r="E218" s="243"/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/>
      <c r="E219" s="243"/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/>
      <c r="E220" s="243"/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/>
      <c r="E221" s="243"/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0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/>
      <c r="E222" s="243"/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/>
      <c r="E223" s="243"/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/>
      <c r="E224" s="243"/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/>
      <c r="E225" s="243"/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/>
      <c r="E226" s="243"/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/>
      <c r="E227" s="243"/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/>
      <c r="E228" s="243"/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0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/>
      <c r="E229" s="243"/>
      <c r="F229" s="244">
        <f>P!AJ231</f>
        <v>0</v>
      </c>
      <c r="G229" s="244">
        <f t="shared" si="18"/>
        <v>0</v>
      </c>
      <c r="H229" s="311"/>
      <c r="I229" s="316">
        <f>P!D231</f>
        <v>0</v>
      </c>
      <c r="J229" s="317"/>
      <c r="K229" s="316">
        <f>P!F231</f>
        <v>0</v>
      </c>
      <c r="L229" s="317"/>
      <c r="M229" s="316">
        <f>P!H231</f>
        <v>0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0</v>
      </c>
      <c r="AO229" s="324">
        <f>P!AK231</f>
        <v>0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/>
      <c r="E230" s="243"/>
      <c r="F230" s="244">
        <f>P!AJ232</f>
        <v>0</v>
      </c>
      <c r="G230" s="244">
        <f>E230+F230</f>
        <v>0</v>
      </c>
      <c r="H230" s="276"/>
      <c r="I230" s="305"/>
      <c r="J230" s="304"/>
      <c r="K230" s="305"/>
      <c r="L230" s="304"/>
      <c r="M230" s="305"/>
      <c r="N230" s="304"/>
      <c r="O230" s="305"/>
      <c r="P230" s="304"/>
      <c r="Q230" s="305"/>
      <c r="R230" s="304"/>
      <c r="S230" s="305"/>
      <c r="T230" s="304"/>
      <c r="U230" s="305"/>
      <c r="V230" s="304"/>
      <c r="W230" s="305"/>
      <c r="X230" s="304"/>
      <c r="Y230" s="305"/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0</v>
      </c>
      <c r="AO230" s="314">
        <f>P!AK232</f>
        <v>0</v>
      </c>
      <c r="AP230" s="315">
        <f t="shared" si="15"/>
        <v>0</v>
      </c>
      <c r="AQ230" s="70" t="str">
        <f t="shared" si="17"/>
        <v>০</v>
      </c>
    </row>
    <row r="231" spans="1:43">
      <c r="A231" s="68">
        <v>229</v>
      </c>
      <c r="B231" s="92" t="s">
        <v>56</v>
      </c>
      <c r="C231" s="68" t="s">
        <v>31</v>
      </c>
      <c r="D231" s="243"/>
      <c r="E231" s="243"/>
      <c r="F231" s="244">
        <f>P!AJ233</f>
        <v>0</v>
      </c>
      <c r="G231" s="244">
        <f>E231+F231</f>
        <v>0</v>
      </c>
      <c r="H231" s="276"/>
      <c r="I231" s="305"/>
      <c r="J231" s="304"/>
      <c r="K231" s="305"/>
      <c r="L231" s="304"/>
      <c r="M231" s="305"/>
      <c r="N231" s="304"/>
      <c r="O231" s="305"/>
      <c r="P231" s="304"/>
      <c r="Q231" s="305"/>
      <c r="R231" s="304"/>
      <c r="S231" s="305"/>
      <c r="T231" s="304"/>
      <c r="U231" s="305"/>
      <c r="V231" s="304"/>
      <c r="W231" s="305"/>
      <c r="X231" s="304"/>
      <c r="Y231" s="305"/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0</v>
      </c>
      <c r="AO231" s="252">
        <f>P!AK233</f>
        <v>0</v>
      </c>
      <c r="AP231" s="253">
        <f t="shared" si="15"/>
        <v>0</v>
      </c>
      <c r="AQ231" s="70" t="str">
        <f t="shared" si="17"/>
        <v>০</v>
      </c>
    </row>
    <row r="232" spans="1:43">
      <c r="A232" s="68">
        <v>230</v>
      </c>
      <c r="B232" s="92" t="s">
        <v>194</v>
      </c>
      <c r="C232" s="68" t="s">
        <v>31</v>
      </c>
      <c r="D232" s="243"/>
      <c r="E232" s="243"/>
      <c r="F232" s="244">
        <f>P!AJ234</f>
        <v>0</v>
      </c>
      <c r="G232" s="244">
        <f t="shared" si="18"/>
        <v>0</v>
      </c>
      <c r="H232" s="276"/>
      <c r="I232" s="305"/>
      <c r="J232" s="304"/>
      <c r="K232" s="305"/>
      <c r="L232" s="304"/>
      <c r="M232" s="305"/>
      <c r="N232" s="304"/>
      <c r="O232" s="305"/>
      <c r="P232" s="304"/>
      <c r="Q232" s="305"/>
      <c r="R232" s="304"/>
      <c r="S232" s="305"/>
      <c r="T232" s="304"/>
      <c r="U232" s="305"/>
      <c r="V232" s="304"/>
      <c r="W232" s="305"/>
      <c r="X232" s="304"/>
      <c r="Y232" s="305"/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0</v>
      </c>
      <c r="AO232" s="252">
        <f>P!AK234</f>
        <v>0</v>
      </c>
      <c r="AP232" s="253">
        <f t="shared" si="15"/>
        <v>0</v>
      </c>
      <c r="AQ232" s="70" t="str">
        <f t="shared" si="17"/>
        <v>০</v>
      </c>
    </row>
    <row r="233" spans="1:43">
      <c r="A233" s="68">
        <v>231</v>
      </c>
      <c r="B233" s="92" t="s">
        <v>274</v>
      </c>
      <c r="C233" s="68" t="s">
        <v>9</v>
      </c>
      <c r="D233" s="243"/>
      <c r="E233" s="243"/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/>
      <c r="E234" s="243"/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0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/>
      <c r="E235" s="243"/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/>
      <c r="E236" s="243"/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/>
      <c r="E237" s="243"/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0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/>
      <c r="E238" s="243"/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0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/>
      <c r="E239" s="243"/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/>
      <c r="E240" s="243"/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/>
      <c r="E241" s="243"/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/>
      <c r="E242" s="243"/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/>
      <c r="E243" s="243"/>
      <c r="F243" s="244">
        <f>P!AJ245</f>
        <v>0</v>
      </c>
      <c r="G243" s="293">
        <f t="shared" si="18"/>
        <v>0</v>
      </c>
      <c r="H243" s="292"/>
      <c r="I243" s="316">
        <f>P!D245</f>
        <v>0</v>
      </c>
      <c r="J243" s="317"/>
      <c r="K243" s="316">
        <f>P!F245</f>
        <v>0</v>
      </c>
      <c r="L243" s="317"/>
      <c r="M243" s="316">
        <f>P!H245</f>
        <v>0</v>
      </c>
      <c r="N243" s="317"/>
      <c r="O243" s="316">
        <f>P!J245</f>
        <v>0</v>
      </c>
      <c r="P243" s="317"/>
      <c r="Q243" s="316">
        <f>P!L245</f>
        <v>0</v>
      </c>
      <c r="R243" s="317"/>
      <c r="S243" s="316">
        <f>P!N245</f>
        <v>0</v>
      </c>
      <c r="T243" s="317"/>
      <c r="U243" s="316">
        <f>P!P245</f>
        <v>0</v>
      </c>
      <c r="V243" s="317"/>
      <c r="W243" s="316">
        <f>P!R245</f>
        <v>0</v>
      </c>
      <c r="X243" s="317"/>
      <c r="Y243" s="316">
        <f>P!T245</f>
        <v>0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0</v>
      </c>
      <c r="AO243" s="322">
        <f>P!AK245</f>
        <v>0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/>
      <c r="E244" s="243"/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0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/>
      <c r="E245" s="243"/>
      <c r="F245" s="244">
        <f>P!AJ247</f>
        <v>0</v>
      </c>
      <c r="G245" s="244">
        <f t="shared" si="18"/>
        <v>0</v>
      </c>
      <c r="H245" s="276"/>
      <c r="I245" s="305"/>
      <c r="J245" s="304"/>
      <c r="K245" s="305"/>
      <c r="L245" s="304"/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0</v>
      </c>
      <c r="AO245" s="314">
        <f>P!AK247</f>
        <v>0</v>
      </c>
      <c r="AP245" s="315">
        <f t="shared" si="15"/>
        <v>0</v>
      </c>
      <c r="AQ245" s="70" t="str">
        <f t="shared" si="17"/>
        <v>০</v>
      </c>
    </row>
    <row r="246" spans="1:53">
      <c r="A246" s="68">
        <v>244</v>
      </c>
      <c r="B246" s="92" t="s">
        <v>191</v>
      </c>
      <c r="C246" s="68" t="s">
        <v>192</v>
      </c>
      <c r="D246" s="243"/>
      <c r="E246" s="243"/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0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/>
      <c r="E247" s="243"/>
      <c r="F247" s="297">
        <f>P!AJ249</f>
        <v>0</v>
      </c>
      <c r="G247" s="298">
        <f t="shared" si="18"/>
        <v>0</v>
      </c>
      <c r="H247" s="292"/>
      <c r="I247" s="316">
        <f>P!D249</f>
        <v>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0</v>
      </c>
      <c r="R247" s="317"/>
      <c r="S247" s="316">
        <f>P!N249</f>
        <v>0</v>
      </c>
      <c r="T247" s="317"/>
      <c r="U247" s="316">
        <f>P!P249</f>
        <v>0</v>
      </c>
      <c r="V247" s="317"/>
      <c r="W247" s="316">
        <f>P!R249</f>
        <v>0</v>
      </c>
      <c r="X247" s="317"/>
      <c r="Y247" s="316">
        <f>P!T249</f>
        <v>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0</v>
      </c>
      <c r="AO247" s="251">
        <f>P!AK249</f>
        <v>0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/>
      <c r="E248" s="243"/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0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/>
      <c r="E249" s="243"/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0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/>
      <c r="E250" s="243"/>
      <c r="F250" s="244">
        <f>P!AJ252</f>
        <v>0</v>
      </c>
      <c r="G250" s="289">
        <f t="shared" si="18"/>
        <v>0</v>
      </c>
      <c r="H250" s="311"/>
      <c r="I250" s="316">
        <f>P!D252</f>
        <v>0</v>
      </c>
      <c r="J250" s="317"/>
      <c r="K250" s="316">
        <f>P!F252</f>
        <v>0</v>
      </c>
      <c r="L250" s="317"/>
      <c r="M250" s="316">
        <f>P!H252</f>
        <v>0</v>
      </c>
      <c r="N250" s="317"/>
      <c r="O250" s="316">
        <f>P!J252</f>
        <v>0</v>
      </c>
      <c r="P250" s="317"/>
      <c r="Q250" s="316">
        <f>P!L252</f>
        <v>0</v>
      </c>
      <c r="R250" s="317"/>
      <c r="S250" s="316">
        <f>P!N252</f>
        <v>0</v>
      </c>
      <c r="T250" s="317"/>
      <c r="U250" s="316">
        <f>P!P252</f>
        <v>0</v>
      </c>
      <c r="V250" s="317"/>
      <c r="W250" s="316">
        <f>P!R252</f>
        <v>0</v>
      </c>
      <c r="X250" s="317"/>
      <c r="Y250" s="316">
        <f>P!T252</f>
        <v>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0</v>
      </c>
      <c r="AO250" s="252">
        <f>P!AK252</f>
        <v>0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/>
      <c r="E251" s="243"/>
      <c r="F251" s="244">
        <f>P!AJ253</f>
        <v>0</v>
      </c>
      <c r="G251" s="289">
        <f t="shared" si="18"/>
        <v>0</v>
      </c>
      <c r="H251" s="311"/>
      <c r="I251" s="316">
        <f>P!D253</f>
        <v>0</v>
      </c>
      <c r="J251" s="317"/>
      <c r="K251" s="316">
        <f>P!F253</f>
        <v>0</v>
      </c>
      <c r="L251" s="317"/>
      <c r="M251" s="316">
        <f>P!H253</f>
        <v>0</v>
      </c>
      <c r="N251" s="317"/>
      <c r="O251" s="316">
        <f>P!J253</f>
        <v>0</v>
      </c>
      <c r="P251" s="317"/>
      <c r="Q251" s="316">
        <f>P!L253</f>
        <v>0</v>
      </c>
      <c r="R251" s="317"/>
      <c r="S251" s="316">
        <f>P!N253</f>
        <v>0</v>
      </c>
      <c r="T251" s="317"/>
      <c r="U251" s="316">
        <f>P!P253</f>
        <v>0</v>
      </c>
      <c r="V251" s="317"/>
      <c r="W251" s="316">
        <f>P!R253</f>
        <v>0</v>
      </c>
      <c r="X251" s="317"/>
      <c r="Y251" s="316">
        <f>P!T253</f>
        <v>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0</v>
      </c>
      <c r="AO251" s="252">
        <f>P!AK253</f>
        <v>0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/>
      <c r="E252" s="243"/>
      <c r="F252" s="244">
        <f>P!AJ254</f>
        <v>0</v>
      </c>
      <c r="G252" s="289">
        <f t="shared" si="18"/>
        <v>0</v>
      </c>
      <c r="H252" s="311"/>
      <c r="I252" s="316">
        <f>P!D254</f>
        <v>0</v>
      </c>
      <c r="J252" s="317"/>
      <c r="K252" s="316">
        <f>P!F254</f>
        <v>0</v>
      </c>
      <c r="L252" s="317"/>
      <c r="M252" s="316">
        <f>P!H254</f>
        <v>0</v>
      </c>
      <c r="N252" s="317"/>
      <c r="O252" s="316">
        <f>P!J254</f>
        <v>0</v>
      </c>
      <c r="P252" s="317"/>
      <c r="Q252" s="316">
        <f>P!L254</f>
        <v>0</v>
      </c>
      <c r="R252" s="317"/>
      <c r="S252" s="316">
        <f>P!N254</f>
        <v>0</v>
      </c>
      <c r="T252" s="317"/>
      <c r="U252" s="316">
        <f>P!P254</f>
        <v>0</v>
      </c>
      <c r="V252" s="317"/>
      <c r="W252" s="316">
        <f>P!R254</f>
        <v>0</v>
      </c>
      <c r="X252" s="317"/>
      <c r="Y252" s="316">
        <f>P!T254</f>
        <v>0</v>
      </c>
      <c r="Z252" s="304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0</v>
      </c>
      <c r="AO252" s="252">
        <f>P!AK254</f>
        <v>0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tabSelected="1" zoomScaleNormal="100" workbookViewId="0">
      <pane xSplit="3" ySplit="4" topLeftCell="AF170" activePane="bottomRight" state="frozen"/>
      <selection pane="topRight" activeCell="D1" sqref="D1"/>
      <selection pane="bottomLeft" activeCell="A5" sqref="A5"/>
      <selection pane="bottomRight" activeCell="D250" sqref="D250:AI254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0</v>
      </c>
      <c r="F1" s="81" t="str">
        <f>IF(G1='2'!C51,"ঠিক","×")</f>
        <v>ঠিক</v>
      </c>
      <c r="G1" s="83">
        <f>SUM(G5:G254)</f>
        <v>0</v>
      </c>
      <c r="H1" s="81" t="str">
        <f>IF(I1='3'!C51,"ঠিক","×")</f>
        <v>ঠিক</v>
      </c>
      <c r="I1" s="84">
        <f>SUM(I5:I254)</f>
        <v>0</v>
      </c>
      <c r="J1" s="81" t="str">
        <f>IF(K1='4'!C51,"ঠিক","×")</f>
        <v>ঠিক</v>
      </c>
      <c r="K1" s="83">
        <f>SUM(K5:K254)</f>
        <v>0</v>
      </c>
      <c r="L1" s="81" t="str">
        <f>IF(M1='5'!C51,"ঠিক","×")</f>
        <v>ঠিক</v>
      </c>
      <c r="M1" s="84">
        <f>SUM(M5:M254)</f>
        <v>0</v>
      </c>
      <c r="N1" s="81" t="str">
        <f>IF(O1='6'!C51,"ঠিক","×")</f>
        <v>ঠিক</v>
      </c>
      <c r="O1" s="83">
        <f>SUM(O5:O254)</f>
        <v>0</v>
      </c>
      <c r="P1" s="81" t="str">
        <f>IF(Q1='7'!C51,"ঠিক","×")</f>
        <v>ঠিক</v>
      </c>
      <c r="Q1" s="85">
        <f>SUM(Q5:Q254)</f>
        <v>0</v>
      </c>
      <c r="R1" s="234" t="str">
        <f>IF(S1='8'!C51,"ঠিক","×")</f>
        <v>ঠিক</v>
      </c>
      <c r="S1" s="235">
        <f>SUM(S5:S254)</f>
        <v>0</v>
      </c>
      <c r="T1" s="234" t="str">
        <f>IF(U1='9'!C51,"ঠিক","×")</f>
        <v>ঠিক</v>
      </c>
      <c r="U1" s="258">
        <f>SUM(U5:U254)</f>
        <v>0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90" t="s">
        <v>0</v>
      </c>
      <c r="B2" s="490" t="s">
        <v>1</v>
      </c>
      <c r="C2" s="490" t="s">
        <v>2</v>
      </c>
      <c r="D2" s="497" t="s">
        <v>243</v>
      </c>
      <c r="E2" s="493"/>
      <c r="F2" s="491" t="s">
        <v>244</v>
      </c>
      <c r="G2" s="492"/>
      <c r="H2" s="466" t="s">
        <v>245</v>
      </c>
      <c r="I2" s="493"/>
      <c r="J2" s="491" t="s">
        <v>246</v>
      </c>
      <c r="K2" s="492"/>
      <c r="L2" s="466" t="s">
        <v>247</v>
      </c>
      <c r="M2" s="493"/>
      <c r="N2" s="491" t="s">
        <v>248</v>
      </c>
      <c r="O2" s="492"/>
      <c r="P2" s="466" t="s">
        <v>249</v>
      </c>
      <c r="Q2" s="467"/>
      <c r="R2" s="470" t="s">
        <v>250</v>
      </c>
      <c r="S2" s="471"/>
      <c r="T2" s="476" t="s">
        <v>356</v>
      </c>
      <c r="U2" s="477"/>
      <c r="V2" s="482" t="s">
        <v>357</v>
      </c>
      <c r="W2" s="483"/>
      <c r="X2" s="476" t="s">
        <v>358</v>
      </c>
      <c r="Y2" s="484"/>
      <c r="Z2" s="476" t="s">
        <v>366</v>
      </c>
      <c r="AA2" s="484"/>
      <c r="AB2" s="476" t="s">
        <v>402</v>
      </c>
      <c r="AC2" s="486"/>
      <c r="AD2" s="494" t="s">
        <v>403</v>
      </c>
      <c r="AE2" s="484"/>
      <c r="AF2" s="477" t="s">
        <v>404</v>
      </c>
      <c r="AG2" s="484"/>
      <c r="AH2" s="477" t="s">
        <v>414</v>
      </c>
      <c r="AI2" s="484"/>
      <c r="AJ2" s="487" t="s">
        <v>12</v>
      </c>
      <c r="AK2" s="489" t="s">
        <v>251</v>
      </c>
      <c r="AL2" s="474" t="s">
        <v>14</v>
      </c>
      <c r="AM2" s="88">
        <f>AL256</f>
        <v>0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90"/>
      <c r="B3" s="490"/>
      <c r="C3" s="490"/>
      <c r="D3" s="478">
        <f>H!C7</f>
        <v>45972</v>
      </c>
      <c r="E3" s="479"/>
      <c r="F3" s="480">
        <f>D3+1</f>
        <v>45973</v>
      </c>
      <c r="G3" s="496"/>
      <c r="H3" s="468">
        <f>F3+1</f>
        <v>45974</v>
      </c>
      <c r="I3" s="479"/>
      <c r="J3" s="480">
        <f>H3+1</f>
        <v>45975</v>
      </c>
      <c r="K3" s="473"/>
      <c r="L3" s="468">
        <f>J3+1</f>
        <v>45976</v>
      </c>
      <c r="M3" s="479"/>
      <c r="N3" s="480">
        <f>L3+1</f>
        <v>45977</v>
      </c>
      <c r="O3" s="473"/>
      <c r="P3" s="468">
        <f>N3+1</f>
        <v>45978</v>
      </c>
      <c r="Q3" s="469"/>
      <c r="R3" s="472">
        <f>P3+1</f>
        <v>45979</v>
      </c>
      <c r="S3" s="473"/>
      <c r="T3" s="478">
        <f>R3+1</f>
        <v>45980</v>
      </c>
      <c r="U3" s="479"/>
      <c r="V3" s="480">
        <f>T3+1</f>
        <v>45981</v>
      </c>
      <c r="W3" s="473"/>
      <c r="X3" s="478">
        <f>V3+1</f>
        <v>45982</v>
      </c>
      <c r="Y3" s="481"/>
      <c r="Z3" s="478">
        <f>X3+1</f>
        <v>45983</v>
      </c>
      <c r="AA3" s="481"/>
      <c r="AB3" s="478">
        <f>Z3+1</f>
        <v>45984</v>
      </c>
      <c r="AC3" s="495"/>
      <c r="AD3" s="485">
        <f>AB3+1</f>
        <v>45985</v>
      </c>
      <c r="AE3" s="481"/>
      <c r="AF3" s="485">
        <f>AD3+1</f>
        <v>45986</v>
      </c>
      <c r="AG3" s="481"/>
      <c r="AH3" s="485">
        <f>AF3+1</f>
        <v>45987</v>
      </c>
      <c r="AI3" s="481"/>
      <c r="AJ3" s="488"/>
      <c r="AK3" s="490"/>
      <c r="AL3" s="475"/>
      <c r="AM3" s="90" t="str">
        <f>IF(ROUND(AM2,2)=ROUND(TS!D20,2),"ঠিক আছে","ভুল")</f>
        <v>ঠিক আছে</v>
      </c>
    </row>
    <row r="4" spans="1:43" ht="21" customHeight="1" thickBot="1">
      <c r="A4" s="490"/>
      <c r="B4" s="490"/>
      <c r="C4" s="490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88"/>
      <c r="AK4" s="490"/>
      <c r="AL4" s="475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0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/>
      <c r="G7" s="94"/>
      <c r="H7" s="95"/>
      <c r="I7" s="94"/>
      <c r="J7" s="93"/>
      <c r="K7" s="94"/>
      <c r="L7" s="95"/>
      <c r="M7" s="94"/>
      <c r="N7" s="93"/>
      <c r="O7" s="94"/>
      <c r="P7" s="95"/>
      <c r="Q7" s="96"/>
      <c r="R7" s="95"/>
      <c r="S7" s="237"/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0</v>
      </c>
      <c r="AK7" s="340">
        <f>IF(ISERR(AL7/AJ7),S!D5,(AL7/AJ7))</f>
        <v>0</v>
      </c>
      <c r="AL7" s="99">
        <f t="shared" si="1"/>
        <v>0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0</v>
      </c>
      <c r="AK8" s="340">
        <f>IF(ISERR(AL8/AJ8),S!D6,(AL8/AJ8))</f>
        <v>0</v>
      </c>
      <c r="AL8" s="99">
        <f t="shared" si="1"/>
        <v>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0</v>
      </c>
      <c r="AK10" s="340">
        <f>IF(ISERR(AL10/AJ10),S!D8,(AL10/AJ10))</f>
        <v>0</v>
      </c>
      <c r="AL10" s="99">
        <f t="shared" si="1"/>
        <v>0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0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0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0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0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/>
      <c r="E15" s="98"/>
      <c r="F15" s="272"/>
      <c r="G15" s="94"/>
      <c r="H15" s="95"/>
      <c r="I15" s="94"/>
      <c r="J15" s="93"/>
      <c r="K15" s="94"/>
      <c r="L15" s="95"/>
      <c r="M15" s="94"/>
      <c r="N15" s="93"/>
      <c r="O15" s="94"/>
      <c r="P15" s="95"/>
      <c r="Q15" s="96"/>
      <c r="R15" s="95"/>
      <c r="S15" s="237"/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0</v>
      </c>
      <c r="AK15" s="340">
        <f>IF(ISERR(AL15/AJ15),S!D13,(AL15/AJ15))</f>
        <v>0</v>
      </c>
      <c r="AL15" s="99">
        <f t="shared" si="1"/>
        <v>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/>
      <c r="I16" s="94"/>
      <c r="J16" s="93"/>
      <c r="K16" s="94"/>
      <c r="L16" s="95"/>
      <c r="M16" s="94"/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0</v>
      </c>
      <c r="AK16" s="340">
        <f>IF(ISERR(AL16/AJ16),S!D14,(AL16/AJ16))</f>
        <v>0</v>
      </c>
      <c r="AL16" s="99">
        <f t="shared" si="1"/>
        <v>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0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0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/>
      <c r="S19" s="237"/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</v>
      </c>
      <c r="AK19" s="340">
        <f>IF(ISERR(AL19/AJ19),S!D17,(AL19/AJ19))</f>
        <v>0</v>
      </c>
      <c r="AL19" s="99">
        <f t="shared" si="1"/>
        <v>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0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/>
      <c r="I21" s="94"/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0</v>
      </c>
      <c r="AK21" s="340">
        <f>IF(ISERR(AL21/AJ21),S!D19,(AL21/AJ21))</f>
        <v>0</v>
      </c>
      <c r="AL21" s="99">
        <f t="shared" si="1"/>
        <v>0</v>
      </c>
    </row>
    <row r="22" spans="1:38">
      <c r="A22" s="91">
        <v>18</v>
      </c>
      <c r="B22" s="92" t="s">
        <v>32</v>
      </c>
      <c r="C22" s="100" t="s">
        <v>9</v>
      </c>
      <c r="D22" s="272"/>
      <c r="E22" s="98"/>
      <c r="F22" s="272"/>
      <c r="G22" s="94"/>
      <c r="H22" s="95"/>
      <c r="I22" s="94"/>
      <c r="J22" s="93"/>
      <c r="K22" s="94"/>
      <c r="L22" s="95"/>
      <c r="M22" s="94"/>
      <c r="N22" s="93"/>
      <c r="O22" s="94"/>
      <c r="P22" s="95"/>
      <c r="Q22" s="96"/>
      <c r="R22" s="95"/>
      <c r="S22" s="237"/>
      <c r="T22" s="227"/>
      <c r="U22" s="237"/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0</v>
      </c>
      <c r="AK22" s="340">
        <f>IF(ISERR(AL22/AJ22),S!D20,(AL22/AJ22))</f>
        <v>0</v>
      </c>
      <c r="AL22" s="99">
        <f t="shared" si="1"/>
        <v>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0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/>
      <c r="O24" s="94"/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0</v>
      </c>
      <c r="AK24" s="340">
        <f>IF(ISERR(AL24/AJ24),S!D22,(AL24/AJ24))</f>
        <v>0</v>
      </c>
      <c r="AL24" s="99">
        <f t="shared" si="1"/>
        <v>0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0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0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/>
      <c r="M31" s="94"/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0</v>
      </c>
      <c r="AK31" s="340">
        <f>IF(ISERR(AL31/AJ31),S!D29,(AL31/AJ31))</f>
        <v>0</v>
      </c>
      <c r="AL31" s="99">
        <f t="shared" si="1"/>
        <v>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0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0</v>
      </c>
      <c r="AK36" s="340">
        <f>IF(ISERR(AL36/AJ36),S!D34,(AL36/AJ36))</f>
        <v>0</v>
      </c>
      <c r="AL36" s="99">
        <f t="shared" si="1"/>
        <v>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0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</v>
      </c>
      <c r="AK40" s="340">
        <f>IF(ISERR(AL40/AJ40),S!D38,(AL40/AJ40))</f>
        <v>0</v>
      </c>
      <c r="AL40" s="99">
        <f t="shared" si="1"/>
        <v>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0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0</v>
      </c>
      <c r="AK42" s="340">
        <f>IF(ISERR(AL42/AJ42),S!D40,(AL42/AJ42))</f>
        <v>0</v>
      </c>
      <c r="AL42" s="99">
        <f t="shared" si="1"/>
        <v>0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0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0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0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0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0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0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/>
      <c r="M52" s="94"/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0</v>
      </c>
      <c r="AK52" s="340">
        <f>IF(ISERR(AL52/AJ52),S!D50,(AL52/AJ52))</f>
        <v>0</v>
      </c>
      <c r="AL52" s="99">
        <f t="shared" si="1"/>
        <v>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0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0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0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0</v>
      </c>
      <c r="AK56" s="340">
        <f>IF(ISERR(AL56/AJ56),S!D54,(AL56/AJ56))</f>
        <v>0</v>
      </c>
      <c r="AL56" s="99">
        <f t="shared" si="1"/>
        <v>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0</v>
      </c>
      <c r="AK57" s="340">
        <f>IF(ISERR(AL57/AJ57),S!D55,(AL57/AJ57))</f>
        <v>0</v>
      </c>
      <c r="AL57" s="99">
        <f t="shared" si="1"/>
        <v>0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/>
      <c r="I58" s="94"/>
      <c r="J58" s="93"/>
      <c r="K58" s="94"/>
      <c r="L58" s="95"/>
      <c r="M58" s="94"/>
      <c r="N58" s="93"/>
      <c r="O58" s="94"/>
      <c r="P58" s="95"/>
      <c r="Q58" s="96"/>
      <c r="R58" s="95"/>
      <c r="S58" s="237"/>
      <c r="T58" s="227"/>
      <c r="U58" s="237"/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0</v>
      </c>
      <c r="AK58" s="340">
        <f>IF(ISERR(AL58/AJ58),S!D56,(AL58/AJ58))</f>
        <v>0</v>
      </c>
      <c r="AL58" s="99">
        <f t="shared" si="1"/>
        <v>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0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/>
      <c r="I62" s="94"/>
      <c r="J62" s="93"/>
      <c r="K62" s="94"/>
      <c r="L62" s="95"/>
      <c r="M62" s="94"/>
      <c r="N62" s="93"/>
      <c r="O62" s="94"/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0</v>
      </c>
      <c r="AK62" s="340">
        <f>IF(ISERR(AL62/AJ62),S!D60,(AL62/AJ62))</f>
        <v>0</v>
      </c>
      <c r="AL62" s="99">
        <f t="shared" si="1"/>
        <v>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/>
      <c r="I63" s="94"/>
      <c r="J63" s="93"/>
      <c r="K63" s="94"/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0</v>
      </c>
      <c r="AK63" s="340">
        <f>IF(ISERR(AL63/AJ63),S!D61,(AL63/AJ63))</f>
        <v>0</v>
      </c>
      <c r="AL63" s="99">
        <f t="shared" si="1"/>
        <v>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/>
      <c r="I64" s="94"/>
      <c r="J64" s="93"/>
      <c r="K64" s="94"/>
      <c r="L64" s="95"/>
      <c r="M64" s="94"/>
      <c r="N64" s="93"/>
      <c r="O64" s="94"/>
      <c r="P64" s="95"/>
      <c r="Q64" s="96"/>
      <c r="R64" s="95"/>
      <c r="S64" s="237"/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0</v>
      </c>
      <c r="AK64" s="340">
        <f>IF(ISERR(AL64/AJ64),S!D62,(AL64/AJ64))</f>
        <v>0</v>
      </c>
      <c r="AL64" s="99">
        <f t="shared" si="1"/>
        <v>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/>
      <c r="I65" s="94"/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</v>
      </c>
      <c r="AK65" s="340">
        <f>IF(ISERR(AL65/AJ65),S!D63,(AL65/AJ65))</f>
        <v>0</v>
      </c>
      <c r="AL65" s="99">
        <f t="shared" si="1"/>
        <v>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0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/>
      <c r="I67" s="94"/>
      <c r="J67" s="93"/>
      <c r="K67" s="94"/>
      <c r="L67" s="95"/>
      <c r="M67" s="94"/>
      <c r="N67" s="93"/>
      <c r="O67" s="94"/>
      <c r="P67" s="95"/>
      <c r="Q67" s="96"/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</v>
      </c>
      <c r="AK67" s="340">
        <f>IF(ISERR(AL67/AJ67),S!D65,(AL67/AJ67))</f>
        <v>0</v>
      </c>
      <c r="AL67" s="99">
        <f t="shared" si="1"/>
        <v>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/>
      <c r="M68" s="94"/>
      <c r="N68" s="93"/>
      <c r="O68" s="94"/>
      <c r="P68" s="95"/>
      <c r="Q68" s="96"/>
      <c r="R68" s="95"/>
      <c r="S68" s="237"/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0</v>
      </c>
      <c r="AK68" s="340">
        <f>IF(ISERR(AL68/AJ68),S!D66,(AL68/AJ68))</f>
        <v>0</v>
      </c>
      <c r="AL68" s="99">
        <f t="shared" si="1"/>
        <v>0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/>
      <c r="M69" s="94"/>
      <c r="N69" s="93"/>
      <c r="O69" s="94"/>
      <c r="P69" s="95"/>
      <c r="Q69" s="96"/>
      <c r="R69" s="95"/>
      <c r="S69" s="237"/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0</v>
      </c>
      <c r="AK69" s="340">
        <f>IF(ISERR(AL69/AJ69),S!D67,(AL69/AJ69))</f>
        <v>0</v>
      </c>
      <c r="AL69" s="99">
        <f t="shared" si="1"/>
        <v>0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/>
      <c r="I70" s="94"/>
      <c r="J70" s="93"/>
      <c r="K70" s="94"/>
      <c r="L70" s="95"/>
      <c r="M70" s="94"/>
      <c r="N70" s="93"/>
      <c r="O70" s="94"/>
      <c r="P70" s="95"/>
      <c r="Q70" s="96"/>
      <c r="R70" s="95"/>
      <c r="S70" s="237"/>
      <c r="T70" s="227"/>
      <c r="U70" s="237"/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</v>
      </c>
      <c r="AK70" s="340">
        <f>IF(ISERR(AL70/AJ70),S!D68,(AL70/AJ70))</f>
        <v>0</v>
      </c>
      <c r="AL70" s="99">
        <f t="shared" ref="AL70:AL133" si="3">E70+G70+I70+K70+M70+O70+Q70+S70+U70+W70+Y70+AA70+AC70+AE70+AG70+AI70</f>
        <v>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/>
      <c r="M71" s="94"/>
      <c r="N71" s="93"/>
      <c r="O71" s="94"/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</v>
      </c>
      <c r="AK71" s="340">
        <f>IF(ISERR(AL71/AJ71),S!D69,(AL71/AJ71))</f>
        <v>0</v>
      </c>
      <c r="AL71" s="99">
        <f t="shared" si="3"/>
        <v>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/>
      <c r="G72" s="94"/>
      <c r="H72" s="95"/>
      <c r="I72" s="94"/>
      <c r="J72" s="93"/>
      <c r="K72" s="94"/>
      <c r="L72" s="95"/>
      <c r="M72" s="94"/>
      <c r="N72" s="93"/>
      <c r="O72" s="94"/>
      <c r="P72" s="95"/>
      <c r="Q72" s="96"/>
      <c r="R72" s="95"/>
      <c r="S72" s="237"/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</v>
      </c>
      <c r="AK72" s="340">
        <f>IF(ISERR(AL72/AJ72),S!D70,(AL72/AJ72))</f>
        <v>0</v>
      </c>
      <c r="AL72" s="99">
        <f t="shared" si="3"/>
        <v>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0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/>
      <c r="M74" s="94"/>
      <c r="N74" s="93"/>
      <c r="O74" s="94"/>
      <c r="P74" s="95"/>
      <c r="Q74" s="96"/>
      <c r="R74" s="95"/>
      <c r="S74" s="237"/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</v>
      </c>
      <c r="AK74" s="340">
        <f>IF(ISERR(AL74/AJ74),S!D72,(AL74/AJ74))</f>
        <v>0</v>
      </c>
      <c r="AL74" s="99">
        <f t="shared" si="3"/>
        <v>0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/>
      <c r="S75" s="237"/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</v>
      </c>
      <c r="AK75" s="340">
        <f>IF(ISERR(AL75/AJ75),S!D73,(AL75/AJ75))</f>
        <v>0</v>
      </c>
      <c r="AL75" s="99">
        <f t="shared" si="3"/>
        <v>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</v>
      </c>
      <c r="AK77" s="340">
        <f>IF(ISERR(AL77/AJ77),S!D75,(AL77/AJ77))</f>
        <v>0</v>
      </c>
      <c r="AL77" s="99">
        <f t="shared" si="3"/>
        <v>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0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0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/>
      <c r="I80" s="94"/>
      <c r="J80" s="93"/>
      <c r="K80" s="94"/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</v>
      </c>
      <c r="AK80" s="340">
        <f>IF(ISERR(AL80/AJ80),S!D78,(AL80/AJ80))</f>
        <v>0</v>
      </c>
      <c r="AL80" s="99">
        <f t="shared" si="3"/>
        <v>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/>
      <c r="E82" s="98"/>
      <c r="F82" s="272"/>
      <c r="G82" s="94"/>
      <c r="H82" s="95"/>
      <c r="I82" s="94"/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0</v>
      </c>
      <c r="AK82" s="340">
        <f>IF(ISERR(AL82/AJ82),S!D80,(AL82/AJ82))</f>
        <v>0</v>
      </c>
      <c r="AL82" s="99">
        <f t="shared" si="3"/>
        <v>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0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0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/>
      <c r="I88" s="94"/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</v>
      </c>
      <c r="AK88" s="340">
        <f>IF(ISERR(AL88/AJ88),S!D86,(AL88/AJ88))</f>
        <v>0</v>
      </c>
      <c r="AL88" s="99">
        <f t="shared" si="3"/>
        <v>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/>
      <c r="G89" s="94"/>
      <c r="H89" s="95"/>
      <c r="I89" s="94"/>
      <c r="J89" s="93"/>
      <c r="K89" s="94"/>
      <c r="L89" s="95"/>
      <c r="M89" s="94"/>
      <c r="N89" s="93"/>
      <c r="O89" s="94"/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0</v>
      </c>
      <c r="AK89" s="340">
        <f>IF(ISERR(AL89/AJ89),S!D87,(AL89/AJ89))</f>
        <v>0</v>
      </c>
      <c r="AL89" s="99">
        <f t="shared" si="3"/>
        <v>0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/>
      <c r="G90" s="94"/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0</v>
      </c>
      <c r="AK90" s="340">
        <f>IF(ISERR(AL90/AJ90),S!D88,(AL90/AJ90))</f>
        <v>0</v>
      </c>
      <c r="AL90" s="99">
        <f t="shared" si="3"/>
        <v>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/>
      <c r="G91" s="94"/>
      <c r="H91" s="95"/>
      <c r="I91" s="94"/>
      <c r="J91" s="93"/>
      <c r="K91" s="94"/>
      <c r="L91" s="95"/>
      <c r="M91" s="94"/>
      <c r="N91" s="93"/>
      <c r="O91" s="94"/>
      <c r="P91" s="95"/>
      <c r="Q91" s="96"/>
      <c r="R91" s="95"/>
      <c r="S91" s="237"/>
      <c r="T91" s="227"/>
      <c r="U91" s="237"/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0</v>
      </c>
      <c r="AK91" s="340">
        <f>IF(ISERR(AL91/AJ91),S!D89,(AL91/AJ91))</f>
        <v>0</v>
      </c>
      <c r="AL91" s="99">
        <f t="shared" si="3"/>
        <v>0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0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0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/>
      <c r="E97" s="98"/>
      <c r="F97" s="272"/>
      <c r="G97" s="94"/>
      <c r="H97" s="95"/>
      <c r="I97" s="94"/>
      <c r="J97" s="93"/>
      <c r="K97" s="94"/>
      <c r="L97" s="95"/>
      <c r="M97" s="94"/>
      <c r="N97" s="93"/>
      <c r="O97" s="94"/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0</v>
      </c>
      <c r="AK97" s="340">
        <f>IF(ISERR(AL97/AJ97),S!D95,(AL97/AJ97))</f>
        <v>0</v>
      </c>
      <c r="AL97" s="99">
        <f t="shared" si="3"/>
        <v>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/>
      <c r="O100" s="94"/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0</v>
      </c>
      <c r="AK100" s="340">
        <f>IF(ISERR(AL100/AJ100),S!D98,(AL100/AJ100))</f>
        <v>0</v>
      </c>
      <c r="AL100" s="99">
        <f t="shared" si="3"/>
        <v>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0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0</v>
      </c>
      <c r="AK102" s="340">
        <f>IF(ISERR(AL102/AJ102),S!D100,(AL102/AJ102))</f>
        <v>0</v>
      </c>
      <c r="AL102" s="99">
        <f t="shared" si="3"/>
        <v>0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0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0</v>
      </c>
      <c r="AK106" s="340">
        <f>IF(ISERR(AL106/AJ106),S!D104,(AL106/AJ106))</f>
        <v>0</v>
      </c>
      <c r="AL106" s="99">
        <f t="shared" si="3"/>
        <v>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0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0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0</v>
      </c>
      <c r="AK109" s="340">
        <f>IF(ISERR(AL109/AJ109),S!D107,(AL109/AJ109))</f>
        <v>0</v>
      </c>
      <c r="AL109" s="99">
        <f t="shared" si="3"/>
        <v>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0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0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0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/>
      <c r="K114" s="94"/>
      <c r="L114" s="95"/>
      <c r="M114" s="94"/>
      <c r="N114" s="93"/>
      <c r="O114" s="94"/>
      <c r="P114" s="95"/>
      <c r="Q114" s="96"/>
      <c r="R114" s="95"/>
      <c r="S114" s="237"/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</v>
      </c>
      <c r="AK114" s="340">
        <f>IF(ISERR(AL114/AJ114),S!D112,(AL114/AJ114))</f>
        <v>0</v>
      </c>
      <c r="AL114" s="99">
        <f t="shared" si="3"/>
        <v>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/>
      <c r="M118" s="94"/>
      <c r="N118" s="93"/>
      <c r="O118" s="94"/>
      <c r="P118" s="95"/>
      <c r="Q118" s="96"/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0</v>
      </c>
      <c r="AK118" s="340">
        <f>IF(ISERR(AL118/AJ118),S!D116,(AL118/AJ118))</f>
        <v>0</v>
      </c>
      <c r="AL118" s="99">
        <f t="shared" si="3"/>
        <v>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0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0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/>
      <c r="G125" s="94"/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0</v>
      </c>
      <c r="AK125" s="340">
        <f>IF(ISERR(AL125/AJ125),S!D123,(AL125/AJ125))</f>
        <v>0</v>
      </c>
      <c r="AL125" s="99">
        <f t="shared" si="3"/>
        <v>0</v>
      </c>
    </row>
    <row r="126" spans="1:38">
      <c r="A126" s="91">
        <v>122</v>
      </c>
      <c r="B126" s="92" t="s">
        <v>123</v>
      </c>
      <c r="C126" s="100" t="s">
        <v>31</v>
      </c>
      <c r="D126" s="272"/>
      <c r="E126" s="98"/>
      <c r="F126" s="272"/>
      <c r="G126" s="94"/>
      <c r="H126" s="95"/>
      <c r="I126" s="94"/>
      <c r="J126" s="93"/>
      <c r="K126" s="94"/>
      <c r="L126" s="95"/>
      <c r="M126" s="94"/>
      <c r="N126" s="93"/>
      <c r="O126" s="94"/>
      <c r="P126" s="95"/>
      <c r="Q126" s="96"/>
      <c r="R126" s="95"/>
      <c r="S126" s="237"/>
      <c r="T126" s="227"/>
      <c r="U126" s="237"/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0</v>
      </c>
      <c r="AK126" s="340">
        <f>IF(ISERR(AL126/AJ126),S!D124,(AL126/AJ126))</f>
        <v>0</v>
      </c>
      <c r="AL126" s="99">
        <f t="shared" si="3"/>
        <v>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0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/>
      <c r="E128" s="98"/>
      <c r="F128" s="272"/>
      <c r="G128" s="94"/>
      <c r="H128" s="95"/>
      <c r="I128" s="94"/>
      <c r="J128" s="93"/>
      <c r="K128" s="94"/>
      <c r="L128" s="95"/>
      <c r="M128" s="94"/>
      <c r="N128" s="93"/>
      <c r="O128" s="94"/>
      <c r="P128" s="95"/>
      <c r="Q128" s="96"/>
      <c r="R128" s="95"/>
      <c r="S128" s="237"/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0</v>
      </c>
      <c r="AK128" s="340">
        <f>IF(ISERR(AL128/AJ128),S!D126,(AL128/AJ128))</f>
        <v>0</v>
      </c>
      <c r="AL128" s="99">
        <f t="shared" si="3"/>
        <v>0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0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/>
      <c r="E130" s="98"/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0</v>
      </c>
      <c r="AK130" s="340">
        <f>IF(ISERR(AL130/AJ130),S!D128,(AL130/AJ130))</f>
        <v>0</v>
      </c>
      <c r="AL130" s="99">
        <f t="shared" si="3"/>
        <v>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0</v>
      </c>
      <c r="AK131" s="340">
        <f>IF(ISERR(AL131/AJ131),S!D129,(AL131/AJ131))</f>
        <v>0</v>
      </c>
      <c r="AL131" s="99">
        <f t="shared" si="3"/>
        <v>0</v>
      </c>
    </row>
    <row r="132" spans="1:38">
      <c r="A132" s="91">
        <v>128</v>
      </c>
      <c r="B132" s="92" t="s">
        <v>124</v>
      </c>
      <c r="C132" s="100" t="s">
        <v>9</v>
      </c>
      <c r="D132" s="272"/>
      <c r="E132" s="98"/>
      <c r="F132" s="272"/>
      <c r="G132" s="94"/>
      <c r="H132" s="95"/>
      <c r="I132" s="94"/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0</v>
      </c>
      <c r="AK132" s="340">
        <f>IF(ISERR(AL132/AJ132),S!D130,(AL132/AJ132))</f>
        <v>0</v>
      </c>
      <c r="AL132" s="99">
        <f t="shared" si="3"/>
        <v>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/>
      <c r="M135" s="94"/>
      <c r="N135" s="93"/>
      <c r="O135" s="94"/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0</v>
      </c>
      <c r="AK135" s="340">
        <f>IF(ISERR(AL135/AJ135),S!D133,(AL135/AJ135))</f>
        <v>0</v>
      </c>
      <c r="AL135" s="99">
        <f t="shared" si="5"/>
        <v>0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0</v>
      </c>
      <c r="AL136" s="99">
        <f t="shared" si="5"/>
        <v>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0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0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0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/>
      <c r="Q143" s="96"/>
      <c r="R143" s="95"/>
      <c r="S143" s="237"/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0</v>
      </c>
      <c r="AK143" s="340">
        <f>IF(ISERR(AL143/AJ143),S!D141,(AL143/AJ143))</f>
        <v>0</v>
      </c>
      <c r="AL143" s="99">
        <f t="shared" si="5"/>
        <v>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0</v>
      </c>
      <c r="AL144" s="99">
        <f t="shared" si="5"/>
        <v>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/>
      <c r="M145" s="94"/>
      <c r="N145" s="93"/>
      <c r="O145" s="94"/>
      <c r="P145" s="95"/>
      <c r="Q145" s="96"/>
      <c r="R145" s="95"/>
      <c r="S145" s="237"/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0</v>
      </c>
      <c r="AK145" s="340">
        <f>IF(ISERR(AL145/AJ145),S!D143,(AL145/AJ145))</f>
        <v>0</v>
      </c>
      <c r="AL145" s="99">
        <f t="shared" si="5"/>
        <v>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0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0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/>
      <c r="E152" s="94"/>
      <c r="F152" s="272"/>
      <c r="G152" s="94"/>
      <c r="H152" s="95"/>
      <c r="I152" s="94"/>
      <c r="J152" s="93"/>
      <c r="K152" s="94"/>
      <c r="L152" s="95"/>
      <c r="M152" s="94"/>
      <c r="N152" s="93"/>
      <c r="O152" s="94"/>
      <c r="P152" s="95"/>
      <c r="Q152" s="96"/>
      <c r="R152" s="95"/>
      <c r="S152" s="237"/>
      <c r="T152" s="227"/>
      <c r="U152" s="237"/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0</v>
      </c>
      <c r="AK152" s="340">
        <f>IF(ISERR(AL152/AJ152),S!D150,(AL152/AJ152))</f>
        <v>0</v>
      </c>
      <c r="AL152" s="99">
        <f t="shared" si="5"/>
        <v>0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0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/>
      <c r="G154" s="94"/>
      <c r="H154" s="95"/>
      <c r="I154" s="94"/>
      <c r="J154" s="93"/>
      <c r="K154" s="94"/>
      <c r="L154" s="95"/>
      <c r="M154" s="94"/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0</v>
      </c>
      <c r="AK154" s="340">
        <f>IF(ISERR(AL154/AJ154),S!D152,(AL154/AJ154))</f>
        <v>0</v>
      </c>
      <c r="AL154" s="99">
        <f t="shared" si="5"/>
        <v>0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/>
      <c r="K155" s="94"/>
      <c r="L155" s="95"/>
      <c r="M155" s="94"/>
      <c r="N155" s="93"/>
      <c r="O155" s="94"/>
      <c r="P155" s="95"/>
      <c r="Q155" s="96"/>
      <c r="R155" s="95"/>
      <c r="S155" s="237"/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0</v>
      </c>
      <c r="AK155" s="340">
        <f>IF(ISERR(AL155/AJ155),S!D153,(AL155/AJ155))</f>
        <v>0</v>
      </c>
      <c r="AL155" s="99">
        <f t="shared" si="5"/>
        <v>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0</v>
      </c>
      <c r="AK156" s="340">
        <f>IF(ISERR(AL156/AJ156),S!D154,(AL156/AJ156))</f>
        <v>0</v>
      </c>
      <c r="AL156" s="99">
        <f t="shared" si="5"/>
        <v>0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0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0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/>
      <c r="O162" s="94"/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0</v>
      </c>
      <c r="AK162" s="340">
        <f>IF(ISERR(AL162/AJ162),S!D160,(AL162/AJ162))</f>
        <v>0</v>
      </c>
      <c r="AL162" s="99">
        <f t="shared" si="5"/>
        <v>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/>
      <c r="K163" s="94"/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0</v>
      </c>
      <c r="AK163" s="340">
        <f>IF(ISERR(AL163/AJ163),S!D161,(AL163/AJ163))</f>
        <v>0</v>
      </c>
      <c r="AL163" s="99">
        <f t="shared" si="5"/>
        <v>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0</v>
      </c>
      <c r="AK170" s="340">
        <f>IF(ISERR(AL170/AJ170),S!D168,(AL170/AJ170))</f>
        <v>0</v>
      </c>
      <c r="AL170" s="99">
        <f t="shared" si="5"/>
        <v>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/>
      <c r="M171" s="94"/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0</v>
      </c>
      <c r="AK171" s="340">
        <f>IF(ISERR(AL171/AJ171),S!D169,(AL171/AJ171))</f>
        <v>0</v>
      </c>
      <c r="AL171" s="99">
        <f t="shared" si="5"/>
        <v>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/>
      <c r="I172" s="94"/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0</v>
      </c>
      <c r="AK172" s="340">
        <f>IF(ISERR(AL172/AJ172),S!D170,(AL172/AJ172))</f>
        <v>0</v>
      </c>
      <c r="AL172" s="99">
        <f t="shared" si="5"/>
        <v>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/>
      <c r="E179" s="98"/>
      <c r="F179" s="272"/>
      <c r="G179" s="94"/>
      <c r="H179" s="95"/>
      <c r="I179" s="94"/>
      <c r="J179" s="93"/>
      <c r="K179" s="94"/>
      <c r="L179" s="95"/>
      <c r="M179" s="94"/>
      <c r="N179" s="93"/>
      <c r="O179" s="94"/>
      <c r="P179" s="95"/>
      <c r="Q179" s="96"/>
      <c r="R179" s="95"/>
      <c r="S179" s="237"/>
      <c r="T179" s="227"/>
      <c r="U179" s="237"/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0</v>
      </c>
      <c r="AK179" s="340">
        <f>IF(ISERR(AL179/AJ179),S!D177,(AL179/AJ179))</f>
        <v>0</v>
      </c>
      <c r="AL179" s="99">
        <f t="shared" si="5"/>
        <v>0</v>
      </c>
    </row>
    <row r="180" spans="1:38">
      <c r="A180" s="91">
        <v>176</v>
      </c>
      <c r="B180" s="92" t="s">
        <v>308</v>
      </c>
      <c r="C180" s="100" t="s">
        <v>9</v>
      </c>
      <c r="D180" s="272"/>
      <c r="E180" s="98"/>
      <c r="F180" s="272"/>
      <c r="G180" s="94"/>
      <c r="H180" s="95"/>
      <c r="I180" s="94"/>
      <c r="J180" s="93"/>
      <c r="K180" s="94"/>
      <c r="L180" s="95"/>
      <c r="M180" s="94"/>
      <c r="N180" s="93"/>
      <c r="O180" s="94"/>
      <c r="P180" s="95"/>
      <c r="Q180" s="96"/>
      <c r="R180" s="95"/>
      <c r="S180" s="237"/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0</v>
      </c>
      <c r="AK180" s="340">
        <f>IF(ISERR(AL180/AJ180),S!D178,(AL180/AJ180))</f>
        <v>0</v>
      </c>
      <c r="AL180" s="99">
        <f t="shared" si="5"/>
        <v>0</v>
      </c>
    </row>
    <row r="181" spans="1:38">
      <c r="A181" s="91">
        <v>177</v>
      </c>
      <c r="B181" s="92" t="s">
        <v>157</v>
      </c>
      <c r="C181" s="100" t="s">
        <v>9</v>
      </c>
      <c r="D181" s="272"/>
      <c r="E181" s="98"/>
      <c r="F181" s="272"/>
      <c r="G181" s="94"/>
      <c r="H181" s="95"/>
      <c r="I181" s="94"/>
      <c r="J181" s="93"/>
      <c r="K181" s="94"/>
      <c r="L181" s="95"/>
      <c r="M181" s="94"/>
      <c r="N181" s="93"/>
      <c r="O181" s="94"/>
      <c r="P181" s="95"/>
      <c r="Q181" s="96"/>
      <c r="R181" s="95"/>
      <c r="S181" s="237"/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0</v>
      </c>
      <c r="AK181" s="340">
        <f>IF(ISERR(AL181/AJ181),S!D179,(AL181/AJ181))</f>
        <v>0</v>
      </c>
      <c r="AL181" s="99">
        <f t="shared" si="5"/>
        <v>0</v>
      </c>
    </row>
    <row r="182" spans="1:38">
      <c r="A182" s="91">
        <v>178</v>
      </c>
      <c r="B182" s="92" t="s">
        <v>394</v>
      </c>
      <c r="C182" s="100" t="s">
        <v>9</v>
      </c>
      <c r="D182" s="272"/>
      <c r="E182" s="98"/>
      <c r="F182" s="272"/>
      <c r="G182" s="94"/>
      <c r="H182" s="95"/>
      <c r="I182" s="94"/>
      <c r="J182" s="93"/>
      <c r="K182" s="94"/>
      <c r="L182" s="95"/>
      <c r="M182" s="94"/>
      <c r="N182" s="93"/>
      <c r="O182" s="94"/>
      <c r="P182" s="95"/>
      <c r="Q182" s="96"/>
      <c r="R182" s="95"/>
      <c r="S182" s="237"/>
      <c r="T182" s="227"/>
      <c r="U182" s="237"/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0</v>
      </c>
      <c r="AK182" s="340">
        <f>IF(ISERR(AL182/AJ182),S!D180,(AL182/AJ182))</f>
        <v>0</v>
      </c>
      <c r="AL182" s="99">
        <f t="shared" si="5"/>
        <v>0</v>
      </c>
    </row>
    <row r="183" spans="1:38">
      <c r="A183" s="91">
        <v>179</v>
      </c>
      <c r="B183" s="92" t="s">
        <v>317</v>
      </c>
      <c r="C183" s="100" t="s">
        <v>9</v>
      </c>
      <c r="D183" s="272"/>
      <c r="E183" s="98"/>
      <c r="F183" s="272"/>
      <c r="G183" s="94"/>
      <c r="H183" s="95"/>
      <c r="I183" s="94"/>
      <c r="J183" s="93"/>
      <c r="K183" s="94"/>
      <c r="L183" s="95"/>
      <c r="M183" s="94"/>
      <c r="N183" s="93"/>
      <c r="O183" s="94"/>
      <c r="P183" s="95"/>
      <c r="Q183" s="96"/>
      <c r="R183" s="95"/>
      <c r="S183" s="237"/>
      <c r="T183" s="227"/>
      <c r="U183" s="237"/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0</v>
      </c>
      <c r="AK183" s="340">
        <f>IF(ISERR(AL183/AJ183),S!D181,(AL183/AJ183))</f>
        <v>0</v>
      </c>
      <c r="AL183" s="99">
        <f t="shared" si="5"/>
        <v>0</v>
      </c>
    </row>
    <row r="184" spans="1:38">
      <c r="A184" s="91">
        <v>180</v>
      </c>
      <c r="B184" s="92" t="s">
        <v>159</v>
      </c>
      <c r="C184" s="100" t="s">
        <v>31</v>
      </c>
      <c r="D184" s="272"/>
      <c r="E184" s="98"/>
      <c r="F184" s="272"/>
      <c r="G184" s="94"/>
      <c r="H184" s="95"/>
      <c r="I184" s="94"/>
      <c r="J184" s="93"/>
      <c r="K184" s="94"/>
      <c r="L184" s="95"/>
      <c r="M184" s="94"/>
      <c r="N184" s="93"/>
      <c r="O184" s="94"/>
      <c r="P184" s="95"/>
      <c r="Q184" s="96"/>
      <c r="R184" s="95"/>
      <c r="S184" s="237"/>
      <c r="T184" s="227"/>
      <c r="U184" s="237"/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0</v>
      </c>
      <c r="AK184" s="340">
        <f>IF(ISERR(AL184/AJ184),S!D182,(AL184/AJ184))</f>
        <v>0</v>
      </c>
      <c r="AL184" s="99">
        <f t="shared" si="5"/>
        <v>0</v>
      </c>
    </row>
    <row r="185" spans="1:38">
      <c r="A185" s="91">
        <v>181</v>
      </c>
      <c r="B185" s="92" t="s">
        <v>160</v>
      </c>
      <c r="C185" s="100" t="s">
        <v>9</v>
      </c>
      <c r="D185" s="272"/>
      <c r="E185" s="98"/>
      <c r="F185" s="272"/>
      <c r="G185" s="94"/>
      <c r="H185" s="95"/>
      <c r="I185" s="94"/>
      <c r="J185" s="93"/>
      <c r="K185" s="94"/>
      <c r="L185" s="95"/>
      <c r="M185" s="94"/>
      <c r="N185" s="93"/>
      <c r="O185" s="94"/>
      <c r="P185" s="95"/>
      <c r="Q185" s="96"/>
      <c r="R185" s="95"/>
      <c r="S185" s="237"/>
      <c r="T185" s="227"/>
      <c r="U185" s="237"/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0</v>
      </c>
      <c r="AK185" s="340">
        <f>IF(ISERR(AL185/AJ185),S!D183,(AL185/AJ185))</f>
        <v>0</v>
      </c>
      <c r="AL185" s="99">
        <f t="shared" si="5"/>
        <v>0</v>
      </c>
    </row>
    <row r="186" spans="1:38">
      <c r="A186" s="91">
        <v>182</v>
      </c>
      <c r="B186" s="92" t="s">
        <v>161</v>
      </c>
      <c r="C186" s="100" t="s">
        <v>9</v>
      </c>
      <c r="D186" s="272"/>
      <c r="E186" s="98"/>
      <c r="F186" s="272"/>
      <c r="G186" s="94"/>
      <c r="H186" s="95"/>
      <c r="I186" s="94"/>
      <c r="J186" s="93"/>
      <c r="K186" s="94"/>
      <c r="L186" s="95"/>
      <c r="M186" s="94"/>
      <c r="N186" s="93"/>
      <c r="O186" s="94"/>
      <c r="P186" s="95"/>
      <c r="Q186" s="96"/>
      <c r="R186" s="95"/>
      <c r="S186" s="237"/>
      <c r="T186" s="227"/>
      <c r="U186" s="237"/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0</v>
      </c>
      <c r="AK186" s="340">
        <f>IF(ISERR(AL186/AJ186),S!D184,(AL186/AJ186))</f>
        <v>0</v>
      </c>
      <c r="AL186" s="99">
        <f t="shared" si="5"/>
        <v>0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/>
      <c r="G187" s="94"/>
      <c r="H187" s="95"/>
      <c r="I187" s="94"/>
      <c r="J187" s="93"/>
      <c r="K187" s="94"/>
      <c r="L187" s="95"/>
      <c r="M187" s="94"/>
      <c r="N187" s="93"/>
      <c r="O187" s="94"/>
      <c r="P187" s="95"/>
      <c r="Q187" s="96"/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0</v>
      </c>
      <c r="AK187" s="340">
        <f>IF(ISERR(AL187/AJ187),S!D185,(AL187/AJ187))</f>
        <v>0</v>
      </c>
      <c r="AL187" s="99">
        <f t="shared" si="5"/>
        <v>0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0</v>
      </c>
      <c r="AK188" s="340">
        <f>IF(ISERR(AL188/AJ188),S!D186,(AL188/AJ188))</f>
        <v>0</v>
      </c>
      <c r="AL188" s="99">
        <f t="shared" si="5"/>
        <v>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/>
      <c r="K189" s="94"/>
      <c r="L189" s="95"/>
      <c r="M189" s="94"/>
      <c r="N189" s="93"/>
      <c r="O189" s="94"/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0</v>
      </c>
      <c r="AK189" s="340">
        <f>IF(ISERR(AL189/AJ189),S!D187,(AL189/AJ189))</f>
        <v>0</v>
      </c>
      <c r="AL189" s="99">
        <f t="shared" si="5"/>
        <v>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/>
      <c r="I190" s="94"/>
      <c r="J190" s="93"/>
      <c r="K190" s="94"/>
      <c r="L190" s="95"/>
      <c r="M190" s="94"/>
      <c r="N190" s="93"/>
      <c r="O190" s="94"/>
      <c r="P190" s="95"/>
      <c r="Q190" s="96"/>
      <c r="R190" s="95"/>
      <c r="S190" s="237"/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0</v>
      </c>
      <c r="AK190" s="340">
        <f>IF(ISERR(AL190/AJ190),S!D188,(AL190/AJ190))</f>
        <v>0</v>
      </c>
      <c r="AL190" s="99">
        <f t="shared" si="5"/>
        <v>0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0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0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0</v>
      </c>
      <c r="AK193" s="340">
        <f>IF(ISERR(AL193/AJ193),S!D191,(AL193/AJ193))</f>
        <v>0</v>
      </c>
      <c r="AL193" s="99">
        <f t="shared" si="5"/>
        <v>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/>
      <c r="M195" s="94"/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0</v>
      </c>
      <c r="AK195" s="340">
        <f>IF(ISERR(AL195/AJ195),S!D193,(AL195/AJ195))</f>
        <v>0</v>
      </c>
      <c r="AL195" s="99">
        <f t="shared" si="5"/>
        <v>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/>
      <c r="I196" s="94"/>
      <c r="J196" s="93"/>
      <c r="K196" s="94"/>
      <c r="L196" s="95"/>
      <c r="M196" s="94"/>
      <c r="N196" s="93"/>
      <c r="O196" s="94"/>
      <c r="P196" s="95"/>
      <c r="Q196" s="96"/>
      <c r="R196" s="95"/>
      <c r="S196" s="237"/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0</v>
      </c>
      <c r="AK196" s="340">
        <f>IF(ISERR(AL196/AJ196),S!D194,(AL196/AJ196))</f>
        <v>0</v>
      </c>
      <c r="AL196" s="99">
        <f t="shared" si="5"/>
        <v>0</v>
      </c>
    </row>
    <row r="197" spans="1:38">
      <c r="A197" s="91">
        <v>193</v>
      </c>
      <c r="B197" s="92" t="s">
        <v>318</v>
      </c>
      <c r="C197" s="100" t="s">
        <v>9</v>
      </c>
      <c r="D197" s="272"/>
      <c r="E197" s="98"/>
      <c r="F197" s="272"/>
      <c r="G197" s="94"/>
      <c r="H197" s="95"/>
      <c r="I197" s="94"/>
      <c r="J197" s="93"/>
      <c r="K197" s="94"/>
      <c r="L197" s="95"/>
      <c r="M197" s="94"/>
      <c r="N197" s="93"/>
      <c r="O197" s="94"/>
      <c r="P197" s="95"/>
      <c r="Q197" s="96"/>
      <c r="R197" s="95"/>
      <c r="S197" s="237"/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0</v>
      </c>
      <c r="AK197" s="340">
        <f>IF(ISERR(AL197/AJ197),S!D195,(AL197/AJ197))</f>
        <v>0</v>
      </c>
      <c r="AL197" s="99">
        <f t="shared" si="5"/>
        <v>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/>
      <c r="E199" s="98"/>
      <c r="F199" s="272"/>
      <c r="G199" s="94"/>
      <c r="H199" s="95"/>
      <c r="I199" s="94"/>
      <c r="J199" s="93"/>
      <c r="K199" s="94"/>
      <c r="L199" s="95"/>
      <c r="M199" s="94"/>
      <c r="N199" s="93"/>
      <c r="O199" s="94"/>
      <c r="P199" s="95"/>
      <c r="Q199" s="96"/>
      <c r="R199" s="95"/>
      <c r="S199" s="237"/>
      <c r="T199" s="227"/>
      <c r="U199" s="237"/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0</v>
      </c>
      <c r="AK199" s="340">
        <f>IF(ISERR(AL199/AJ199),S!D197,(AL199/AJ199))</f>
        <v>0</v>
      </c>
      <c r="AL199" s="99">
        <f t="shared" si="7"/>
        <v>0</v>
      </c>
    </row>
    <row r="200" spans="1:38">
      <c r="A200" s="91">
        <v>196</v>
      </c>
      <c r="B200" s="92" t="s">
        <v>270</v>
      </c>
      <c r="C200" s="100" t="s">
        <v>9</v>
      </c>
      <c r="D200" s="272"/>
      <c r="E200" s="98"/>
      <c r="F200" s="272"/>
      <c r="G200" s="94"/>
      <c r="H200" s="95"/>
      <c r="I200" s="94"/>
      <c r="J200" s="93"/>
      <c r="K200" s="94"/>
      <c r="L200" s="95"/>
      <c r="M200" s="94"/>
      <c r="N200" s="93"/>
      <c r="O200" s="94"/>
      <c r="P200" s="95"/>
      <c r="Q200" s="96"/>
      <c r="R200" s="95"/>
      <c r="S200" s="237"/>
      <c r="T200" s="227"/>
      <c r="U200" s="237"/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0</v>
      </c>
      <c r="AK200" s="340">
        <f>IF(ISERR(AL200/AJ200),S!D198,(AL200/AJ200))</f>
        <v>0</v>
      </c>
      <c r="AL200" s="99">
        <f t="shared" si="7"/>
        <v>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</v>
      </c>
      <c r="AK201" s="340">
        <f>IF(ISERR(AL201/AJ201),S!D199,(AL201/AJ201))</f>
        <v>0</v>
      </c>
      <c r="AL201" s="99">
        <f t="shared" si="7"/>
        <v>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/>
      <c r="E205" s="98"/>
      <c r="F205" s="272"/>
      <c r="G205" s="94"/>
      <c r="H205" s="95"/>
      <c r="I205" s="94"/>
      <c r="J205" s="93"/>
      <c r="K205" s="94"/>
      <c r="L205" s="95"/>
      <c r="M205" s="94"/>
      <c r="N205" s="93"/>
      <c r="O205" s="94"/>
      <c r="P205" s="95"/>
      <c r="Q205" s="96"/>
      <c r="R205" s="95"/>
      <c r="S205" s="237"/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0</v>
      </c>
      <c r="AK205" s="340">
        <f>IF(ISERR(AL205/AJ205),S!D203,(AL205/AJ205))</f>
        <v>0</v>
      </c>
      <c r="AL205" s="99">
        <f t="shared" si="7"/>
        <v>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/>
      <c r="I206" s="94"/>
      <c r="J206" s="93"/>
      <c r="K206" s="94"/>
      <c r="L206" s="95"/>
      <c r="M206" s="94"/>
      <c r="N206" s="93"/>
      <c r="O206" s="94"/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0</v>
      </c>
      <c r="AK206" s="340">
        <f>IF(ISERR(AL206/AJ206),S!D204,(AL206/AJ206))</f>
        <v>0</v>
      </c>
      <c r="AL206" s="99">
        <f t="shared" si="7"/>
        <v>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/>
      <c r="I207" s="94"/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0</v>
      </c>
      <c r="AK207" s="340">
        <f>IF(ISERR(AL207/AJ207),S!D205,(AL207/AJ207))</f>
        <v>0</v>
      </c>
      <c r="AL207" s="99">
        <f t="shared" si="7"/>
        <v>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/>
      <c r="G208" s="94"/>
      <c r="H208" s="95"/>
      <c r="I208" s="94"/>
      <c r="J208" s="93"/>
      <c r="K208" s="94"/>
      <c r="L208" s="95"/>
      <c r="M208" s="94"/>
      <c r="N208" s="93"/>
      <c r="O208" s="94"/>
      <c r="P208" s="95"/>
      <c r="Q208" s="96"/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0</v>
      </c>
      <c r="AK208" s="340">
        <f>IF(ISERR(AL208/AJ208),S!D206,(AL208/AJ208))</f>
        <v>0</v>
      </c>
      <c r="AL208" s="99">
        <f t="shared" si="7"/>
        <v>0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/>
      <c r="Q209" s="96"/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0</v>
      </c>
      <c r="AK209" s="340">
        <f>IF(ISERR(AL209/AJ209),S!D207,(AL209/AJ209))</f>
        <v>0</v>
      </c>
      <c r="AL209" s="99">
        <f t="shared" si="7"/>
        <v>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0</v>
      </c>
      <c r="AK211" s="340">
        <f>IF(ISERR(AL211/AJ211),S!D209,(AL211/AJ211))</f>
        <v>0</v>
      </c>
      <c r="AL211" s="99">
        <f t="shared" si="7"/>
        <v>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0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/>
      <c r="E216" s="98"/>
      <c r="F216" s="272"/>
      <c r="G216" s="94"/>
      <c r="H216" s="95"/>
      <c r="I216" s="94"/>
      <c r="J216" s="93"/>
      <c r="K216" s="94"/>
      <c r="L216" s="95"/>
      <c r="M216" s="94"/>
      <c r="N216" s="93"/>
      <c r="O216" s="94"/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0</v>
      </c>
      <c r="AK216" s="340">
        <f>IF(ISERR(AL216/AJ216),S!D214,(AL216/AJ216))</f>
        <v>0</v>
      </c>
      <c r="AL216" s="99">
        <f t="shared" si="7"/>
        <v>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0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0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0</v>
      </c>
      <c r="AL230" s="99">
        <f t="shared" si="7"/>
        <v>0</v>
      </c>
    </row>
    <row r="231" spans="1:38">
      <c r="A231" s="91">
        <v>227</v>
      </c>
      <c r="B231" s="92" t="s">
        <v>279</v>
      </c>
      <c r="C231" s="100" t="s">
        <v>9</v>
      </c>
      <c r="D231" s="272"/>
      <c r="E231" s="98"/>
      <c r="F231" s="272"/>
      <c r="G231" s="94"/>
      <c r="H231" s="95"/>
      <c r="I231" s="94"/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0</v>
      </c>
      <c r="AK231" s="340">
        <f>IF(ISERR(AL231/AJ231),S!D229,(AL231/AJ231))</f>
        <v>0</v>
      </c>
      <c r="AL231" s="99">
        <f t="shared" si="7"/>
        <v>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0</v>
      </c>
      <c r="AK232" s="340">
        <f>IF(ISERR(AL232/AJ232),S!D230,(AL232/AJ232))</f>
        <v>0</v>
      </c>
      <c r="AL232" s="99">
        <f t="shared" si="7"/>
        <v>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0</v>
      </c>
      <c r="AK233" s="340">
        <f>IF(ISERR(AL233/AJ233),S!D231,(AL233/AJ233))</f>
        <v>0</v>
      </c>
      <c r="AL233" s="99">
        <f t="shared" si="7"/>
        <v>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/>
      <c r="G234" s="94"/>
      <c r="H234" s="95"/>
      <c r="I234" s="94"/>
      <c r="J234" s="93"/>
      <c r="K234" s="94"/>
      <c r="L234" s="95"/>
      <c r="M234" s="94"/>
      <c r="N234" s="93"/>
      <c r="O234" s="94"/>
      <c r="P234" s="95"/>
      <c r="Q234" s="96"/>
      <c r="R234" s="95"/>
      <c r="S234" s="237"/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0</v>
      </c>
      <c r="AK234" s="340">
        <f>IF(ISERR(AL234/AJ234),S!D232,(AL234/AJ234))</f>
        <v>0</v>
      </c>
      <c r="AL234" s="99">
        <f t="shared" si="7"/>
        <v>0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0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0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0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/>
      <c r="E245" s="98"/>
      <c r="F245" s="272"/>
      <c r="G245" s="94"/>
      <c r="H245" s="95"/>
      <c r="I245" s="94"/>
      <c r="J245" s="93"/>
      <c r="K245" s="94"/>
      <c r="L245" s="95"/>
      <c r="M245" s="94"/>
      <c r="N245" s="93"/>
      <c r="O245" s="94"/>
      <c r="P245" s="95"/>
      <c r="Q245" s="96"/>
      <c r="R245" s="95"/>
      <c r="S245" s="237"/>
      <c r="T245" s="227"/>
      <c r="U245" s="237"/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0</v>
      </c>
      <c r="AK245" s="340">
        <f>IF(ISERR(AL245/AJ245),S!D243,(AL245/AJ245))</f>
        <v>0</v>
      </c>
      <c r="AL245" s="99">
        <f t="shared" si="7"/>
        <v>0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0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0</v>
      </c>
      <c r="AK247" s="340">
        <f>IF(ISERR(AL247/AJ247),S!D245,(AL247/AJ247))</f>
        <v>0</v>
      </c>
      <c r="AL247" s="99">
        <f t="shared" si="7"/>
        <v>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0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0</v>
      </c>
      <c r="E249" s="360">
        <f>D249</f>
        <v>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0</v>
      </c>
      <c r="M249" s="360">
        <f>M!C58</f>
        <v>0</v>
      </c>
      <c r="N249" s="359">
        <f>M!C69</f>
        <v>0</v>
      </c>
      <c r="O249" s="360">
        <f>N249</f>
        <v>0</v>
      </c>
      <c r="P249" s="359">
        <f>M!C83</f>
        <v>0</v>
      </c>
      <c r="Q249" s="360">
        <f>P249</f>
        <v>0</v>
      </c>
      <c r="R249" s="359">
        <f>M!C99</f>
        <v>0</v>
      </c>
      <c r="S249" s="360">
        <f>R249</f>
        <v>0</v>
      </c>
      <c r="T249" s="359">
        <f>M!C115</f>
        <v>0</v>
      </c>
      <c r="U249" s="360">
        <f>T249</f>
        <v>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0</v>
      </c>
      <c r="AK249" s="360">
        <f>IF(ISERR(AL249/AJ249),S!D247,(AL249/AJ249))</f>
        <v>0</v>
      </c>
      <c r="AL249" s="361">
        <f t="shared" si="7"/>
        <v>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0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0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/>
      <c r="E252" s="98"/>
      <c r="F252" s="272"/>
      <c r="G252" s="94"/>
      <c r="H252" s="95"/>
      <c r="I252" s="94"/>
      <c r="J252" s="93"/>
      <c r="K252" s="94"/>
      <c r="L252" s="95"/>
      <c r="M252" s="94"/>
      <c r="N252" s="93"/>
      <c r="O252" s="94"/>
      <c r="P252" s="95"/>
      <c r="Q252" s="96"/>
      <c r="R252" s="95"/>
      <c r="S252" s="237"/>
      <c r="T252" s="227"/>
      <c r="U252" s="237"/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0</v>
      </c>
      <c r="AK252" s="340">
        <f>IF(ISERR(AL252/AJ252),S!D250,(AL252/AJ252))</f>
        <v>0</v>
      </c>
      <c r="AL252" s="99">
        <f t="shared" si="7"/>
        <v>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/>
      <c r="E253" s="98"/>
      <c r="F253" s="272"/>
      <c r="G253" s="94"/>
      <c r="H253" s="95"/>
      <c r="I253" s="94"/>
      <c r="J253" s="93"/>
      <c r="K253" s="94"/>
      <c r="L253" s="95"/>
      <c r="M253" s="94"/>
      <c r="N253" s="93"/>
      <c r="O253" s="94"/>
      <c r="P253" s="95"/>
      <c r="Q253" s="96"/>
      <c r="R253" s="95"/>
      <c r="S253" s="237"/>
      <c r="T253" s="227"/>
      <c r="U253" s="237"/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0</v>
      </c>
      <c r="AK253" s="340">
        <f>IF(ISERR(AL253/AJ253),S!D251,(AL253/AJ253))</f>
        <v>0</v>
      </c>
      <c r="AL253" s="99">
        <f t="shared" si="7"/>
        <v>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/>
      <c r="E254" s="113"/>
      <c r="F254" s="272"/>
      <c r="G254" s="94"/>
      <c r="H254" s="95"/>
      <c r="I254" s="94"/>
      <c r="J254" s="93"/>
      <c r="K254" s="94"/>
      <c r="L254" s="95"/>
      <c r="M254" s="94"/>
      <c r="N254" s="93"/>
      <c r="O254" s="94"/>
      <c r="P254" s="95"/>
      <c r="Q254" s="96"/>
      <c r="R254" s="240"/>
      <c r="S254" s="239"/>
      <c r="T254" s="236"/>
      <c r="U254" s="238"/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0</v>
      </c>
      <c r="AK254" s="340">
        <f>IF(ISERR(AL254/AJ254),S!D252,(AL254/AJ254))</f>
        <v>0</v>
      </c>
      <c r="AL254" s="99">
        <f t="shared" si="7"/>
        <v>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0</v>
      </c>
      <c r="AM256" s="110"/>
      <c r="AN256" s="110"/>
      <c r="AO256" s="100"/>
    </row>
    <row r="257" spans="18:41">
      <c r="R257" s="464"/>
      <c r="S257" s="464"/>
      <c r="T257" s="464"/>
      <c r="U257" s="464"/>
      <c r="V257" s="464"/>
      <c r="W257" s="464"/>
      <c r="X257" s="464"/>
      <c r="Y257" s="464"/>
      <c r="Z257" s="464"/>
      <c r="AA257" s="464"/>
      <c r="AB257" s="464"/>
      <c r="AC257" s="464"/>
      <c r="AD257" s="464"/>
      <c r="AE257" s="464"/>
      <c r="AF257" s="464"/>
      <c r="AG257" s="464"/>
      <c r="AH257" s="464"/>
      <c r="AI257" s="464"/>
      <c r="AJ257" s="464"/>
      <c r="AK257" s="464"/>
      <c r="AL257" s="465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162" activePane="bottomRight" state="frozen"/>
      <selection pane="topRight" activeCell="L1" sqref="L1"/>
      <selection pane="bottomLeft" activeCell="A3" sqref="A3"/>
      <selection pane="bottomRight" activeCell="B104" sqref="B104:C106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0</v>
      </c>
    </row>
    <row r="2" spans="1:29">
      <c r="D2" s="499" t="s">
        <v>504</v>
      </c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499"/>
      <c r="R2" s="499"/>
      <c r="S2" s="499"/>
      <c r="T2" s="499"/>
      <c r="U2" s="499"/>
      <c r="V2" s="499"/>
      <c r="W2" s="499"/>
      <c r="X2" s="499"/>
      <c r="Y2" s="499"/>
      <c r="Z2" s="499"/>
      <c r="AA2" s="499"/>
      <c r="AB2" s="499"/>
      <c r="AC2" s="499"/>
    </row>
    <row r="3" spans="1:29">
      <c r="A3" s="11"/>
      <c r="B3" s="211">
        <f>P!D3</f>
        <v>45972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/>
      <c r="C5" s="16"/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45973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45974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8"/>
      <c r="Q35" s="498"/>
      <c r="R35" s="498"/>
      <c r="S35" s="498"/>
      <c r="T35" s="498"/>
      <c r="U35" s="498"/>
      <c r="V35" s="498"/>
      <c r="W35" s="498"/>
      <c r="X35" s="498"/>
      <c r="Y35" s="498"/>
      <c r="Z35" s="498"/>
      <c r="AA35" s="498"/>
      <c r="AB35" s="498"/>
      <c r="AC35" s="498"/>
      <c r="AD35" s="498"/>
      <c r="AE35" s="498"/>
      <c r="AF35" s="498"/>
      <c r="AG35" s="498"/>
      <c r="AH35" s="498"/>
      <c r="AI35" s="498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45975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45976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/>
      <c r="C52" s="16"/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45977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/>
      <c r="C63" s="16"/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45978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/>
      <c r="C74" s="16"/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45979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/>
      <c r="C88" s="16"/>
      <c r="D88"/>
      <c r="E88"/>
      <c r="F88"/>
      <c r="G88"/>
      <c r="H88"/>
    </row>
    <row r="89" spans="1:8">
      <c r="A89" s="21">
        <v>2</v>
      </c>
      <c r="B89" s="11"/>
      <c r="C89" s="16"/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45980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45981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45982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45983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45984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45985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45986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45987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0" t="s">
        <v>235</v>
      </c>
      <c r="B1" s="500"/>
      <c r="C1" s="500"/>
      <c r="H1" s="127">
        <f>P!D3</f>
        <v>45972</v>
      </c>
    </row>
    <row r="2" spans="1:8" ht="27.75" customHeight="1">
      <c r="A2" s="501" t="s">
        <v>474</v>
      </c>
      <c r="B2" s="502"/>
      <c r="C2" s="503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0</v>
      </c>
      <c r="B4" s="355"/>
      <c r="C4" s="169"/>
      <c r="D4" s="130">
        <f>C4</f>
        <v>0</v>
      </c>
      <c r="E4" s="132">
        <f>SUM($D$3:D4)</f>
        <v>0</v>
      </c>
      <c r="F4" s="133">
        <f>A4</f>
        <v>0</v>
      </c>
    </row>
    <row r="5" spans="1:8">
      <c r="A5" s="153">
        <f>SUBTOTAL(103,B$4:B5)</f>
        <v>0</v>
      </c>
      <c r="B5" s="355"/>
      <c r="C5" s="169"/>
      <c r="D5" s="130">
        <f t="shared" ref="D5:D12" si="0">C5</f>
        <v>0</v>
      </c>
      <c r="E5" s="132">
        <f>SUM($D$3:D5)</f>
        <v>0</v>
      </c>
      <c r="F5" s="133">
        <f t="shared" ref="F5:F48" si="1">A5</f>
        <v>0</v>
      </c>
    </row>
    <row r="6" spans="1:8">
      <c r="A6" s="153">
        <f>SUBTOTAL(103,B$4:B6)</f>
        <v>0</v>
      </c>
      <c r="B6" s="355"/>
      <c r="C6" s="169"/>
      <c r="D6" s="130">
        <f t="shared" si="0"/>
        <v>0</v>
      </c>
      <c r="E6" s="132">
        <f>SUM($D$3:D6)</f>
        <v>0</v>
      </c>
      <c r="F6" s="133">
        <f t="shared" si="1"/>
        <v>0</v>
      </c>
    </row>
    <row r="7" spans="1:8">
      <c r="A7" s="153">
        <f>SUBTOTAL(103,B$4:B7)</f>
        <v>0</v>
      </c>
      <c r="B7" s="355"/>
      <c r="C7" s="169"/>
      <c r="D7" s="130">
        <f t="shared" si="0"/>
        <v>0</v>
      </c>
      <c r="E7" s="132">
        <f>SUM($D$3:D7)</f>
        <v>0</v>
      </c>
      <c r="F7" s="133">
        <f t="shared" si="1"/>
        <v>0</v>
      </c>
    </row>
    <row r="8" spans="1:8">
      <c r="A8" s="153">
        <f>SUBTOTAL(103,B$4:B8)</f>
        <v>0</v>
      </c>
      <c r="B8" s="355"/>
      <c r="C8" s="169"/>
      <c r="D8" s="130">
        <f t="shared" si="0"/>
        <v>0</v>
      </c>
      <c r="E8" s="132">
        <f>SUM($D$3:D8)</f>
        <v>0</v>
      </c>
      <c r="F8" s="133">
        <f t="shared" si="1"/>
        <v>0</v>
      </c>
    </row>
    <row r="9" spans="1:8">
      <c r="A9" s="153">
        <f>SUBTOTAL(103,B$4:B9)</f>
        <v>0</v>
      </c>
      <c r="B9" s="355"/>
      <c r="C9" s="169"/>
      <c r="D9" s="130">
        <f t="shared" si="0"/>
        <v>0</v>
      </c>
      <c r="E9" s="132">
        <f>SUM($D$3:D9)</f>
        <v>0</v>
      </c>
      <c r="F9" s="133">
        <f t="shared" si="1"/>
        <v>0</v>
      </c>
    </row>
    <row r="10" spans="1:8">
      <c r="A10" s="153">
        <f>SUBTOTAL(103,B$4:B10)</f>
        <v>0</v>
      </c>
      <c r="B10" s="355"/>
      <c r="C10" s="169"/>
      <c r="D10" s="130">
        <f t="shared" si="0"/>
        <v>0</v>
      </c>
      <c r="E10" s="132">
        <f>SUM($D$3:D10)</f>
        <v>0</v>
      </c>
      <c r="F10" s="133">
        <f t="shared" si="1"/>
        <v>0</v>
      </c>
    </row>
    <row r="11" spans="1:8">
      <c r="A11" s="153">
        <f>SUBTOTAL(103,B$4:B11)</f>
        <v>0</v>
      </c>
      <c r="B11" s="355"/>
      <c r="C11" s="169"/>
      <c r="D11" s="130">
        <f t="shared" si="0"/>
        <v>0</v>
      </c>
      <c r="E11" s="132">
        <f>SUM($D$3:D11)</f>
        <v>0</v>
      </c>
      <c r="F11" s="133">
        <f t="shared" si="1"/>
        <v>0</v>
      </c>
    </row>
    <row r="12" spans="1:8">
      <c r="A12" s="153">
        <f>SUBTOTAL(103,B$4:B12)</f>
        <v>0</v>
      </c>
      <c r="B12" s="126"/>
      <c r="C12" s="169"/>
      <c r="D12" s="130">
        <f t="shared" si="0"/>
        <v>0</v>
      </c>
      <c r="E12" s="132">
        <f>SUM($D$3:D12)</f>
        <v>0</v>
      </c>
      <c r="F12" s="133" t="s">
        <v>306</v>
      </c>
    </row>
    <row r="13" spans="1:8">
      <c r="A13" s="153">
        <f>SUBTOTAL(103,B$4:B13)</f>
        <v>0</v>
      </c>
      <c r="B13" s="126"/>
      <c r="C13" s="169"/>
      <c r="D13" s="130">
        <f t="shared" ref="D13:D48" si="2">C13</f>
        <v>0</v>
      </c>
      <c r="E13" s="132">
        <f>SUM($D$3:D13)</f>
        <v>0</v>
      </c>
      <c r="F13" s="133">
        <f t="shared" si="1"/>
        <v>0</v>
      </c>
    </row>
    <row r="14" spans="1:8">
      <c r="A14" s="153">
        <f>SUBTOTAL(103,B$4:B14)</f>
        <v>0</v>
      </c>
      <c r="B14" s="126"/>
      <c r="C14" s="169"/>
      <c r="D14" s="130">
        <f t="shared" si="2"/>
        <v>0</v>
      </c>
      <c r="E14" s="132">
        <f>SUM($D$3:D14)</f>
        <v>0</v>
      </c>
      <c r="F14" s="133">
        <f t="shared" si="1"/>
        <v>0</v>
      </c>
    </row>
    <row r="15" spans="1:8">
      <c r="A15" s="153">
        <f>SUBTOTAL(103,B$4:B15)</f>
        <v>0</v>
      </c>
      <c r="B15" s="170"/>
      <c r="C15" s="136"/>
      <c r="D15" s="130">
        <f t="shared" si="2"/>
        <v>0</v>
      </c>
      <c r="E15" s="132">
        <f>SUM($D$3:D15)</f>
        <v>0</v>
      </c>
      <c r="F15" s="133">
        <f t="shared" si="1"/>
        <v>0</v>
      </c>
    </row>
    <row r="16" spans="1:8">
      <c r="A16" s="153">
        <f>SUBTOTAL(103,B$4:B16)</f>
        <v>0</v>
      </c>
      <c r="B16" s="126"/>
      <c r="C16" s="169"/>
      <c r="D16" s="130">
        <f t="shared" si="2"/>
        <v>0</v>
      </c>
      <c r="E16" s="132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70"/>
      <c r="C17" s="169"/>
      <c r="D17" s="130">
        <f t="shared" si="2"/>
        <v>0</v>
      </c>
      <c r="E17" s="132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30">
        <f t="shared" si="2"/>
        <v>0</v>
      </c>
      <c r="E18" s="132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32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32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81"/>
      <c r="C21" s="169"/>
      <c r="D21" s="130">
        <f t="shared" si="2"/>
        <v>0</v>
      </c>
      <c r="E21" s="132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81"/>
      <c r="C22" s="169"/>
      <c r="D22" s="130">
        <f t="shared" si="2"/>
        <v>0</v>
      </c>
      <c r="E22" s="132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281"/>
      <c r="C23" s="169"/>
      <c r="D23" s="130">
        <f t="shared" si="2"/>
        <v>0</v>
      </c>
      <c r="E23" s="132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281"/>
      <c r="C24" s="169"/>
      <c r="D24" s="130">
        <f t="shared" si="2"/>
        <v>0</v>
      </c>
      <c r="E24" s="132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281"/>
      <c r="C25" s="169"/>
      <c r="D25" s="130">
        <f t="shared" si="2"/>
        <v>0</v>
      </c>
      <c r="E25" s="132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281"/>
      <c r="C26" s="169"/>
      <c r="D26" s="130">
        <f t="shared" si="2"/>
        <v>0</v>
      </c>
      <c r="E26" s="132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281"/>
      <c r="C27" s="169"/>
      <c r="D27" s="130">
        <f t="shared" si="2"/>
        <v>0</v>
      </c>
      <c r="E27" s="132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281"/>
      <c r="C28" s="169"/>
      <c r="D28" s="130">
        <f t="shared" si="2"/>
        <v>0</v>
      </c>
      <c r="E28" s="132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281"/>
      <c r="C29" s="169"/>
      <c r="D29" s="130">
        <f t="shared" si="2"/>
        <v>0</v>
      </c>
      <c r="E29" s="132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281"/>
      <c r="C30" s="169"/>
      <c r="D30" s="130">
        <f t="shared" si="2"/>
        <v>0</v>
      </c>
      <c r="E30" s="132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281"/>
      <c r="C31" s="169"/>
      <c r="D31" s="130">
        <f t="shared" si="2"/>
        <v>0</v>
      </c>
      <c r="E31" s="132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32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32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32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32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32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32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281"/>
      <c r="C38" s="169"/>
      <c r="D38" s="130">
        <f t="shared" si="2"/>
        <v>0</v>
      </c>
      <c r="E38" s="132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281"/>
      <c r="C39" s="169"/>
      <c r="D39" s="130">
        <f t="shared" si="2"/>
        <v>0</v>
      </c>
      <c r="E39" s="132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32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32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32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32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32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32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32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32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126"/>
      <c r="C48" s="169"/>
      <c r="D48" s="130">
        <f t="shared" si="2"/>
        <v>0</v>
      </c>
      <c r="E48" s="132">
        <f>SUM($D$3:D48)</f>
        <v>0</v>
      </c>
      <c r="F48" s="133">
        <f t="shared" si="1"/>
        <v>0</v>
      </c>
    </row>
    <row r="49" spans="1:5">
      <c r="A49" s="134"/>
      <c r="B49" s="135" t="s">
        <v>233</v>
      </c>
      <c r="C49" s="136">
        <f>SUM(C4:C48)</f>
        <v>0</v>
      </c>
      <c r="D49" s="137"/>
      <c r="E49" s="138"/>
    </row>
    <row r="50" spans="1:5">
      <c r="A50" s="504" t="s">
        <v>490</v>
      </c>
      <c r="B50" s="505"/>
      <c r="C50" s="506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7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0" t="s">
        <v>235</v>
      </c>
      <c r="B1" s="500"/>
      <c r="C1" s="500"/>
      <c r="F1" s="127">
        <f>P!F3</f>
        <v>45973</v>
      </c>
    </row>
    <row r="2" spans="1:8" ht="31.5" customHeight="1">
      <c r="A2" s="507" t="s">
        <v>475</v>
      </c>
      <c r="B2" s="507"/>
      <c r="C2" s="507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0</v>
      </c>
      <c r="B4" s="273"/>
      <c r="C4" s="169"/>
      <c r="D4" s="178">
        <f>C4</f>
        <v>0</v>
      </c>
      <c r="E4" s="169">
        <f>SUM($D$3:D4)</f>
        <v>0</v>
      </c>
      <c r="F4" s="133">
        <f>A4</f>
        <v>0</v>
      </c>
      <c r="G4"/>
      <c r="H4"/>
    </row>
    <row r="5" spans="1:8" ht="19.5">
      <c r="A5" s="153">
        <f>SUBTOTAL(103,B$4:B5)</f>
        <v>0</v>
      </c>
      <c r="B5" s="273"/>
      <c r="C5" s="169"/>
      <c r="D5" s="178">
        <f t="shared" ref="D5:D50" si="0">C5</f>
        <v>0</v>
      </c>
      <c r="E5" s="169">
        <f>SUM($D$3:D5)</f>
        <v>0</v>
      </c>
      <c r="F5" s="133">
        <f t="shared" ref="F5:F50" si="1">A5</f>
        <v>0</v>
      </c>
      <c r="G5"/>
      <c r="H5"/>
    </row>
    <row r="6" spans="1:8" ht="19.5">
      <c r="A6" s="153">
        <f>SUBTOTAL(103,B$4:B6)</f>
        <v>0</v>
      </c>
      <c r="B6" s="273"/>
      <c r="C6" s="169"/>
      <c r="D6" s="178">
        <f t="shared" si="0"/>
        <v>0</v>
      </c>
      <c r="E6" s="169">
        <f>SUM($D$3:D6)</f>
        <v>0</v>
      </c>
      <c r="F6" s="133">
        <f t="shared" si="1"/>
        <v>0</v>
      </c>
      <c r="G6"/>
      <c r="H6"/>
    </row>
    <row r="7" spans="1:8" ht="19.5">
      <c r="A7" s="153">
        <f>SUBTOTAL(103,B$4:B7)</f>
        <v>0</v>
      </c>
      <c r="B7" s="273"/>
      <c r="C7" s="169"/>
      <c r="D7" s="178">
        <f t="shared" si="0"/>
        <v>0</v>
      </c>
      <c r="E7" s="169">
        <f>SUM($D$3:D7)</f>
        <v>0</v>
      </c>
      <c r="F7" s="133">
        <f t="shared" si="1"/>
        <v>0</v>
      </c>
      <c r="G7"/>
      <c r="H7"/>
    </row>
    <row r="8" spans="1:8" ht="19.5">
      <c r="A8" s="153">
        <f>SUBTOTAL(103,B$4:B8)</f>
        <v>0</v>
      </c>
      <c r="B8" s="273"/>
      <c r="C8" s="169"/>
      <c r="D8" s="178">
        <f t="shared" si="0"/>
        <v>0</v>
      </c>
      <c r="E8" s="169">
        <f>SUM($D$3:D8)</f>
        <v>0</v>
      </c>
      <c r="F8" s="133">
        <f t="shared" si="1"/>
        <v>0</v>
      </c>
      <c r="G8"/>
      <c r="H8"/>
    </row>
    <row r="9" spans="1:8" ht="19.5">
      <c r="A9" s="153">
        <f>SUBTOTAL(103,B$4:B9)</f>
        <v>0</v>
      </c>
      <c r="B9" s="273"/>
      <c r="C9" s="169"/>
      <c r="D9" s="178">
        <f t="shared" si="0"/>
        <v>0</v>
      </c>
      <c r="E9" s="169">
        <f>SUM($D$3:D9)</f>
        <v>0</v>
      </c>
      <c r="F9" s="133">
        <f t="shared" si="1"/>
        <v>0</v>
      </c>
      <c r="G9"/>
      <c r="H9"/>
    </row>
    <row r="10" spans="1:8" ht="19.5">
      <c r="A10" s="153">
        <f>SUBTOTAL(103,B$4:B10)</f>
        <v>0</v>
      </c>
      <c r="B10" s="273"/>
      <c r="C10" s="169"/>
      <c r="D10" s="178">
        <f t="shared" si="0"/>
        <v>0</v>
      </c>
      <c r="E10" s="169">
        <f>SUM($D$3:D10)</f>
        <v>0</v>
      </c>
      <c r="F10" s="133">
        <f t="shared" si="1"/>
        <v>0</v>
      </c>
      <c r="G10"/>
      <c r="H10"/>
    </row>
    <row r="11" spans="1:8" ht="19.5">
      <c r="A11" s="153">
        <f>SUBTOTAL(103,B$4:B11)</f>
        <v>0</v>
      </c>
      <c r="B11" s="255"/>
      <c r="C11" s="169"/>
      <c r="D11" s="178">
        <f t="shared" si="0"/>
        <v>0</v>
      </c>
      <c r="E11" s="169">
        <f>SUM($D$3:D11)</f>
        <v>0</v>
      </c>
      <c r="F11" s="133">
        <f t="shared" si="1"/>
        <v>0</v>
      </c>
    </row>
    <row r="12" spans="1:8" ht="19.5">
      <c r="A12" s="153">
        <f>SUBTOTAL(103,B$4:B12)</f>
        <v>0</v>
      </c>
      <c r="B12" s="255"/>
      <c r="C12" s="169"/>
      <c r="D12" s="178">
        <f t="shared" si="0"/>
        <v>0</v>
      </c>
      <c r="E12" s="169">
        <f>SUM($D$3:D12)</f>
        <v>0</v>
      </c>
      <c r="F12" s="133">
        <f t="shared" si="1"/>
        <v>0</v>
      </c>
    </row>
    <row r="13" spans="1:8" ht="19.5">
      <c r="A13" s="153">
        <f>SUBTOTAL(103,B$4:B13)</f>
        <v>0</v>
      </c>
      <c r="B13" s="255"/>
      <c r="C13" s="169"/>
      <c r="D13" s="178">
        <f t="shared" si="0"/>
        <v>0</v>
      </c>
      <c r="E13" s="169">
        <f>SUM($D$3:D13)</f>
        <v>0</v>
      </c>
      <c r="F13" s="133">
        <f t="shared" si="1"/>
        <v>0</v>
      </c>
    </row>
    <row r="14" spans="1:8" ht="19.5">
      <c r="A14" s="153">
        <f>SUBTOTAL(103,B$4:B14)</f>
        <v>0</v>
      </c>
      <c r="B14" s="171"/>
      <c r="C14" s="169"/>
      <c r="D14" s="178">
        <f t="shared" si="0"/>
        <v>0</v>
      </c>
      <c r="E14" s="169">
        <f>SUM($D$3:D14)</f>
        <v>0</v>
      </c>
      <c r="F14" s="133">
        <f t="shared" si="1"/>
        <v>0</v>
      </c>
    </row>
    <row r="15" spans="1:8" ht="19.5">
      <c r="A15" s="153">
        <f>SUBTOTAL(103,B$4:B15)</f>
        <v>0</v>
      </c>
      <c r="B15" s="171"/>
      <c r="C15" s="169"/>
      <c r="D15" s="178">
        <f t="shared" si="0"/>
        <v>0</v>
      </c>
      <c r="E15" s="169">
        <f>SUM($D$3:D15)</f>
        <v>0</v>
      </c>
      <c r="F15" s="133">
        <f t="shared" si="1"/>
        <v>0</v>
      </c>
    </row>
    <row r="16" spans="1:8" ht="19.5">
      <c r="A16" s="153">
        <f>SUBTOTAL(103,B$4:B16)</f>
        <v>0</v>
      </c>
      <c r="B16" s="171"/>
      <c r="C16" s="169"/>
      <c r="D16" s="178">
        <f t="shared" si="0"/>
        <v>0</v>
      </c>
      <c r="E16" s="169">
        <f>SUM($D$3:D16)</f>
        <v>0</v>
      </c>
      <c r="F16" s="133">
        <f t="shared" si="1"/>
        <v>0</v>
      </c>
    </row>
    <row r="17" spans="1:6" ht="18.75" customHeight="1">
      <c r="A17" s="153">
        <f>SUBTOTAL(103,B$4:B17)</f>
        <v>0</v>
      </c>
      <c r="B17" s="171"/>
      <c r="C17" s="169"/>
      <c r="D17" s="178">
        <f t="shared" si="0"/>
        <v>0</v>
      </c>
      <c r="E17" s="169">
        <f>SUM($D$3:D17)</f>
        <v>0</v>
      </c>
      <c r="F17" s="133">
        <f t="shared" si="1"/>
        <v>0</v>
      </c>
    </row>
    <row r="18" spans="1:6" ht="19.5">
      <c r="A18" s="153">
        <f>SUBTOTAL(103,B$4:B18)</f>
        <v>0</v>
      </c>
      <c r="B18" s="169"/>
      <c r="C18" s="169"/>
      <c r="D18" s="178">
        <f t="shared" si="0"/>
        <v>0</v>
      </c>
      <c r="E18" s="169">
        <f>SUM($D$3:D18)</f>
        <v>0</v>
      </c>
      <c r="F18" s="133">
        <f t="shared" si="1"/>
        <v>0</v>
      </c>
    </row>
    <row r="19" spans="1:6" ht="19.5">
      <c r="A19" s="153">
        <f>SUBTOTAL(103,B$4:B19)</f>
        <v>0</v>
      </c>
      <c r="B19" s="171"/>
      <c r="C19" s="169"/>
      <c r="D19" s="178">
        <f t="shared" si="0"/>
        <v>0</v>
      </c>
      <c r="E19" s="169">
        <f>SUM($D$3:D19)</f>
        <v>0</v>
      </c>
      <c r="F19" s="133">
        <f t="shared" si="1"/>
        <v>0</v>
      </c>
    </row>
    <row r="20" spans="1:6" ht="19.5">
      <c r="A20" s="153">
        <f>SUBTOTAL(103,B$4:B20)</f>
        <v>0</v>
      </c>
      <c r="B20" s="165"/>
      <c r="C20" s="169"/>
      <c r="D20" s="178">
        <f t="shared" si="0"/>
        <v>0</v>
      </c>
      <c r="E20" s="169">
        <f>SUM($D$3:D20)</f>
        <v>0</v>
      </c>
      <c r="F20" s="133">
        <f t="shared" si="1"/>
        <v>0</v>
      </c>
    </row>
    <row r="21" spans="1:6" ht="19.5">
      <c r="A21" s="153">
        <f>SUBTOTAL(103,B$4:B21)</f>
        <v>0</v>
      </c>
      <c r="B21" s="171"/>
      <c r="C21" s="169"/>
      <c r="D21" s="178">
        <f t="shared" si="0"/>
        <v>0</v>
      </c>
      <c r="E21" s="169">
        <f>SUM($D$3:D21)</f>
        <v>0</v>
      </c>
      <c r="F21" s="133">
        <f t="shared" si="1"/>
        <v>0</v>
      </c>
    </row>
    <row r="22" spans="1:6" ht="19.5">
      <c r="A22" s="153">
        <f>SUBTOTAL(103,B$4:B22)</f>
        <v>0</v>
      </c>
      <c r="B22" s="171"/>
      <c r="C22" s="169"/>
      <c r="D22" s="178">
        <f t="shared" si="0"/>
        <v>0</v>
      </c>
      <c r="E22" s="169">
        <f>SUM($D$3:D22)</f>
        <v>0</v>
      </c>
      <c r="F22" s="133">
        <f t="shared" si="1"/>
        <v>0</v>
      </c>
    </row>
    <row r="23" spans="1:6" ht="19.5">
      <c r="A23" s="153">
        <f>SUBTOTAL(103,B$4:B23)</f>
        <v>0</v>
      </c>
      <c r="B23" s="171"/>
      <c r="C23" s="169"/>
      <c r="D23" s="178">
        <f t="shared" si="0"/>
        <v>0</v>
      </c>
      <c r="E23" s="169">
        <f>SUM($D$3:D23)</f>
        <v>0</v>
      </c>
      <c r="F23" s="133">
        <f t="shared" si="1"/>
        <v>0</v>
      </c>
    </row>
    <row r="24" spans="1:6" ht="19.5">
      <c r="A24" s="153">
        <f>SUBTOTAL(103,B$4:B24)</f>
        <v>0</v>
      </c>
      <c r="B24" s="171"/>
      <c r="C24" s="169"/>
      <c r="D24" s="178">
        <f t="shared" si="0"/>
        <v>0</v>
      </c>
      <c r="E24" s="169">
        <f>SUM($D$3:D24)</f>
        <v>0</v>
      </c>
      <c r="F24" s="133">
        <f t="shared" si="1"/>
        <v>0</v>
      </c>
    </row>
    <row r="25" spans="1:6" ht="19.5">
      <c r="A25" s="153">
        <f>SUBTOTAL(103,B$4:B25)</f>
        <v>0</v>
      </c>
      <c r="B25" s="171"/>
      <c r="C25" s="169"/>
      <c r="D25" s="178">
        <f t="shared" si="0"/>
        <v>0</v>
      </c>
      <c r="E25" s="169">
        <f>SUM($D$3:D25)</f>
        <v>0</v>
      </c>
      <c r="F25" s="133">
        <f t="shared" si="1"/>
        <v>0</v>
      </c>
    </row>
    <row r="26" spans="1:6" ht="19.5">
      <c r="A26" s="153">
        <f>SUBTOTAL(103,B$4:B26)</f>
        <v>0</v>
      </c>
      <c r="B26" s="171"/>
      <c r="C26" s="169"/>
      <c r="D26" s="178">
        <f t="shared" si="0"/>
        <v>0</v>
      </c>
      <c r="E26" s="169">
        <f>SUM($D$3:D26)</f>
        <v>0</v>
      </c>
      <c r="F26" s="133">
        <f t="shared" si="1"/>
        <v>0</v>
      </c>
    </row>
    <row r="27" spans="1:6" ht="19.5">
      <c r="A27" s="153">
        <f>SUBTOTAL(103,B$4:B27)</f>
        <v>0</v>
      </c>
      <c r="B27" s="171"/>
      <c r="C27" s="169"/>
      <c r="D27" s="178">
        <f t="shared" si="0"/>
        <v>0</v>
      </c>
      <c r="E27" s="169">
        <f>SUM($D$3:D27)</f>
        <v>0</v>
      </c>
      <c r="F27" s="133">
        <f t="shared" si="1"/>
        <v>0</v>
      </c>
    </row>
    <row r="28" spans="1:6" ht="19.5">
      <c r="A28" s="153">
        <f>SUBTOTAL(103,B$4:B28)</f>
        <v>0</v>
      </c>
      <c r="B28" s="171"/>
      <c r="C28" s="169"/>
      <c r="D28" s="178">
        <f t="shared" si="0"/>
        <v>0</v>
      </c>
      <c r="E28" s="169">
        <f>SUM($D$3:D28)</f>
        <v>0</v>
      </c>
      <c r="F28" s="133">
        <f t="shared" si="1"/>
        <v>0</v>
      </c>
    </row>
    <row r="29" spans="1:6" ht="19.5">
      <c r="A29" s="153">
        <f>SUBTOTAL(103,B$4:B29)</f>
        <v>0</v>
      </c>
      <c r="B29" s="171"/>
      <c r="C29" s="169"/>
      <c r="D29" s="178">
        <f t="shared" si="0"/>
        <v>0</v>
      </c>
      <c r="E29" s="169">
        <f>SUM($D$3:D29)</f>
        <v>0</v>
      </c>
      <c r="F29" s="133">
        <f t="shared" si="1"/>
        <v>0</v>
      </c>
    </row>
    <row r="30" spans="1:6" ht="19.5">
      <c r="A30" s="153">
        <f>SUBTOTAL(103,B$4:B30)</f>
        <v>0</v>
      </c>
      <c r="B30" s="171"/>
      <c r="C30" s="169"/>
      <c r="D30" s="178">
        <f t="shared" si="0"/>
        <v>0</v>
      </c>
      <c r="E30" s="169">
        <f>SUM($D$3:D30)</f>
        <v>0</v>
      </c>
      <c r="F30" s="133">
        <f t="shared" si="1"/>
        <v>0</v>
      </c>
    </row>
    <row r="31" spans="1:6" ht="19.5">
      <c r="A31" s="153">
        <f>SUBTOTAL(103,B$4:B31)</f>
        <v>0</v>
      </c>
      <c r="B31" s="171"/>
      <c r="C31" s="169"/>
      <c r="D31" s="178">
        <f t="shared" si="0"/>
        <v>0</v>
      </c>
      <c r="E31" s="169">
        <f>SUM($D$3:D31)</f>
        <v>0</v>
      </c>
      <c r="F31" s="133">
        <f t="shared" si="1"/>
        <v>0</v>
      </c>
    </row>
    <row r="32" spans="1:6" ht="19.5">
      <c r="A32" s="153">
        <f>SUBTOTAL(103,B$4:B32)</f>
        <v>0</v>
      </c>
      <c r="B32" s="171"/>
      <c r="C32" s="169"/>
      <c r="D32" s="178">
        <f t="shared" si="0"/>
        <v>0</v>
      </c>
      <c r="E32" s="169">
        <f>SUM($D$3:D32)</f>
        <v>0</v>
      </c>
      <c r="F32" s="133">
        <f t="shared" si="1"/>
        <v>0</v>
      </c>
    </row>
    <row r="33" spans="1:6" ht="19.5">
      <c r="A33" s="153">
        <f>SUBTOTAL(103,B$4:B33)</f>
        <v>0</v>
      </c>
      <c r="B33" s="171"/>
      <c r="C33" s="169"/>
      <c r="D33" s="178">
        <f t="shared" si="0"/>
        <v>0</v>
      </c>
      <c r="E33" s="169">
        <f>SUM($D$3:D33)</f>
        <v>0</v>
      </c>
      <c r="F33" s="133">
        <f t="shared" si="1"/>
        <v>0</v>
      </c>
    </row>
    <row r="34" spans="1:6" ht="19.5">
      <c r="A34" s="153">
        <f>SUBTOTAL(103,B$4:B34)</f>
        <v>0</v>
      </c>
      <c r="B34" s="171"/>
      <c r="C34" s="169"/>
      <c r="D34" s="178">
        <f t="shared" si="0"/>
        <v>0</v>
      </c>
      <c r="E34" s="169">
        <f>SUM($D$3:D34)</f>
        <v>0</v>
      </c>
      <c r="F34" s="133">
        <f t="shared" si="1"/>
        <v>0</v>
      </c>
    </row>
    <row r="35" spans="1:6" ht="19.5">
      <c r="A35" s="153">
        <f>SUBTOTAL(103,B$4:B35)</f>
        <v>0</v>
      </c>
      <c r="B35" s="171"/>
      <c r="C35" s="169"/>
      <c r="D35" s="178">
        <f t="shared" si="0"/>
        <v>0</v>
      </c>
      <c r="E35" s="169">
        <f>SUM($D$3:D35)</f>
        <v>0</v>
      </c>
      <c r="F35" s="133">
        <f t="shared" si="1"/>
        <v>0</v>
      </c>
    </row>
    <row r="36" spans="1:6" ht="19.5">
      <c r="A36" s="153">
        <f>SUBTOTAL(103,B$4:B36)</f>
        <v>0</v>
      </c>
      <c r="B36" s="171"/>
      <c r="C36" s="169"/>
      <c r="D36" s="178">
        <f t="shared" si="0"/>
        <v>0</v>
      </c>
      <c r="E36" s="169">
        <f>SUM($D$3:D36)</f>
        <v>0</v>
      </c>
      <c r="F36" s="133">
        <f t="shared" si="1"/>
        <v>0</v>
      </c>
    </row>
    <row r="37" spans="1:6" ht="19.5">
      <c r="A37" s="153">
        <f>SUBTOTAL(103,B$4:B37)</f>
        <v>0</v>
      </c>
      <c r="B37" s="171"/>
      <c r="C37" s="169"/>
      <c r="D37" s="178">
        <f t="shared" si="0"/>
        <v>0</v>
      </c>
      <c r="E37" s="169">
        <f>SUM($D$3:D37)</f>
        <v>0</v>
      </c>
      <c r="F37" s="133">
        <f t="shared" si="1"/>
        <v>0</v>
      </c>
    </row>
    <row r="38" spans="1:6" ht="19.5">
      <c r="A38" s="153">
        <f>SUBTOTAL(103,B$4:B38)</f>
        <v>0</v>
      </c>
      <c r="B38" s="171"/>
      <c r="C38" s="169"/>
      <c r="D38" s="178">
        <f t="shared" si="0"/>
        <v>0</v>
      </c>
      <c r="E38" s="169">
        <f>SUM($D$3:D38)</f>
        <v>0</v>
      </c>
      <c r="F38" s="133">
        <f t="shared" si="1"/>
        <v>0</v>
      </c>
    </row>
    <row r="39" spans="1:6" ht="19.5">
      <c r="A39" s="153">
        <f>SUBTOTAL(103,B$4:B39)</f>
        <v>0</v>
      </c>
      <c r="B39" s="171"/>
      <c r="C39" s="169"/>
      <c r="D39" s="178">
        <f t="shared" si="0"/>
        <v>0</v>
      </c>
      <c r="E39" s="169">
        <f>SUM($D$3:D39)</f>
        <v>0</v>
      </c>
      <c r="F39" s="133">
        <f t="shared" si="1"/>
        <v>0</v>
      </c>
    </row>
    <row r="40" spans="1:6" ht="19.5">
      <c r="A40" s="153">
        <f>SUBTOTAL(103,B$4:B40)</f>
        <v>0</v>
      </c>
      <c r="B40" s="171"/>
      <c r="C40" s="169"/>
      <c r="D40" s="178">
        <f t="shared" si="0"/>
        <v>0</v>
      </c>
      <c r="E40" s="169">
        <f>SUM($D$3:D40)</f>
        <v>0</v>
      </c>
      <c r="F40" s="133">
        <f t="shared" si="1"/>
        <v>0</v>
      </c>
    </row>
    <row r="41" spans="1:6" ht="19.5">
      <c r="A41" s="153">
        <f>SUBTOTAL(103,B$4:B41)</f>
        <v>0</v>
      </c>
      <c r="B41" s="171"/>
      <c r="C41" s="169"/>
      <c r="D41" s="178">
        <f t="shared" si="0"/>
        <v>0</v>
      </c>
      <c r="E41" s="169">
        <f>SUM($D$3:D41)</f>
        <v>0</v>
      </c>
      <c r="F41" s="133">
        <f t="shared" si="1"/>
        <v>0</v>
      </c>
    </row>
    <row r="42" spans="1:6" ht="19.5">
      <c r="A42" s="153">
        <f>SUBTOTAL(103,B$4:B42)</f>
        <v>0</v>
      </c>
      <c r="B42" s="171"/>
      <c r="C42" s="169"/>
      <c r="D42" s="178">
        <f t="shared" si="0"/>
        <v>0</v>
      </c>
      <c r="E42" s="169">
        <f>SUM($D$3:D42)</f>
        <v>0</v>
      </c>
      <c r="F42" s="133">
        <f t="shared" si="1"/>
        <v>0</v>
      </c>
    </row>
    <row r="43" spans="1:6" ht="19.5">
      <c r="A43" s="153">
        <f>SUBTOTAL(103,B$4:B43)</f>
        <v>0</v>
      </c>
      <c r="B43" s="171"/>
      <c r="C43" s="169"/>
      <c r="D43" s="178">
        <f t="shared" si="0"/>
        <v>0</v>
      </c>
      <c r="E43" s="169">
        <f>SUM($D$3:D43)</f>
        <v>0</v>
      </c>
      <c r="F43" s="133">
        <f t="shared" si="1"/>
        <v>0</v>
      </c>
    </row>
    <row r="44" spans="1:6" ht="19.5">
      <c r="A44" s="153">
        <f>SUBTOTAL(103,B$4:B44)</f>
        <v>0</v>
      </c>
      <c r="B44" s="171"/>
      <c r="C44" s="169"/>
      <c r="D44" s="178">
        <f t="shared" si="0"/>
        <v>0</v>
      </c>
      <c r="E44" s="169">
        <f>SUM($D$3:D44)</f>
        <v>0</v>
      </c>
      <c r="F44" s="133">
        <f t="shared" si="1"/>
        <v>0</v>
      </c>
    </row>
    <row r="45" spans="1:6" ht="19.5">
      <c r="A45" s="153">
        <f>SUBTOTAL(103,B$4:B45)</f>
        <v>0</v>
      </c>
      <c r="B45" s="171"/>
      <c r="C45" s="169"/>
      <c r="D45" s="178">
        <f t="shared" si="0"/>
        <v>0</v>
      </c>
      <c r="E45" s="169">
        <f>SUM($D$3:D45)</f>
        <v>0</v>
      </c>
      <c r="F45" s="133">
        <f t="shared" si="1"/>
        <v>0</v>
      </c>
    </row>
    <row r="46" spans="1:6" ht="19.5">
      <c r="A46" s="153">
        <f>SUBTOTAL(103,B$4:B46)</f>
        <v>0</v>
      </c>
      <c r="B46" s="171"/>
      <c r="C46" s="169"/>
      <c r="D46" s="178">
        <f t="shared" si="0"/>
        <v>0</v>
      </c>
      <c r="E46" s="169">
        <f>SUM($D$3:D46)</f>
        <v>0</v>
      </c>
      <c r="F46" s="133">
        <f t="shared" si="1"/>
        <v>0</v>
      </c>
    </row>
    <row r="47" spans="1:6" ht="19.5">
      <c r="A47" s="153">
        <f>SUBTOTAL(103,B$4:B47)</f>
        <v>0</v>
      </c>
      <c r="B47" s="171"/>
      <c r="C47" s="169"/>
      <c r="D47" s="178">
        <f t="shared" si="0"/>
        <v>0</v>
      </c>
      <c r="E47" s="169">
        <f>SUM($D$3:D47)</f>
        <v>0</v>
      </c>
      <c r="F47" s="133">
        <f t="shared" si="1"/>
        <v>0</v>
      </c>
    </row>
    <row r="48" spans="1:6" ht="19.5">
      <c r="A48" s="153">
        <f>SUBTOTAL(103,B$4:B48)</f>
        <v>0</v>
      </c>
      <c r="B48" s="171"/>
      <c r="C48" s="169"/>
      <c r="D48" s="178">
        <f t="shared" si="0"/>
        <v>0</v>
      </c>
      <c r="E48" s="169">
        <f>SUM($D$3:D48)</f>
        <v>0</v>
      </c>
      <c r="F48" s="133">
        <f t="shared" si="1"/>
        <v>0</v>
      </c>
    </row>
    <row r="49" spans="1:6" ht="19.5">
      <c r="A49" s="153">
        <f>SUBTOTAL(103,B$4:B49)</f>
        <v>0</v>
      </c>
      <c r="B49" s="171"/>
      <c r="C49" s="169"/>
      <c r="D49" s="178">
        <f t="shared" si="0"/>
        <v>0</v>
      </c>
      <c r="E49" s="169">
        <f>SUM($D$3:D49)</f>
        <v>0</v>
      </c>
      <c r="F49" s="133">
        <f t="shared" si="1"/>
        <v>0</v>
      </c>
    </row>
    <row r="50" spans="1:6" ht="19.5">
      <c r="A50" s="153">
        <f>SUBTOTAL(103,B$4:B50)</f>
        <v>0</v>
      </c>
      <c r="B50" s="171"/>
      <c r="C50" s="169"/>
      <c r="D50" s="178">
        <f t="shared" si="0"/>
        <v>0</v>
      </c>
      <c r="E50" s="169">
        <f>SUM($D$3:D50)</f>
        <v>0</v>
      </c>
      <c r="F50" s="133">
        <f t="shared" si="1"/>
        <v>0</v>
      </c>
    </row>
    <row r="51" spans="1:6" ht="19.5">
      <c r="A51" s="144"/>
      <c r="B51" s="135" t="s">
        <v>233</v>
      </c>
      <c r="C51" s="136">
        <f>SUM(C4:C50)</f>
        <v>0</v>
      </c>
      <c r="D51" s="179"/>
      <c r="E51" s="175"/>
    </row>
    <row r="52" spans="1:6" ht="19.5">
      <c r="A52" s="508" t="s">
        <v>491</v>
      </c>
      <c r="B52" s="508"/>
      <c r="C52" s="508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19" activePane="bottomRight" state="frozen"/>
      <selection pane="topRight" activeCell="G1" sqref="G1"/>
      <selection pane="bottomLeft" activeCell="A2" sqref="A2"/>
      <selection pane="bottomRight" activeCell="B4" sqref="B4:C2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0" t="s">
        <v>235</v>
      </c>
      <c r="B1" s="500"/>
      <c r="C1" s="500"/>
      <c r="F1" s="127">
        <f>P!H3</f>
        <v>45974</v>
      </c>
    </row>
    <row r="2" spans="1:7" ht="31.5" customHeight="1">
      <c r="A2" s="501" t="s">
        <v>476</v>
      </c>
      <c r="B2" s="502"/>
      <c r="C2" s="503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273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7">
      <c r="A5" s="153">
        <f>SUBTOTAL(103,B$4:B5)</f>
        <v>0</v>
      </c>
      <c r="B5" s="273"/>
      <c r="C5" s="169"/>
      <c r="D5" s="130">
        <f>C5</f>
        <v>0</v>
      </c>
      <c r="E5" s="143">
        <f>SUM($D$3:D5)</f>
        <v>0</v>
      </c>
      <c r="F5" s="133">
        <f t="shared" ref="F5:F25" si="0">A5</f>
        <v>0</v>
      </c>
    </row>
    <row r="6" spans="1:7">
      <c r="A6" s="153">
        <f>SUBTOTAL(103,B$4:B6)</f>
        <v>0</v>
      </c>
      <c r="B6" s="273"/>
      <c r="C6" s="169"/>
      <c r="D6" s="130">
        <f t="shared" ref="D6:D10" si="1">C6</f>
        <v>0</v>
      </c>
      <c r="E6" s="143">
        <f>SUM($D$3:D6)</f>
        <v>0</v>
      </c>
      <c r="F6" s="133">
        <f t="shared" si="0"/>
        <v>0</v>
      </c>
    </row>
    <row r="7" spans="1:7">
      <c r="A7" s="153">
        <f>SUBTOTAL(103,B$4:B7)</f>
        <v>0</v>
      </c>
      <c r="B7" s="273"/>
      <c r="C7" s="169"/>
      <c r="D7" s="130">
        <f t="shared" si="1"/>
        <v>0</v>
      </c>
      <c r="E7" s="143">
        <f>SUM($D$3:D7)</f>
        <v>0</v>
      </c>
      <c r="F7" s="133">
        <f t="shared" si="0"/>
        <v>0</v>
      </c>
    </row>
    <row r="8" spans="1:7">
      <c r="A8" s="153">
        <f>SUBTOTAL(103,B$4:B8)</f>
        <v>0</v>
      </c>
      <c r="B8" s="273"/>
      <c r="C8" s="169"/>
      <c r="D8" s="130">
        <f t="shared" si="1"/>
        <v>0</v>
      </c>
      <c r="E8" s="143">
        <f>SUM($D$3:D8)</f>
        <v>0</v>
      </c>
      <c r="F8" s="133">
        <f t="shared" si="0"/>
        <v>0</v>
      </c>
    </row>
    <row r="9" spans="1:7">
      <c r="A9" s="153">
        <f>SUBTOTAL(103,B$4:B9)</f>
        <v>0</v>
      </c>
      <c r="B9" s="273"/>
      <c r="C9" s="169"/>
      <c r="D9" s="130">
        <f t="shared" si="1"/>
        <v>0</v>
      </c>
      <c r="E9" s="143">
        <f>SUM($D$3:D9)</f>
        <v>0</v>
      </c>
      <c r="F9" s="133">
        <f t="shared" si="0"/>
        <v>0</v>
      </c>
      <c r="G9" s="23">
        <v>180</v>
      </c>
    </row>
    <row r="10" spans="1:7">
      <c r="A10" s="153">
        <f>SUBTOTAL(103,B$4:B10)</f>
        <v>0</v>
      </c>
      <c r="B10" s="273"/>
      <c r="C10" s="169"/>
      <c r="D10" s="130">
        <f t="shared" si="1"/>
        <v>0</v>
      </c>
      <c r="E10" s="143">
        <f>SUM($D$3:D10)</f>
        <v>0</v>
      </c>
      <c r="F10" s="133">
        <f t="shared" si="0"/>
        <v>0</v>
      </c>
      <c r="G10" s="23">
        <v>4284</v>
      </c>
    </row>
    <row r="11" spans="1:7">
      <c r="A11" s="153">
        <f>SUBTOTAL(103,B$4:B11)</f>
        <v>0</v>
      </c>
      <c r="B11" s="273"/>
      <c r="C11" s="169"/>
      <c r="D11" s="130">
        <f t="shared" ref="D11:D50" si="2">C11</f>
        <v>0</v>
      </c>
      <c r="E11" s="143">
        <f>SUM($D$3:D11)</f>
        <v>0</v>
      </c>
      <c r="F11" s="133">
        <f t="shared" si="0"/>
        <v>0</v>
      </c>
      <c r="G11" s="23">
        <v>62000</v>
      </c>
    </row>
    <row r="12" spans="1:7">
      <c r="A12" s="153">
        <f>SUBTOTAL(103,B$4:B12)</f>
        <v>0</v>
      </c>
      <c r="B12" s="273"/>
      <c r="C12" s="169"/>
      <c r="D12" s="130">
        <f t="shared" si="2"/>
        <v>0</v>
      </c>
      <c r="E12" s="143">
        <f>SUM($D$3:D12)</f>
        <v>0</v>
      </c>
      <c r="F12" s="133">
        <f t="shared" si="0"/>
        <v>0</v>
      </c>
      <c r="G12" s="23">
        <v>747</v>
      </c>
    </row>
    <row r="13" spans="1:7">
      <c r="A13" s="153">
        <f>SUBTOTAL(103,B$4:B13)</f>
        <v>0</v>
      </c>
      <c r="B13" s="170"/>
      <c r="C13" s="136"/>
      <c r="D13" s="130">
        <f t="shared" si="2"/>
        <v>0</v>
      </c>
      <c r="E13" s="143">
        <f>SUM($D$3:D13)</f>
        <v>0</v>
      </c>
      <c r="F13" s="133">
        <f t="shared" si="0"/>
        <v>0</v>
      </c>
      <c r="G13" s="23">
        <v>0</v>
      </c>
    </row>
    <row r="14" spans="1:7">
      <c r="A14" s="153">
        <f>SUBTOTAL(103,B$4:B14)</f>
        <v>0</v>
      </c>
      <c r="B14" s="126"/>
      <c r="C14" s="169"/>
      <c r="D14" s="130">
        <f t="shared" si="2"/>
        <v>0</v>
      </c>
      <c r="E14" s="143">
        <f>SUM($D$3:D14)</f>
        <v>0</v>
      </c>
      <c r="F14" s="133">
        <f t="shared" si="0"/>
        <v>0</v>
      </c>
    </row>
    <row r="15" spans="1:7">
      <c r="A15" s="153">
        <f>SUBTOTAL(103,B$4:B15)</f>
        <v>0</v>
      </c>
      <c r="B15" s="126"/>
      <c r="C15" s="169"/>
      <c r="D15" s="130">
        <f t="shared" si="2"/>
        <v>0</v>
      </c>
      <c r="E15" s="143">
        <f>SUM($D$3:D15)</f>
        <v>0</v>
      </c>
      <c r="F15" s="133">
        <f t="shared" si="0"/>
        <v>0</v>
      </c>
    </row>
    <row r="16" spans="1:7">
      <c r="A16" s="153">
        <f>SUBTOTAL(103,B$4:B16)</f>
        <v>0</v>
      </c>
      <c r="B16" s="126"/>
      <c r="C16" s="169"/>
      <c r="D16" s="130">
        <f t="shared" si="2"/>
        <v>0</v>
      </c>
      <c r="E16" s="143">
        <f>SUM($D$3:D16)</f>
        <v>0</v>
      </c>
      <c r="F16" s="133">
        <f t="shared" si="0"/>
        <v>0</v>
      </c>
    </row>
    <row r="17" spans="1:6">
      <c r="A17" s="153">
        <f>SUBTOTAL(103,B$4:B17)</f>
        <v>0</v>
      </c>
      <c r="B17" s="126"/>
      <c r="C17" s="169"/>
      <c r="D17" s="130">
        <f t="shared" si="2"/>
        <v>0</v>
      </c>
      <c r="E17" s="143">
        <f>SUM($D$3:D17)</f>
        <v>0</v>
      </c>
      <c r="F17" s="133">
        <f t="shared" si="0"/>
        <v>0</v>
      </c>
    </row>
    <row r="18" spans="1:6">
      <c r="A18" s="153">
        <f>SUBTOTAL(103,B$4:B18)</f>
        <v>0</v>
      </c>
      <c r="B18" s="170"/>
      <c r="C18" s="136"/>
      <c r="D18" s="130">
        <f t="shared" si="2"/>
        <v>0</v>
      </c>
      <c r="E18" s="143">
        <f>SUM($D$3:D18)</f>
        <v>0</v>
      </c>
      <c r="F18" s="133">
        <f t="shared" si="0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43">
        <f>SUM($D$3:D19)</f>
        <v>0</v>
      </c>
      <c r="F19" s="133">
        <f t="shared" si="0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43">
        <f>SUM($D$3:D20)</f>
        <v>0</v>
      </c>
      <c r="F20" s="133">
        <f t="shared" si="0"/>
        <v>0</v>
      </c>
    </row>
    <row r="21" spans="1:6">
      <c r="A21" s="153">
        <f>SUBTOTAL(103,B$4:B21)</f>
        <v>0</v>
      </c>
      <c r="B21" s="126"/>
      <c r="C21" s="169"/>
      <c r="D21" s="130">
        <f t="shared" si="2"/>
        <v>0</v>
      </c>
      <c r="E21" s="143">
        <f>SUM($D$3:D21)</f>
        <v>0</v>
      </c>
      <c r="F21" s="133">
        <f t="shared" si="0"/>
        <v>0</v>
      </c>
    </row>
    <row r="22" spans="1:6">
      <c r="A22" s="153">
        <f>SUBTOTAL(103,B$4:B22)</f>
        <v>0</v>
      </c>
      <c r="B22" s="126"/>
      <c r="C22" s="169"/>
      <c r="D22" s="130">
        <f t="shared" si="2"/>
        <v>0</v>
      </c>
      <c r="E22" s="143">
        <f>SUM($D$3:D22)</f>
        <v>0</v>
      </c>
      <c r="F22" s="133">
        <f t="shared" si="0"/>
        <v>0</v>
      </c>
    </row>
    <row r="23" spans="1:6">
      <c r="A23" s="153">
        <f>SUBTOTAL(103,B$4:B23)</f>
        <v>0</v>
      </c>
      <c r="B23" s="126"/>
      <c r="C23" s="169"/>
      <c r="D23" s="130">
        <f t="shared" si="2"/>
        <v>0</v>
      </c>
      <c r="E23" s="143">
        <f>SUM($D$3:D23)</f>
        <v>0</v>
      </c>
      <c r="F23" s="133">
        <f t="shared" si="0"/>
        <v>0</v>
      </c>
    </row>
    <row r="24" spans="1:6">
      <c r="A24" s="153">
        <f>SUBTOTAL(103,B$4:B24)</f>
        <v>0</v>
      </c>
      <c r="B24" s="126"/>
      <c r="C24" s="169"/>
      <c r="D24" s="130">
        <f t="shared" si="2"/>
        <v>0</v>
      </c>
      <c r="E24" s="143">
        <f>SUM($D$3:D24)</f>
        <v>0</v>
      </c>
      <c r="F24" s="133">
        <f t="shared" si="0"/>
        <v>0</v>
      </c>
    </row>
    <row r="25" spans="1:6">
      <c r="A25" s="153">
        <f>SUBTOTAL(103,B$4:B25)</f>
        <v>0</v>
      </c>
      <c r="B25" s="126"/>
      <c r="C25" s="169"/>
      <c r="D25" s="130">
        <f t="shared" si="2"/>
        <v>0</v>
      </c>
      <c r="E25" s="143">
        <f>SUM($D$3:D25)</f>
        <v>0</v>
      </c>
      <c r="F25" s="133">
        <f t="shared" si="0"/>
        <v>0</v>
      </c>
    </row>
    <row r="26" spans="1:6">
      <c r="A26" s="153">
        <f>SUBTOTAL(103,B$4:B26)</f>
        <v>0</v>
      </c>
      <c r="B26" s="356"/>
      <c r="C26" s="169"/>
      <c r="D26" s="130">
        <f t="shared" si="2"/>
        <v>0</v>
      </c>
      <c r="E26" s="143">
        <f>SUM($D$3:D26)</f>
        <v>0</v>
      </c>
      <c r="F26" s="133">
        <f>A26</f>
        <v>0</v>
      </c>
    </row>
    <row r="27" spans="1:6">
      <c r="A27" s="153">
        <f>SUBTOTAL(103,B$4:B27)</f>
        <v>0</v>
      </c>
      <c r="B27" s="363"/>
      <c r="C27" s="169"/>
      <c r="D27" s="130">
        <f t="shared" si="2"/>
        <v>0</v>
      </c>
      <c r="E27" s="143">
        <f>SUM($D$3:D27)</f>
        <v>0</v>
      </c>
      <c r="F27" s="133">
        <f>A27</f>
        <v>0</v>
      </c>
    </row>
    <row r="28" spans="1:6">
      <c r="A28" s="153">
        <f>SUBTOTAL(103,B$4:B28)</f>
        <v>0</v>
      </c>
      <c r="B28" s="364"/>
      <c r="C28" s="169"/>
      <c r="D28" s="130">
        <f t="shared" si="2"/>
        <v>0</v>
      </c>
      <c r="E28" s="143">
        <f>SUM($D$3:D28)</f>
        <v>0</v>
      </c>
      <c r="F28" s="133">
        <f t="shared" ref="F28:F49" si="3">A28</f>
        <v>0</v>
      </c>
    </row>
    <row r="29" spans="1:6">
      <c r="A29" s="153">
        <f>SUBTOTAL(103,B$4:B29)</f>
        <v>0</v>
      </c>
      <c r="B29" s="364"/>
      <c r="C29" s="169"/>
      <c r="D29" s="130">
        <f t="shared" si="2"/>
        <v>0</v>
      </c>
      <c r="E29" s="143">
        <f>SUM($D$3:D29)</f>
        <v>0</v>
      </c>
      <c r="F29" s="133">
        <f t="shared" si="3"/>
        <v>0</v>
      </c>
    </row>
    <row r="30" spans="1:6">
      <c r="A30" s="153">
        <f>SUBTOTAL(103,B$4:B30)</f>
        <v>0</v>
      </c>
      <c r="B30" s="364"/>
      <c r="C30" s="169"/>
      <c r="D30" s="130">
        <f t="shared" si="2"/>
        <v>0</v>
      </c>
      <c r="E30" s="143">
        <f>SUM($D$3:D30)</f>
        <v>0</v>
      </c>
      <c r="F30" s="133">
        <f t="shared" si="3"/>
        <v>0</v>
      </c>
    </row>
    <row r="31" spans="1:6">
      <c r="A31" s="153">
        <f>SUBTOTAL(103,B$4:B31)</f>
        <v>0</v>
      </c>
      <c r="B31" s="364"/>
      <c r="C31" s="169"/>
      <c r="D31" s="130">
        <f t="shared" si="2"/>
        <v>0</v>
      </c>
      <c r="E31" s="143">
        <f>SUM($D$3:D31)</f>
        <v>0</v>
      </c>
      <c r="F31" s="133">
        <f t="shared" si="3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43">
        <f>SUM($D$3:D32)</f>
        <v>0</v>
      </c>
      <c r="F32" s="133">
        <f t="shared" si="3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43">
        <f>SUM($D$3:D33)</f>
        <v>0</v>
      </c>
      <c r="F33" s="133">
        <f t="shared" si="3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43">
        <f>SUM($D$3:D34)</f>
        <v>0</v>
      </c>
      <c r="F34" s="133">
        <f t="shared" si="3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43">
        <f>SUM($D$3:D35)</f>
        <v>0</v>
      </c>
      <c r="F35" s="133">
        <f t="shared" si="3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43">
        <f>SUM($D$3:D36)</f>
        <v>0</v>
      </c>
      <c r="F36" s="133">
        <f t="shared" si="3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43">
        <f>SUM($D$3:D37)</f>
        <v>0</v>
      </c>
      <c r="F37" s="133">
        <f t="shared" si="3"/>
        <v>0</v>
      </c>
    </row>
    <row r="38" spans="1:6">
      <c r="A38" s="153">
        <f>SUBTOTAL(103,B$4:B38)</f>
        <v>0</v>
      </c>
      <c r="B38" s="364"/>
      <c r="C38" s="169"/>
      <c r="D38" s="130">
        <f t="shared" si="2"/>
        <v>0</v>
      </c>
      <c r="E38" s="143">
        <f>SUM($D$3:D38)</f>
        <v>0</v>
      </c>
      <c r="F38" s="133">
        <f t="shared" si="3"/>
        <v>0</v>
      </c>
    </row>
    <row r="39" spans="1:6">
      <c r="A39" s="153">
        <f>SUBTOTAL(103,B$4:B39)</f>
        <v>0</v>
      </c>
      <c r="B39" s="364"/>
      <c r="C39" s="169"/>
      <c r="D39" s="130">
        <f t="shared" si="2"/>
        <v>0</v>
      </c>
      <c r="E39" s="143">
        <f>SUM($D$3:D39)</f>
        <v>0</v>
      </c>
      <c r="F39" s="133">
        <f t="shared" si="3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43">
        <f>SUM($D$3:D40)</f>
        <v>0</v>
      </c>
      <c r="F40" s="133">
        <f t="shared" si="3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43">
        <f>SUM($D$3:D41)</f>
        <v>0</v>
      </c>
      <c r="F41" s="133">
        <f t="shared" si="3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43">
        <f>SUM($D$3:D42)</f>
        <v>0</v>
      </c>
      <c r="F42" s="133">
        <f t="shared" si="3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43">
        <f>SUM($D$3:D43)</f>
        <v>0</v>
      </c>
      <c r="F43" s="133">
        <f t="shared" si="3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43">
        <f>SUM($D$3:D44)</f>
        <v>0</v>
      </c>
      <c r="F44" s="133">
        <f t="shared" si="3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43">
        <f>SUM($D$3:D45)</f>
        <v>0</v>
      </c>
      <c r="F45" s="133">
        <f t="shared" si="3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43">
        <f>SUM($D$3:D46)</f>
        <v>0</v>
      </c>
      <c r="F46" s="133">
        <f t="shared" si="3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43">
        <f>SUM($D$3:D47)</f>
        <v>0</v>
      </c>
      <c r="F47" s="133">
        <f t="shared" si="3"/>
        <v>0</v>
      </c>
    </row>
    <row r="48" spans="1:6">
      <c r="A48" s="153">
        <f>SUBTOTAL(103,B$4:B48)</f>
        <v>0</v>
      </c>
      <c r="B48" s="364"/>
      <c r="C48" s="169"/>
      <c r="D48" s="130">
        <f t="shared" si="2"/>
        <v>0</v>
      </c>
      <c r="E48" s="143">
        <f>SUM($D$3:D48)</f>
        <v>0</v>
      </c>
      <c r="F48" s="133">
        <f t="shared" si="3"/>
        <v>0</v>
      </c>
    </row>
    <row r="49" spans="1:6">
      <c r="A49" s="153">
        <f>SUBTOTAL(103,B$4:B49)</f>
        <v>0</v>
      </c>
      <c r="B49" s="364"/>
      <c r="C49" s="169"/>
      <c r="D49" s="130">
        <f t="shared" si="2"/>
        <v>0</v>
      </c>
      <c r="E49" s="143">
        <f>SUM($D$3:D49)</f>
        <v>0</v>
      </c>
      <c r="F49" s="133">
        <f t="shared" si="3"/>
        <v>0</v>
      </c>
    </row>
    <row r="50" spans="1:6">
      <c r="A50" s="153">
        <f>SUBTOTAL(103,B$4:B50)</f>
        <v>0</v>
      </c>
      <c r="B50" s="126"/>
      <c r="C50" s="169"/>
      <c r="D50" s="130">
        <f t="shared" si="2"/>
        <v>0</v>
      </c>
      <c r="E50" s="143">
        <f>SUM($D$3:D50)</f>
        <v>0</v>
      </c>
      <c r="F50" s="133">
        <f>A50</f>
        <v>0</v>
      </c>
    </row>
    <row r="51" spans="1:6">
      <c r="A51" s="144"/>
      <c r="B51" s="135" t="s">
        <v>233</v>
      </c>
      <c r="C51" s="136">
        <f>SUM(C4:C50)</f>
        <v>0</v>
      </c>
    </row>
    <row r="52" spans="1:6">
      <c r="A52" s="504" t="s">
        <v>492</v>
      </c>
      <c r="B52" s="505"/>
      <c r="C52" s="506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4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5" t="s">
        <v>235</v>
      </c>
      <c r="B1" s="435"/>
      <c r="C1" s="435"/>
      <c r="F1" s="127">
        <f>P!J3</f>
        <v>45975</v>
      </c>
    </row>
    <row r="2" spans="1:6" ht="33" customHeight="1">
      <c r="A2" s="507" t="s">
        <v>477</v>
      </c>
      <c r="B2" s="507"/>
      <c r="C2" s="507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0</v>
      </c>
      <c r="B4" s="126"/>
      <c r="C4" s="169"/>
      <c r="D4" s="130">
        <f>C4</f>
        <v>0</v>
      </c>
      <c r="E4" s="150">
        <f>SUM($D$3:D4)</f>
        <v>0</v>
      </c>
      <c r="F4" s="151">
        <f>A4</f>
        <v>0</v>
      </c>
    </row>
    <row r="5" spans="1:6" ht="19.5">
      <c r="A5" s="153">
        <f>SUBTOTAL(103,B$4:B5)</f>
        <v>0</v>
      </c>
      <c r="B5" s="126"/>
      <c r="C5" s="169"/>
      <c r="D5" s="130">
        <f t="shared" ref="D5:D50" si="0">C5</f>
        <v>0</v>
      </c>
      <c r="E5" s="150">
        <f>SUM($D$3:D5)</f>
        <v>0</v>
      </c>
      <c r="F5" s="151">
        <f t="shared" ref="F5:F49" si="1">A5</f>
        <v>0</v>
      </c>
    </row>
    <row r="6" spans="1:6" ht="19.5">
      <c r="A6" s="153">
        <f>SUBTOTAL(103,B$4:B6)</f>
        <v>0</v>
      </c>
      <c r="B6" s="126"/>
      <c r="C6" s="169"/>
      <c r="D6" s="130">
        <f t="shared" si="0"/>
        <v>0</v>
      </c>
      <c r="E6" s="150">
        <f>SUM($D$3:D6)</f>
        <v>0</v>
      </c>
      <c r="F6" s="151">
        <f t="shared" si="1"/>
        <v>0</v>
      </c>
    </row>
    <row r="7" spans="1:6" ht="19.5">
      <c r="A7" s="153">
        <f>SUBTOTAL(103,B$4:B7)</f>
        <v>0</v>
      </c>
      <c r="B7" s="356"/>
      <c r="C7" s="169"/>
      <c r="D7" s="130">
        <f t="shared" si="0"/>
        <v>0</v>
      </c>
      <c r="E7" s="150">
        <f>SUM($D$3:D7)</f>
        <v>0</v>
      </c>
      <c r="F7" s="151">
        <f t="shared" si="1"/>
        <v>0</v>
      </c>
    </row>
    <row r="8" spans="1:6" ht="19.5">
      <c r="A8" s="153">
        <f>SUBTOTAL(103,B$4:B8)</f>
        <v>0</v>
      </c>
      <c r="B8" s="126"/>
      <c r="C8" s="169"/>
      <c r="D8" s="130">
        <f>C8</f>
        <v>0</v>
      </c>
      <c r="E8" s="150">
        <f>SUM($D$3:D8)</f>
        <v>0</v>
      </c>
      <c r="F8" s="151">
        <f t="shared" si="1"/>
        <v>0</v>
      </c>
    </row>
    <row r="9" spans="1:6" ht="19.5">
      <c r="A9" s="153">
        <f>SUBTOTAL(103,B$4:B9)</f>
        <v>0</v>
      </c>
      <c r="B9" s="126"/>
      <c r="C9" s="169"/>
      <c r="D9" s="130">
        <f t="shared" si="0"/>
        <v>0</v>
      </c>
      <c r="E9" s="150">
        <f>SUM($D$3:D9)</f>
        <v>0</v>
      </c>
      <c r="F9" s="151">
        <f t="shared" si="1"/>
        <v>0</v>
      </c>
    </row>
    <row r="10" spans="1:6" ht="19.5">
      <c r="A10" s="153">
        <f>SUBTOTAL(103,B$4:B10)</f>
        <v>0</v>
      </c>
      <c r="B10" s="126"/>
      <c r="C10" s="169"/>
      <c r="D10" s="130">
        <f t="shared" si="0"/>
        <v>0</v>
      </c>
      <c r="E10" s="150">
        <f>SUM($D$3:D10)</f>
        <v>0</v>
      </c>
      <c r="F10" s="151">
        <f t="shared" si="1"/>
        <v>0</v>
      </c>
    </row>
    <row r="11" spans="1:6" ht="19.5">
      <c r="A11" s="153">
        <f>SUBTOTAL(103,B$4:B11)</f>
        <v>0</v>
      </c>
      <c r="B11" s="126"/>
      <c r="C11" s="169"/>
      <c r="D11" s="130">
        <f t="shared" si="0"/>
        <v>0</v>
      </c>
      <c r="E11" s="150">
        <f>SUM($D$3:D11)</f>
        <v>0</v>
      </c>
      <c r="F11" s="151">
        <f t="shared" si="1"/>
        <v>0</v>
      </c>
    </row>
    <row r="12" spans="1:6" ht="19.5">
      <c r="A12" s="153">
        <f>SUBTOTAL(103,B$4:B12)</f>
        <v>0</v>
      </c>
      <c r="B12" s="126"/>
      <c r="C12" s="169"/>
      <c r="D12" s="130">
        <f t="shared" si="0"/>
        <v>0</v>
      </c>
      <c r="E12" s="150">
        <f>SUM($D$3:D12)</f>
        <v>0</v>
      </c>
      <c r="F12" s="151">
        <f t="shared" si="1"/>
        <v>0</v>
      </c>
    </row>
    <row r="13" spans="1:6" ht="19.5">
      <c r="A13" s="153">
        <f>SUBTOTAL(103,B$4:B13)</f>
        <v>0</v>
      </c>
      <c r="B13" s="126"/>
      <c r="C13" s="169"/>
      <c r="D13" s="130">
        <f t="shared" si="0"/>
        <v>0</v>
      </c>
      <c r="E13" s="150">
        <f>SUM($D$3:D13)</f>
        <v>0</v>
      </c>
      <c r="F13" s="151">
        <f t="shared" si="1"/>
        <v>0</v>
      </c>
    </row>
    <row r="14" spans="1:6" ht="19.5">
      <c r="A14" s="153">
        <f>SUBTOTAL(103,B$4:B14)</f>
        <v>0</v>
      </c>
      <c r="B14" s="126"/>
      <c r="C14" s="169"/>
      <c r="D14" s="130">
        <f t="shared" si="0"/>
        <v>0</v>
      </c>
      <c r="E14" s="150">
        <f>SUM($D$3:D14)</f>
        <v>0</v>
      </c>
      <c r="F14" s="151">
        <f t="shared" si="1"/>
        <v>0</v>
      </c>
    </row>
    <row r="15" spans="1:6" ht="19.5">
      <c r="A15" s="153">
        <f>SUBTOTAL(103,B$4:B15)</f>
        <v>0</v>
      </c>
      <c r="B15" s="126"/>
      <c r="C15" s="169"/>
      <c r="D15" s="130">
        <f t="shared" si="0"/>
        <v>0</v>
      </c>
      <c r="E15" s="150">
        <f>SUM($D$3:D15)</f>
        <v>0</v>
      </c>
      <c r="F15" s="151">
        <f t="shared" si="1"/>
        <v>0</v>
      </c>
    </row>
    <row r="16" spans="1:6" ht="19.5">
      <c r="A16" s="153">
        <f>SUBTOTAL(103,B$4:B16)</f>
        <v>0</v>
      </c>
      <c r="B16" s="126"/>
      <c r="C16" s="169"/>
      <c r="D16" s="130">
        <f t="shared" si="0"/>
        <v>0</v>
      </c>
      <c r="E16" s="150">
        <f>SUM($D$3:D16)</f>
        <v>0</v>
      </c>
      <c r="F16" s="151">
        <f t="shared" si="1"/>
        <v>0</v>
      </c>
    </row>
    <row r="17" spans="1:6" ht="19.5">
      <c r="A17" s="153">
        <f>SUBTOTAL(103,B$4:B17)</f>
        <v>0</v>
      </c>
      <c r="B17" s="126"/>
      <c r="C17" s="169"/>
      <c r="D17" s="130">
        <f t="shared" si="0"/>
        <v>0</v>
      </c>
      <c r="E17" s="150">
        <f>SUM($D$3:D17)</f>
        <v>0</v>
      </c>
      <c r="F17" s="151">
        <f t="shared" si="1"/>
        <v>0</v>
      </c>
    </row>
    <row r="18" spans="1:6" ht="19.5">
      <c r="A18" s="153">
        <f>SUBTOTAL(103,B$4:B18)</f>
        <v>0</v>
      </c>
      <c r="B18" s="126"/>
      <c r="C18" s="169"/>
      <c r="D18" s="130">
        <f t="shared" si="0"/>
        <v>0</v>
      </c>
      <c r="E18" s="150">
        <f>SUM($D$3:D18)</f>
        <v>0</v>
      </c>
      <c r="F18" s="151">
        <f t="shared" si="1"/>
        <v>0</v>
      </c>
    </row>
    <row r="19" spans="1:6" ht="19.5">
      <c r="A19" s="153">
        <f>SUBTOTAL(103,B$4:B19)</f>
        <v>0</v>
      </c>
      <c r="B19" s="126"/>
      <c r="C19" s="169"/>
      <c r="D19" s="130">
        <f t="shared" si="0"/>
        <v>0</v>
      </c>
      <c r="E19" s="150">
        <f>SUM($D$3:D19)</f>
        <v>0</v>
      </c>
      <c r="F19" s="151">
        <f t="shared" si="1"/>
        <v>0</v>
      </c>
    </row>
    <row r="20" spans="1:6" ht="19.5">
      <c r="A20" s="153">
        <f>SUBTOTAL(103,B$4:B20)</f>
        <v>0</v>
      </c>
      <c r="B20" s="126"/>
      <c r="C20" s="169"/>
      <c r="D20" s="130">
        <f t="shared" si="0"/>
        <v>0</v>
      </c>
      <c r="E20" s="150">
        <f>SUM($D$3:D20)</f>
        <v>0</v>
      </c>
      <c r="F20" s="151">
        <f t="shared" si="1"/>
        <v>0</v>
      </c>
    </row>
    <row r="21" spans="1:6" ht="19.5">
      <c r="A21" s="153">
        <f>SUBTOTAL(103,B$4:B21)</f>
        <v>0</v>
      </c>
      <c r="B21" s="126"/>
      <c r="C21" s="169"/>
      <c r="D21" s="130">
        <f t="shared" si="0"/>
        <v>0</v>
      </c>
      <c r="E21" s="150">
        <f>SUM($D$3:D21)</f>
        <v>0</v>
      </c>
      <c r="F21" s="151">
        <f t="shared" si="1"/>
        <v>0</v>
      </c>
    </row>
    <row r="22" spans="1:6" ht="19.5">
      <c r="A22" s="153">
        <f>SUBTOTAL(103,B$4:B22)</f>
        <v>0</v>
      </c>
      <c r="B22" s="170"/>
      <c r="C22" s="169"/>
      <c r="D22" s="130">
        <f t="shared" si="0"/>
        <v>0</v>
      </c>
      <c r="E22" s="150">
        <f>SUM($D$3:D22)</f>
        <v>0</v>
      </c>
      <c r="F22" s="151">
        <f t="shared" si="1"/>
        <v>0</v>
      </c>
    </row>
    <row r="23" spans="1:6" ht="19.5">
      <c r="A23" s="153">
        <f>SUBTOTAL(103,B$4:B23)</f>
        <v>0</v>
      </c>
      <c r="B23" s="126"/>
      <c r="C23" s="169"/>
      <c r="D23" s="130">
        <f t="shared" si="0"/>
        <v>0</v>
      </c>
      <c r="E23" s="150">
        <f>SUM($D$3:D23)</f>
        <v>0</v>
      </c>
      <c r="F23" s="151">
        <f t="shared" si="1"/>
        <v>0</v>
      </c>
    </row>
    <row r="24" spans="1:6" ht="19.5">
      <c r="A24" s="153">
        <f>SUBTOTAL(103,B$4:B24)</f>
        <v>0</v>
      </c>
      <c r="B24" s="201"/>
      <c r="C24" s="169"/>
      <c r="D24" s="130">
        <f t="shared" si="0"/>
        <v>0</v>
      </c>
      <c r="E24" s="150">
        <f>SUM($D$3:D24)</f>
        <v>0</v>
      </c>
      <c r="F24" s="151">
        <f t="shared" si="1"/>
        <v>0</v>
      </c>
    </row>
    <row r="25" spans="1:6" ht="19.5">
      <c r="A25" s="153">
        <f>SUBTOTAL(103,B$4:B25)</f>
        <v>0</v>
      </c>
      <c r="B25" s="201"/>
      <c r="C25" s="169"/>
      <c r="D25" s="130">
        <f t="shared" si="0"/>
        <v>0</v>
      </c>
      <c r="E25" s="150">
        <f>SUM($D$3:D25)</f>
        <v>0</v>
      </c>
      <c r="F25" s="151">
        <f t="shared" si="1"/>
        <v>0</v>
      </c>
    </row>
    <row r="26" spans="1:6" ht="19.5">
      <c r="A26" s="153">
        <f>SUBTOTAL(103,B$4:B26)</f>
        <v>0</v>
      </c>
      <c r="B26" s="201"/>
      <c r="C26" s="169"/>
      <c r="D26" s="130">
        <f t="shared" si="0"/>
        <v>0</v>
      </c>
      <c r="E26" s="150">
        <f>SUM($D$3:D26)</f>
        <v>0</v>
      </c>
      <c r="F26" s="151">
        <f t="shared" si="1"/>
        <v>0</v>
      </c>
    </row>
    <row r="27" spans="1:6" ht="19.5">
      <c r="A27" s="153">
        <f>SUBTOTAL(103,B$4:B27)</f>
        <v>0</v>
      </c>
      <c r="B27" s="126"/>
      <c r="C27" s="169"/>
      <c r="D27" s="130">
        <f t="shared" si="0"/>
        <v>0</v>
      </c>
      <c r="E27" s="150">
        <f>SUM($D$3:D27)</f>
        <v>0</v>
      </c>
      <c r="F27" s="151">
        <f t="shared" si="1"/>
        <v>0</v>
      </c>
    </row>
    <row r="28" spans="1:6" ht="19.5">
      <c r="A28" s="153">
        <f>SUBTOTAL(103,B$4:B28)</f>
        <v>0</v>
      </c>
      <c r="B28" s="203"/>
      <c r="C28" s="169"/>
      <c r="D28" s="130">
        <f t="shared" si="0"/>
        <v>0</v>
      </c>
      <c r="E28" s="150">
        <f>SUM($D$3:D28)</f>
        <v>0</v>
      </c>
      <c r="F28" s="151">
        <f t="shared" si="1"/>
        <v>0</v>
      </c>
    </row>
    <row r="29" spans="1:6" ht="19.5">
      <c r="A29" s="153">
        <f>SUBTOTAL(103,B$4:B29)</f>
        <v>0</v>
      </c>
      <c r="B29" s="364"/>
      <c r="C29" s="169"/>
      <c r="D29" s="130">
        <f t="shared" si="0"/>
        <v>0</v>
      </c>
      <c r="E29" s="150">
        <f>SUM($D$3:D29)</f>
        <v>0</v>
      </c>
      <c r="F29" s="151">
        <f t="shared" si="1"/>
        <v>0</v>
      </c>
    </row>
    <row r="30" spans="1:6" ht="19.5">
      <c r="A30" s="153">
        <f>SUBTOTAL(103,B$4:B30)</f>
        <v>0</v>
      </c>
      <c r="B30" s="364"/>
      <c r="C30" s="169"/>
      <c r="D30" s="130">
        <f t="shared" si="0"/>
        <v>0</v>
      </c>
      <c r="E30" s="150">
        <f>SUM($D$3:D30)</f>
        <v>0</v>
      </c>
      <c r="F30" s="151">
        <f t="shared" si="1"/>
        <v>0</v>
      </c>
    </row>
    <row r="31" spans="1:6" ht="19.5">
      <c r="A31" s="153">
        <f>SUBTOTAL(103,B$4:B31)</f>
        <v>0</v>
      </c>
      <c r="B31" s="364"/>
      <c r="C31" s="169"/>
      <c r="D31" s="130">
        <f t="shared" si="0"/>
        <v>0</v>
      </c>
      <c r="E31" s="150">
        <f>SUM($D$3:D31)</f>
        <v>0</v>
      </c>
      <c r="F31" s="151">
        <f t="shared" si="1"/>
        <v>0</v>
      </c>
    </row>
    <row r="32" spans="1:6" ht="19.5">
      <c r="A32" s="153">
        <f>SUBTOTAL(103,B$4:B32)</f>
        <v>0</v>
      </c>
      <c r="B32" s="364"/>
      <c r="C32" s="169"/>
      <c r="D32" s="130">
        <f t="shared" si="0"/>
        <v>0</v>
      </c>
      <c r="E32" s="150">
        <f>SUM($D$3:D32)</f>
        <v>0</v>
      </c>
      <c r="F32" s="151">
        <f t="shared" si="1"/>
        <v>0</v>
      </c>
    </row>
    <row r="33" spans="1:6" ht="19.5">
      <c r="A33" s="153">
        <f>SUBTOTAL(103,B$4:B33)</f>
        <v>0</v>
      </c>
      <c r="B33" s="364"/>
      <c r="C33" s="169"/>
      <c r="D33" s="130">
        <f t="shared" si="0"/>
        <v>0</v>
      </c>
      <c r="E33" s="150">
        <f>SUM($D$3:D33)</f>
        <v>0</v>
      </c>
      <c r="F33" s="151">
        <f t="shared" si="1"/>
        <v>0</v>
      </c>
    </row>
    <row r="34" spans="1:6" ht="19.5">
      <c r="A34" s="153">
        <f>SUBTOTAL(103,B$4:B34)</f>
        <v>0</v>
      </c>
      <c r="B34" s="364"/>
      <c r="C34" s="169"/>
      <c r="D34" s="130">
        <f t="shared" si="0"/>
        <v>0</v>
      </c>
      <c r="E34" s="150">
        <f>SUM($D$3:D34)</f>
        <v>0</v>
      </c>
      <c r="F34" s="151">
        <f t="shared" si="1"/>
        <v>0</v>
      </c>
    </row>
    <row r="35" spans="1:6" ht="19.5">
      <c r="A35" s="153">
        <f>SUBTOTAL(103,B$4:B35)</f>
        <v>0</v>
      </c>
      <c r="B35" s="364"/>
      <c r="C35" s="169"/>
      <c r="D35" s="130">
        <f t="shared" si="0"/>
        <v>0</v>
      </c>
      <c r="E35" s="150">
        <f>SUM($D$3:D35)</f>
        <v>0</v>
      </c>
      <c r="F35" s="151">
        <f t="shared" si="1"/>
        <v>0</v>
      </c>
    </row>
    <row r="36" spans="1:6" ht="19.5">
      <c r="A36" s="153">
        <f>SUBTOTAL(103,B$4:B36)</f>
        <v>0</v>
      </c>
      <c r="B36" s="364"/>
      <c r="C36" s="169"/>
      <c r="D36" s="130">
        <f t="shared" si="0"/>
        <v>0</v>
      </c>
      <c r="E36" s="150">
        <f>SUM($D$3:D36)</f>
        <v>0</v>
      </c>
      <c r="F36" s="151">
        <f t="shared" si="1"/>
        <v>0</v>
      </c>
    </row>
    <row r="37" spans="1:6" ht="19.5">
      <c r="A37" s="153">
        <f>SUBTOTAL(103,B$4:B37)</f>
        <v>0</v>
      </c>
      <c r="B37" s="364"/>
      <c r="C37" s="169"/>
      <c r="D37" s="130">
        <f t="shared" si="0"/>
        <v>0</v>
      </c>
      <c r="E37" s="150">
        <f>SUM($D$3:D37)</f>
        <v>0</v>
      </c>
      <c r="F37" s="151">
        <f t="shared" si="1"/>
        <v>0</v>
      </c>
    </row>
    <row r="38" spans="1:6" ht="19.5">
      <c r="A38" s="153">
        <f>SUBTOTAL(103,B$4:B38)</f>
        <v>0</v>
      </c>
      <c r="B38" s="364"/>
      <c r="C38" s="169"/>
      <c r="D38" s="130">
        <f t="shared" si="0"/>
        <v>0</v>
      </c>
      <c r="E38" s="150">
        <f>SUM($D$3:D38)</f>
        <v>0</v>
      </c>
      <c r="F38" s="151">
        <f t="shared" si="1"/>
        <v>0</v>
      </c>
    </row>
    <row r="39" spans="1:6" ht="19.5">
      <c r="A39" s="153">
        <f>SUBTOTAL(103,B$4:B39)</f>
        <v>0</v>
      </c>
      <c r="B39" s="364"/>
      <c r="C39" s="169"/>
      <c r="D39" s="130">
        <f t="shared" si="0"/>
        <v>0</v>
      </c>
      <c r="E39" s="150">
        <f>SUM($D$3:D39)</f>
        <v>0</v>
      </c>
      <c r="F39" s="151">
        <f t="shared" si="1"/>
        <v>0</v>
      </c>
    </row>
    <row r="40" spans="1:6" ht="19.5">
      <c r="A40" s="153">
        <f>SUBTOTAL(103,B$4:B40)</f>
        <v>0</v>
      </c>
      <c r="B40" s="364"/>
      <c r="C40" s="169"/>
      <c r="D40" s="130">
        <f t="shared" si="0"/>
        <v>0</v>
      </c>
      <c r="E40" s="150">
        <f>SUM($D$3:D40)</f>
        <v>0</v>
      </c>
      <c r="F40" s="151">
        <f t="shared" si="1"/>
        <v>0</v>
      </c>
    </row>
    <row r="41" spans="1:6" ht="19.5">
      <c r="A41" s="153">
        <f>SUBTOTAL(103,B$4:B41)</f>
        <v>0</v>
      </c>
      <c r="B41" s="364"/>
      <c r="C41" s="169"/>
      <c r="D41" s="130">
        <f t="shared" si="0"/>
        <v>0</v>
      </c>
      <c r="E41" s="150">
        <f>SUM($D$3:D41)</f>
        <v>0</v>
      </c>
      <c r="F41" s="151">
        <f t="shared" si="1"/>
        <v>0</v>
      </c>
    </row>
    <row r="42" spans="1:6" ht="19.5">
      <c r="A42" s="153">
        <f>SUBTOTAL(103,B$4:B42)</f>
        <v>0</v>
      </c>
      <c r="B42" s="364"/>
      <c r="C42" s="169"/>
      <c r="D42" s="130">
        <f t="shared" si="0"/>
        <v>0</v>
      </c>
      <c r="E42" s="150">
        <f>SUM($D$3:D42)</f>
        <v>0</v>
      </c>
      <c r="F42" s="151">
        <f t="shared" si="1"/>
        <v>0</v>
      </c>
    </row>
    <row r="43" spans="1:6" ht="19.5">
      <c r="A43" s="153">
        <f>SUBTOTAL(103,B$4:B43)</f>
        <v>0</v>
      </c>
      <c r="B43" s="364"/>
      <c r="C43" s="169"/>
      <c r="D43" s="130">
        <f t="shared" si="0"/>
        <v>0</v>
      </c>
      <c r="E43" s="150">
        <f>SUM($D$3:D43)</f>
        <v>0</v>
      </c>
      <c r="F43" s="151">
        <f t="shared" si="1"/>
        <v>0</v>
      </c>
    </row>
    <row r="44" spans="1:6" ht="19.5">
      <c r="A44" s="153">
        <f>SUBTOTAL(103,B$4:B44)</f>
        <v>0</v>
      </c>
      <c r="B44" s="364"/>
      <c r="C44" s="169"/>
      <c r="D44" s="130">
        <f t="shared" si="0"/>
        <v>0</v>
      </c>
      <c r="E44" s="150">
        <f>SUM($D$3:D44)</f>
        <v>0</v>
      </c>
      <c r="F44" s="151">
        <f t="shared" si="1"/>
        <v>0</v>
      </c>
    </row>
    <row r="45" spans="1:6" ht="19.5">
      <c r="A45" s="153">
        <f>SUBTOTAL(103,B$4:B45)</f>
        <v>0</v>
      </c>
      <c r="B45" s="364"/>
      <c r="C45" s="169"/>
      <c r="D45" s="130">
        <f t="shared" si="0"/>
        <v>0</v>
      </c>
      <c r="E45" s="150">
        <f>SUM($D$3:D45)</f>
        <v>0</v>
      </c>
      <c r="F45" s="151">
        <f t="shared" si="1"/>
        <v>0</v>
      </c>
    </row>
    <row r="46" spans="1:6" ht="19.5">
      <c r="A46" s="153">
        <f>SUBTOTAL(103,B$4:B46)</f>
        <v>0</v>
      </c>
      <c r="B46" s="364"/>
      <c r="C46" s="169"/>
      <c r="D46" s="130">
        <f t="shared" si="0"/>
        <v>0</v>
      </c>
      <c r="E46" s="150">
        <f>SUM($D$3:D46)</f>
        <v>0</v>
      </c>
      <c r="F46" s="151">
        <f t="shared" si="1"/>
        <v>0</v>
      </c>
    </row>
    <row r="47" spans="1:6" ht="19.5">
      <c r="A47" s="153">
        <f>SUBTOTAL(103,B$4:B47)</f>
        <v>0</v>
      </c>
      <c r="B47" s="364"/>
      <c r="C47" s="169"/>
      <c r="D47" s="130">
        <f t="shared" si="0"/>
        <v>0</v>
      </c>
      <c r="E47" s="150">
        <f>SUM($D$3:D47)</f>
        <v>0</v>
      </c>
      <c r="F47" s="151">
        <f t="shared" si="1"/>
        <v>0</v>
      </c>
    </row>
    <row r="48" spans="1:6" ht="19.5">
      <c r="A48" s="153">
        <f>SUBTOTAL(103,B$4:B48)</f>
        <v>0</v>
      </c>
      <c r="B48" s="364"/>
      <c r="C48" s="169"/>
      <c r="D48" s="130">
        <f t="shared" si="0"/>
        <v>0</v>
      </c>
      <c r="E48" s="150">
        <f>SUM($D$3:D48)</f>
        <v>0</v>
      </c>
      <c r="F48" s="151">
        <f t="shared" si="1"/>
        <v>0</v>
      </c>
    </row>
    <row r="49" spans="1:6" ht="19.5">
      <c r="A49" s="153">
        <f>SUBTOTAL(103,B$4:B49)</f>
        <v>0</v>
      </c>
      <c r="B49" s="364"/>
      <c r="C49" s="169"/>
      <c r="D49" s="130">
        <f t="shared" si="0"/>
        <v>0</v>
      </c>
      <c r="E49" s="150">
        <f>SUM($D$3:D49)</f>
        <v>0</v>
      </c>
      <c r="F49" s="151">
        <f t="shared" si="1"/>
        <v>0</v>
      </c>
    </row>
    <row r="50" spans="1:6" ht="19.5">
      <c r="A50" s="153">
        <f>SUBTOTAL(103,B$4:B50)</f>
        <v>0</v>
      </c>
      <c r="B50" s="202"/>
      <c r="C50" s="169"/>
      <c r="D50" s="130">
        <f t="shared" si="0"/>
        <v>0</v>
      </c>
      <c r="E50" s="150">
        <f>SUM($D$3:D50)</f>
        <v>0</v>
      </c>
      <c r="F50" s="151">
        <f>A50</f>
        <v>0</v>
      </c>
    </row>
    <row r="51" spans="1:6" ht="19.5">
      <c r="A51" s="153"/>
      <c r="B51" s="135" t="s">
        <v>233</v>
      </c>
      <c r="C51" s="172">
        <f>SUM(C4:C50)</f>
        <v>0</v>
      </c>
    </row>
    <row r="52" spans="1:6" ht="19.5">
      <c r="A52" s="504" t="s">
        <v>493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0" t="s">
        <v>235</v>
      </c>
      <c r="B1" s="500"/>
      <c r="C1" s="500"/>
      <c r="F1" s="127">
        <f>P!L3</f>
        <v>45976</v>
      </c>
    </row>
    <row r="2" spans="1:6" ht="29.25" customHeight="1">
      <c r="A2" s="507" t="s">
        <v>478</v>
      </c>
      <c r="B2" s="507"/>
      <c r="C2" s="507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0</v>
      </c>
      <c r="B4" s="126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6">
      <c r="A5" s="153">
        <f>SUBTOTAL(103,B$4:B5)</f>
        <v>0</v>
      </c>
      <c r="B5" s="126"/>
      <c r="C5" s="169"/>
      <c r="D5" s="130">
        <f t="shared" ref="D5:D50" si="0">C5</f>
        <v>0</v>
      </c>
      <c r="E5" s="143">
        <f>SUM($D$3:D5)</f>
        <v>0</v>
      </c>
      <c r="F5" s="133">
        <f t="shared" ref="F5:F50" si="1">A5</f>
        <v>0</v>
      </c>
    </row>
    <row r="6" spans="1:6">
      <c r="A6" s="153">
        <f>SUBTOTAL(103,B$4:B6)</f>
        <v>0</v>
      </c>
      <c r="B6" s="126"/>
      <c r="C6" s="169"/>
      <c r="D6" s="130">
        <f t="shared" si="0"/>
        <v>0</v>
      </c>
      <c r="E6" s="143">
        <f>SUM($D$3:D6)</f>
        <v>0</v>
      </c>
      <c r="F6" s="133">
        <f t="shared" si="1"/>
        <v>0</v>
      </c>
    </row>
    <row r="7" spans="1:6">
      <c r="A7" s="153">
        <f>SUBTOTAL(103,B$4:B7)</f>
        <v>0</v>
      </c>
      <c r="B7" s="126"/>
      <c r="C7" s="169"/>
      <c r="D7" s="130">
        <f t="shared" si="0"/>
        <v>0</v>
      </c>
      <c r="E7" s="143">
        <f>SUM($D$3:D7)</f>
        <v>0</v>
      </c>
      <c r="F7" s="133">
        <f t="shared" si="1"/>
        <v>0</v>
      </c>
    </row>
    <row r="8" spans="1:6">
      <c r="A8" s="153">
        <f>SUBTOTAL(103,B$4:B8)</f>
        <v>0</v>
      </c>
      <c r="B8" s="126"/>
      <c r="C8" s="169"/>
      <c r="D8" s="130">
        <f t="shared" si="0"/>
        <v>0</v>
      </c>
      <c r="E8" s="143">
        <f>SUM($D$3:D8)</f>
        <v>0</v>
      </c>
      <c r="F8" s="133">
        <f t="shared" si="1"/>
        <v>0</v>
      </c>
    </row>
    <row r="9" spans="1:6">
      <c r="A9" s="153">
        <f>SUBTOTAL(103,B$4:B9)</f>
        <v>0</v>
      </c>
      <c r="B9" s="278"/>
      <c r="C9" s="169"/>
      <c r="D9" s="130">
        <f t="shared" si="0"/>
        <v>0</v>
      </c>
      <c r="E9" s="143">
        <f>SUM($D$3:D9)</f>
        <v>0</v>
      </c>
      <c r="F9" s="133">
        <f t="shared" si="1"/>
        <v>0</v>
      </c>
    </row>
    <row r="10" spans="1:6">
      <c r="A10" s="153">
        <f>SUBTOTAL(103,B$4:B10)</f>
        <v>0</v>
      </c>
      <c r="B10" s="126"/>
      <c r="C10" s="169"/>
      <c r="D10" s="130">
        <f t="shared" si="0"/>
        <v>0</v>
      </c>
      <c r="E10" s="143">
        <f>SUM($D$3:D10)</f>
        <v>0</v>
      </c>
      <c r="F10" s="133">
        <f t="shared" si="1"/>
        <v>0</v>
      </c>
    </row>
    <row r="11" spans="1:6">
      <c r="A11" s="153">
        <f>SUBTOTAL(103,B$4:B11)</f>
        <v>0</v>
      </c>
      <c r="B11" s="126"/>
      <c r="C11" s="169"/>
      <c r="D11" s="152">
        <f t="shared" si="0"/>
        <v>0</v>
      </c>
      <c r="E11" s="143">
        <f>SUM($D$3:D11)</f>
        <v>0</v>
      </c>
      <c r="F11" s="133">
        <f t="shared" si="1"/>
        <v>0</v>
      </c>
    </row>
    <row r="12" spans="1:6">
      <c r="A12" s="153">
        <f>SUBTOTAL(103,B$4:B12)</f>
        <v>0</v>
      </c>
      <c r="B12" s="126"/>
      <c r="C12" s="169"/>
      <c r="D12" s="152">
        <f t="shared" si="0"/>
        <v>0</v>
      </c>
      <c r="E12" s="143">
        <f>SUM($D$3:D12)</f>
        <v>0</v>
      </c>
      <c r="F12" s="133">
        <f t="shared" si="1"/>
        <v>0</v>
      </c>
    </row>
    <row r="13" spans="1:6">
      <c r="A13" s="153">
        <f>SUBTOTAL(103,B$4:B13)</f>
        <v>0</v>
      </c>
      <c r="B13" s="126"/>
      <c r="C13" s="169"/>
      <c r="D13" s="152">
        <f t="shared" si="0"/>
        <v>0</v>
      </c>
      <c r="E13" s="143">
        <f>SUM($D$3:D13)</f>
        <v>0</v>
      </c>
      <c r="F13" s="133">
        <f t="shared" si="1"/>
        <v>0</v>
      </c>
    </row>
    <row r="14" spans="1:6">
      <c r="A14" s="153">
        <f>SUBTOTAL(103,B$4:B14)</f>
        <v>0</v>
      </c>
      <c r="B14" s="126"/>
      <c r="C14" s="169"/>
      <c r="D14" s="152">
        <f t="shared" si="0"/>
        <v>0</v>
      </c>
      <c r="E14" s="143">
        <f>SUM($D$3:D14)</f>
        <v>0</v>
      </c>
      <c r="F14" s="133">
        <f t="shared" si="1"/>
        <v>0</v>
      </c>
    </row>
    <row r="15" spans="1:6">
      <c r="A15" s="153">
        <f>SUBTOTAL(103,B$4:B15)</f>
        <v>0</v>
      </c>
      <c r="B15" s="126"/>
      <c r="C15" s="169"/>
      <c r="D15" s="152">
        <f t="shared" si="0"/>
        <v>0</v>
      </c>
      <c r="E15" s="143">
        <f>SUM($D$3:D15)</f>
        <v>0</v>
      </c>
      <c r="F15" s="133">
        <f t="shared" si="1"/>
        <v>0</v>
      </c>
    </row>
    <row r="16" spans="1:6">
      <c r="A16" s="153">
        <f>SUBTOTAL(103,B$4:B16)</f>
        <v>0</v>
      </c>
      <c r="B16" s="126"/>
      <c r="C16" s="169"/>
      <c r="D16" s="152">
        <f t="shared" si="0"/>
        <v>0</v>
      </c>
      <c r="E16" s="143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26"/>
      <c r="C17" s="169"/>
      <c r="D17" s="152">
        <f t="shared" si="0"/>
        <v>0</v>
      </c>
      <c r="E17" s="143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52">
        <f t="shared" si="0"/>
        <v>0</v>
      </c>
      <c r="E18" s="143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52">
        <f t="shared" si="0"/>
        <v>0</v>
      </c>
      <c r="E19" s="143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52">
        <f t="shared" si="0"/>
        <v>0</v>
      </c>
      <c r="E20" s="143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16"/>
      <c r="C21" s="169"/>
      <c r="D21" s="152">
        <f t="shared" si="0"/>
        <v>0</v>
      </c>
      <c r="E21" s="143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16"/>
      <c r="C22" s="169"/>
      <c r="D22" s="152">
        <f t="shared" si="0"/>
        <v>0</v>
      </c>
      <c r="E22" s="143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364"/>
      <c r="C23" s="169"/>
      <c r="D23" s="152">
        <f t="shared" si="0"/>
        <v>0</v>
      </c>
      <c r="E23" s="143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364"/>
      <c r="C24" s="169"/>
      <c r="D24" s="152">
        <f t="shared" si="0"/>
        <v>0</v>
      </c>
      <c r="E24" s="143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364"/>
      <c r="C25" s="169"/>
      <c r="D25" s="152">
        <f t="shared" si="0"/>
        <v>0</v>
      </c>
      <c r="E25" s="143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364"/>
      <c r="C26" s="169"/>
      <c r="D26" s="152">
        <f t="shared" si="0"/>
        <v>0</v>
      </c>
      <c r="E26" s="143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364"/>
      <c r="C27" s="169"/>
      <c r="D27" s="152">
        <f t="shared" si="0"/>
        <v>0</v>
      </c>
      <c r="E27" s="143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364"/>
      <c r="C28" s="169"/>
      <c r="D28" s="152">
        <f t="shared" si="0"/>
        <v>0</v>
      </c>
      <c r="E28" s="143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364"/>
      <c r="C29" s="169"/>
      <c r="D29" s="152">
        <f t="shared" si="0"/>
        <v>0</v>
      </c>
      <c r="E29" s="143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364"/>
      <c r="C30" s="169"/>
      <c r="D30" s="152">
        <f t="shared" si="0"/>
        <v>0</v>
      </c>
      <c r="E30" s="143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364"/>
      <c r="C31" s="169"/>
      <c r="D31" s="152">
        <f t="shared" si="0"/>
        <v>0</v>
      </c>
      <c r="E31" s="143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52">
        <f t="shared" si="0"/>
        <v>0</v>
      </c>
      <c r="E32" s="143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52">
        <f t="shared" si="0"/>
        <v>0</v>
      </c>
      <c r="E33" s="143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52">
        <f t="shared" si="0"/>
        <v>0</v>
      </c>
      <c r="E34" s="143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52">
        <f t="shared" si="0"/>
        <v>0</v>
      </c>
      <c r="E35" s="143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52">
        <f t="shared" si="0"/>
        <v>0</v>
      </c>
      <c r="E36" s="143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52">
        <f t="shared" si="0"/>
        <v>0</v>
      </c>
      <c r="E37" s="143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364"/>
      <c r="C38" s="169"/>
      <c r="D38" s="152">
        <f t="shared" si="0"/>
        <v>0</v>
      </c>
      <c r="E38" s="143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364"/>
      <c r="C39" s="169"/>
      <c r="D39" s="152">
        <f t="shared" si="0"/>
        <v>0</v>
      </c>
      <c r="E39" s="143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52">
        <f t="shared" si="0"/>
        <v>0</v>
      </c>
      <c r="E40" s="143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52">
        <f t="shared" si="0"/>
        <v>0</v>
      </c>
      <c r="E41" s="143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52">
        <f t="shared" si="0"/>
        <v>0</v>
      </c>
      <c r="E42" s="143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52">
        <f t="shared" si="0"/>
        <v>0</v>
      </c>
      <c r="E43" s="143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52">
        <f t="shared" si="0"/>
        <v>0</v>
      </c>
      <c r="E44" s="143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52">
        <f t="shared" si="0"/>
        <v>0</v>
      </c>
      <c r="E45" s="143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52">
        <f t="shared" si="0"/>
        <v>0</v>
      </c>
      <c r="E46" s="143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52">
        <f t="shared" si="0"/>
        <v>0</v>
      </c>
      <c r="E47" s="143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364"/>
      <c r="C48" s="169"/>
      <c r="D48" s="152">
        <f t="shared" si="0"/>
        <v>0</v>
      </c>
      <c r="E48" s="143">
        <f>SUM($D$3:D48)</f>
        <v>0</v>
      </c>
      <c r="F48" s="133">
        <f t="shared" si="1"/>
        <v>0</v>
      </c>
    </row>
    <row r="49" spans="1:6">
      <c r="A49" s="153">
        <f>SUBTOTAL(103,B$4:B49)</f>
        <v>0</v>
      </c>
      <c r="B49" s="364"/>
      <c r="C49" s="169"/>
      <c r="D49" s="152">
        <f t="shared" si="0"/>
        <v>0</v>
      </c>
      <c r="E49" s="143">
        <f>SUM($D$3:D49)</f>
        <v>0</v>
      </c>
      <c r="F49" s="133">
        <f t="shared" si="1"/>
        <v>0</v>
      </c>
    </row>
    <row r="50" spans="1:6">
      <c r="A50" s="153">
        <f>SUBTOTAL(103,B$4:B50)</f>
        <v>0</v>
      </c>
      <c r="B50" s="216"/>
      <c r="C50" s="169"/>
      <c r="D50" s="152">
        <f t="shared" si="0"/>
        <v>0</v>
      </c>
      <c r="E50" s="143">
        <f>SUM($D$3:D50)</f>
        <v>0</v>
      </c>
      <c r="F50" s="133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494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0" t="s">
        <v>235</v>
      </c>
      <c r="B1" s="500"/>
      <c r="C1" s="500"/>
      <c r="G1" s="127">
        <f>P!N3</f>
        <v>45977</v>
      </c>
    </row>
    <row r="2" spans="1:7" ht="39.75" customHeight="1">
      <c r="A2" s="507" t="s">
        <v>479</v>
      </c>
      <c r="B2" s="507"/>
      <c r="C2" s="507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0</v>
      </c>
      <c r="B4" s="279"/>
      <c r="C4" s="169"/>
      <c r="D4" s="142">
        <f>C4</f>
        <v>0</v>
      </c>
      <c r="E4" s="143">
        <f>SUM($D$3:D4)</f>
        <v>0</v>
      </c>
      <c r="F4" s="155">
        <f>A4</f>
        <v>0</v>
      </c>
      <c r="G4" s="156"/>
    </row>
    <row r="5" spans="1:7" ht="19.5">
      <c r="A5" s="153">
        <f>SUBTOTAL(103,B$4:B5)</f>
        <v>0</v>
      </c>
      <c r="B5" s="423"/>
      <c r="C5" s="169"/>
      <c r="D5" s="142">
        <f t="shared" ref="D5:D50" si="0">C5</f>
        <v>0</v>
      </c>
      <c r="E5" s="143">
        <f>SUM($D$3:D5)</f>
        <v>0</v>
      </c>
      <c r="F5" s="155">
        <f t="shared" ref="F5:F50" si="1">A5</f>
        <v>0</v>
      </c>
    </row>
    <row r="6" spans="1:7" ht="19.5">
      <c r="A6" s="153">
        <f>SUBTOTAL(103,B$4:B6)</f>
        <v>0</v>
      </c>
      <c r="B6" s="423"/>
      <c r="C6" s="169"/>
      <c r="D6" s="142">
        <f t="shared" si="0"/>
        <v>0</v>
      </c>
      <c r="E6" s="143">
        <f>SUM($D$3:D6)</f>
        <v>0</v>
      </c>
      <c r="F6" s="155">
        <f t="shared" si="1"/>
        <v>0</v>
      </c>
    </row>
    <row r="7" spans="1:7" ht="19.5">
      <c r="A7" s="153">
        <f>SUBTOTAL(103,B$4:B7)</f>
        <v>0</v>
      </c>
      <c r="B7" s="423"/>
      <c r="C7" s="169"/>
      <c r="D7" s="142">
        <f t="shared" si="0"/>
        <v>0</v>
      </c>
      <c r="E7" s="143">
        <f>SUM($D$3:D7)</f>
        <v>0</v>
      </c>
      <c r="F7" s="155">
        <f t="shared" si="1"/>
        <v>0</v>
      </c>
    </row>
    <row r="8" spans="1:7" ht="19.5">
      <c r="A8" s="153">
        <f>SUBTOTAL(103,B$4:B8)</f>
        <v>0</v>
      </c>
      <c r="B8" s="424"/>
      <c r="C8" s="169"/>
      <c r="D8" s="142">
        <f t="shared" si="0"/>
        <v>0</v>
      </c>
      <c r="E8" s="143">
        <f>SUM($D$3:D8)</f>
        <v>0</v>
      </c>
      <c r="F8" s="155">
        <f t="shared" si="1"/>
        <v>0</v>
      </c>
    </row>
    <row r="9" spans="1:7" ht="19.5">
      <c r="A9" s="153">
        <f>SUBTOTAL(103,B$4:B9)</f>
        <v>0</v>
      </c>
      <c r="B9" s="423"/>
      <c r="C9" s="169"/>
      <c r="D9" s="142">
        <f t="shared" si="0"/>
        <v>0</v>
      </c>
      <c r="E9" s="143">
        <f>SUM($D$3:D9)</f>
        <v>0</v>
      </c>
      <c r="F9" s="155">
        <f t="shared" si="1"/>
        <v>0</v>
      </c>
    </row>
    <row r="10" spans="1:7" ht="19.5">
      <c r="A10" s="153">
        <f>SUBTOTAL(103,B$4:B10)</f>
        <v>0</v>
      </c>
      <c r="B10" s="423"/>
      <c r="C10" s="169"/>
      <c r="D10" s="142">
        <f t="shared" si="0"/>
        <v>0</v>
      </c>
      <c r="E10" s="143">
        <f>SUM($D$3:D10)</f>
        <v>0</v>
      </c>
      <c r="F10" s="155">
        <f t="shared" si="1"/>
        <v>0</v>
      </c>
    </row>
    <row r="11" spans="1:7" ht="19.5">
      <c r="A11" s="153">
        <f>SUBTOTAL(103,B$4:B11)</f>
        <v>0</v>
      </c>
      <c r="B11" s="423"/>
      <c r="C11" s="169"/>
      <c r="D11" s="142">
        <f t="shared" si="0"/>
        <v>0</v>
      </c>
      <c r="E11" s="143">
        <f>SUM($D$3:D11)</f>
        <v>0</v>
      </c>
      <c r="F11" s="155">
        <f t="shared" si="1"/>
        <v>0</v>
      </c>
    </row>
    <row r="12" spans="1:7" ht="19.5">
      <c r="A12" s="153">
        <f>SUBTOTAL(103,B$4:B12)</f>
        <v>0</v>
      </c>
      <c r="B12" s="423"/>
      <c r="C12" s="169"/>
      <c r="D12" s="142">
        <f t="shared" si="0"/>
        <v>0</v>
      </c>
      <c r="E12" s="143">
        <f>SUM($D$3:D12)</f>
        <v>0</v>
      </c>
      <c r="F12" s="155">
        <f t="shared" si="1"/>
        <v>0</v>
      </c>
    </row>
    <row r="13" spans="1:7" ht="19.5">
      <c r="A13" s="153">
        <f>SUBTOTAL(103,B$4:B13)</f>
        <v>0</v>
      </c>
      <c r="B13" s="423"/>
      <c r="C13" s="169"/>
      <c r="D13" s="142">
        <f t="shared" si="0"/>
        <v>0</v>
      </c>
      <c r="E13" s="143">
        <f>SUM($D$3:D13)</f>
        <v>0</v>
      </c>
      <c r="F13" s="155">
        <f t="shared" si="1"/>
        <v>0</v>
      </c>
    </row>
    <row r="14" spans="1:7" ht="19.5">
      <c r="A14" s="153">
        <f>SUBTOTAL(103,B$4:B14)</f>
        <v>0</v>
      </c>
      <c r="B14" s="423"/>
      <c r="C14" s="169"/>
      <c r="D14" s="142">
        <f t="shared" si="0"/>
        <v>0</v>
      </c>
      <c r="E14" s="143">
        <f>SUM($D$3:D14)</f>
        <v>0</v>
      </c>
      <c r="F14" s="155">
        <f t="shared" si="1"/>
        <v>0</v>
      </c>
    </row>
    <row r="15" spans="1:7" ht="19.5">
      <c r="A15" s="153">
        <f>SUBTOTAL(103,B$4:B15)</f>
        <v>0</v>
      </c>
      <c r="B15" s="126"/>
      <c r="C15" s="169"/>
      <c r="D15" s="142">
        <f t="shared" si="0"/>
        <v>0</v>
      </c>
      <c r="E15" s="143">
        <f>SUM($D$3:D15)</f>
        <v>0</v>
      </c>
      <c r="F15" s="155">
        <f t="shared" si="1"/>
        <v>0</v>
      </c>
    </row>
    <row r="16" spans="1:7" ht="19.5">
      <c r="A16" s="153">
        <f>SUBTOTAL(103,B$4:B16)</f>
        <v>0</v>
      </c>
      <c r="B16" s="126"/>
      <c r="C16" s="169"/>
      <c r="D16" s="142">
        <f t="shared" si="0"/>
        <v>0</v>
      </c>
      <c r="E16" s="143">
        <f>SUM($D$3:D16)</f>
        <v>0</v>
      </c>
      <c r="F16" s="155">
        <f t="shared" si="1"/>
        <v>0</v>
      </c>
    </row>
    <row r="17" spans="1:6" ht="19.5">
      <c r="A17" s="153">
        <f>SUBTOTAL(103,B$4:B17)</f>
        <v>0</v>
      </c>
      <c r="B17" s="126"/>
      <c r="C17" s="169"/>
      <c r="D17" s="142">
        <f t="shared" si="0"/>
        <v>0</v>
      </c>
      <c r="E17" s="143">
        <f>SUM($D$3:D17)</f>
        <v>0</v>
      </c>
      <c r="F17" s="155">
        <f t="shared" si="1"/>
        <v>0</v>
      </c>
    </row>
    <row r="18" spans="1:6" ht="19.5">
      <c r="A18" s="153">
        <f>SUBTOTAL(103,B$4:B18)</f>
        <v>0</v>
      </c>
      <c r="B18" s="126"/>
      <c r="C18" s="169"/>
      <c r="D18" s="142">
        <f t="shared" si="0"/>
        <v>0</v>
      </c>
      <c r="E18" s="143">
        <f>SUM($D$3:D18)</f>
        <v>0</v>
      </c>
      <c r="F18" s="155">
        <f t="shared" si="1"/>
        <v>0</v>
      </c>
    </row>
    <row r="19" spans="1:6" ht="19.5">
      <c r="A19" s="153">
        <f>SUBTOTAL(103,B$4:B19)</f>
        <v>0</v>
      </c>
      <c r="B19" s="364"/>
      <c r="C19" s="169"/>
      <c r="D19" s="142">
        <f t="shared" si="0"/>
        <v>0</v>
      </c>
      <c r="E19" s="143">
        <f>SUM($D$3:D19)</f>
        <v>0</v>
      </c>
      <c r="F19" s="155">
        <f t="shared" si="1"/>
        <v>0</v>
      </c>
    </row>
    <row r="20" spans="1:6" ht="19.5">
      <c r="A20" s="153">
        <f>SUBTOTAL(103,B$4:B20)</f>
        <v>0</v>
      </c>
      <c r="B20" s="364"/>
      <c r="C20" s="169"/>
      <c r="D20" s="142">
        <f t="shared" si="0"/>
        <v>0</v>
      </c>
      <c r="E20" s="143">
        <f>SUM($D$3:D20)</f>
        <v>0</v>
      </c>
      <c r="F20" s="155">
        <f t="shared" si="1"/>
        <v>0</v>
      </c>
    </row>
    <row r="21" spans="1:6" ht="19.5">
      <c r="A21" s="153">
        <f>SUBTOTAL(103,B$4:B21)</f>
        <v>0</v>
      </c>
      <c r="B21" s="364"/>
      <c r="C21" s="169"/>
      <c r="D21" s="142">
        <f t="shared" si="0"/>
        <v>0</v>
      </c>
      <c r="E21" s="143">
        <f>SUM($D$3:D21)</f>
        <v>0</v>
      </c>
      <c r="F21" s="155">
        <f t="shared" si="1"/>
        <v>0</v>
      </c>
    </row>
    <row r="22" spans="1:6" ht="19.5">
      <c r="A22" s="153">
        <f>SUBTOTAL(103,B$4:B22)</f>
        <v>0</v>
      </c>
      <c r="B22" s="364"/>
      <c r="C22" s="169"/>
      <c r="D22" s="142">
        <f t="shared" si="0"/>
        <v>0</v>
      </c>
      <c r="E22" s="143">
        <f>SUM($D$3:D22)</f>
        <v>0</v>
      </c>
      <c r="F22" s="155">
        <f t="shared" si="1"/>
        <v>0</v>
      </c>
    </row>
    <row r="23" spans="1:6" ht="19.5">
      <c r="A23" s="153">
        <f>SUBTOTAL(103,B$4:B23)</f>
        <v>0</v>
      </c>
      <c r="B23" s="364"/>
      <c r="C23" s="169"/>
      <c r="D23" s="142">
        <f t="shared" si="0"/>
        <v>0</v>
      </c>
      <c r="E23" s="143">
        <f>SUM($D$3:D23)</f>
        <v>0</v>
      </c>
      <c r="F23" s="155">
        <f t="shared" si="1"/>
        <v>0</v>
      </c>
    </row>
    <row r="24" spans="1:6" ht="19.5">
      <c r="A24" s="153">
        <f>SUBTOTAL(103,B$4:B24)</f>
        <v>0</v>
      </c>
      <c r="B24" s="364"/>
      <c r="C24" s="169"/>
      <c r="D24" s="142">
        <f t="shared" si="0"/>
        <v>0</v>
      </c>
      <c r="E24" s="143">
        <f>SUM($D$3:D24)</f>
        <v>0</v>
      </c>
      <c r="F24" s="155">
        <f t="shared" si="1"/>
        <v>0</v>
      </c>
    </row>
    <row r="25" spans="1:6" ht="19.5">
      <c r="A25" s="153">
        <f>SUBTOTAL(103,B$4:B25)</f>
        <v>0</v>
      </c>
      <c r="B25" s="364"/>
      <c r="C25" s="169"/>
      <c r="D25" s="142">
        <f t="shared" si="0"/>
        <v>0</v>
      </c>
      <c r="E25" s="143">
        <f>SUM($D$3:D25)</f>
        <v>0</v>
      </c>
      <c r="F25" s="155">
        <f t="shared" si="1"/>
        <v>0</v>
      </c>
    </row>
    <row r="26" spans="1:6" ht="19.5">
      <c r="A26" s="153">
        <f>SUBTOTAL(103,B$4:B26)</f>
        <v>0</v>
      </c>
      <c r="B26" s="364"/>
      <c r="C26" s="169"/>
      <c r="D26" s="142">
        <f t="shared" si="0"/>
        <v>0</v>
      </c>
      <c r="E26" s="143">
        <f>SUM($D$3:D26)</f>
        <v>0</v>
      </c>
      <c r="F26" s="155">
        <f t="shared" si="1"/>
        <v>0</v>
      </c>
    </row>
    <row r="27" spans="1:6" ht="19.5">
      <c r="A27" s="153">
        <f>SUBTOTAL(103,B$4:B27)</f>
        <v>0</v>
      </c>
      <c r="B27" s="364"/>
      <c r="C27" s="169"/>
      <c r="D27" s="142">
        <f t="shared" si="0"/>
        <v>0</v>
      </c>
      <c r="E27" s="143">
        <f>SUM($D$3:D27)</f>
        <v>0</v>
      </c>
      <c r="F27" s="155">
        <f t="shared" si="1"/>
        <v>0</v>
      </c>
    </row>
    <row r="28" spans="1:6" ht="19.5">
      <c r="A28" s="153">
        <f>SUBTOTAL(103,B$4:B28)</f>
        <v>0</v>
      </c>
      <c r="B28" s="364"/>
      <c r="C28" s="169"/>
      <c r="D28" s="142">
        <f t="shared" si="0"/>
        <v>0</v>
      </c>
      <c r="E28" s="143">
        <f>SUM($D$3:D28)</f>
        <v>0</v>
      </c>
      <c r="F28" s="155">
        <f t="shared" si="1"/>
        <v>0</v>
      </c>
    </row>
    <row r="29" spans="1:6" ht="19.5">
      <c r="A29" s="153">
        <f>SUBTOTAL(103,B$4:B29)</f>
        <v>0</v>
      </c>
      <c r="B29" s="364"/>
      <c r="C29" s="169"/>
      <c r="D29" s="142">
        <f t="shared" si="0"/>
        <v>0</v>
      </c>
      <c r="E29" s="143">
        <f>SUM($D$3:D29)</f>
        <v>0</v>
      </c>
      <c r="F29" s="155">
        <f t="shared" si="1"/>
        <v>0</v>
      </c>
    </row>
    <row r="30" spans="1:6" ht="19.5">
      <c r="A30" s="153">
        <f>SUBTOTAL(103,B$4:B30)</f>
        <v>0</v>
      </c>
      <c r="B30" s="364"/>
      <c r="C30" s="169"/>
      <c r="D30" s="142">
        <f t="shared" si="0"/>
        <v>0</v>
      </c>
      <c r="E30" s="143">
        <f>SUM($D$3:D30)</f>
        <v>0</v>
      </c>
      <c r="F30" s="155">
        <f t="shared" si="1"/>
        <v>0</v>
      </c>
    </row>
    <row r="31" spans="1:6" ht="19.5">
      <c r="A31" s="153">
        <f>SUBTOTAL(103,B$4:B31)</f>
        <v>0</v>
      </c>
      <c r="B31" s="364"/>
      <c r="C31" s="169"/>
      <c r="D31" s="142">
        <f t="shared" si="0"/>
        <v>0</v>
      </c>
      <c r="E31" s="143">
        <f>SUM($D$3:D31)</f>
        <v>0</v>
      </c>
      <c r="F31" s="155">
        <f t="shared" si="1"/>
        <v>0</v>
      </c>
    </row>
    <row r="32" spans="1:6" ht="19.5">
      <c r="A32" s="153">
        <f>SUBTOTAL(103,B$4:B32)</f>
        <v>0</v>
      </c>
      <c r="B32" s="364"/>
      <c r="C32" s="169"/>
      <c r="D32" s="142">
        <f t="shared" si="0"/>
        <v>0</v>
      </c>
      <c r="E32" s="143">
        <f>SUM($D$3:D32)</f>
        <v>0</v>
      </c>
      <c r="F32" s="155">
        <f t="shared" si="1"/>
        <v>0</v>
      </c>
    </row>
    <row r="33" spans="1:6" ht="19.5">
      <c r="A33" s="153">
        <f>SUBTOTAL(103,B$4:B33)</f>
        <v>0</v>
      </c>
      <c r="B33" s="364"/>
      <c r="C33" s="169"/>
      <c r="D33" s="142">
        <f t="shared" si="0"/>
        <v>0</v>
      </c>
      <c r="E33" s="143">
        <f>SUM($D$3:D33)</f>
        <v>0</v>
      </c>
      <c r="F33" s="155">
        <f t="shared" si="1"/>
        <v>0</v>
      </c>
    </row>
    <row r="34" spans="1:6" ht="19.5">
      <c r="A34" s="153">
        <f>SUBTOTAL(103,B$4:B34)</f>
        <v>0</v>
      </c>
      <c r="B34" s="364"/>
      <c r="C34" s="169"/>
      <c r="D34" s="142">
        <f t="shared" si="0"/>
        <v>0</v>
      </c>
      <c r="E34" s="143">
        <f>SUM($D$3:D34)</f>
        <v>0</v>
      </c>
      <c r="F34" s="155">
        <f t="shared" si="1"/>
        <v>0</v>
      </c>
    </row>
    <row r="35" spans="1:6" ht="19.5">
      <c r="A35" s="153">
        <f>SUBTOTAL(103,B$4:B35)</f>
        <v>0</v>
      </c>
      <c r="B35" s="364"/>
      <c r="C35" s="169"/>
      <c r="D35" s="142">
        <f t="shared" si="0"/>
        <v>0</v>
      </c>
      <c r="E35" s="143">
        <f>SUM($D$3:D35)</f>
        <v>0</v>
      </c>
      <c r="F35" s="155">
        <f t="shared" si="1"/>
        <v>0</v>
      </c>
    </row>
    <row r="36" spans="1:6" ht="19.5">
      <c r="A36" s="153">
        <f>SUBTOTAL(103,B$4:B36)</f>
        <v>0</v>
      </c>
      <c r="B36" s="364"/>
      <c r="C36" s="169"/>
      <c r="D36" s="142">
        <f t="shared" si="0"/>
        <v>0</v>
      </c>
      <c r="E36" s="143">
        <f>SUM($D$3:D36)</f>
        <v>0</v>
      </c>
      <c r="F36" s="155">
        <f t="shared" si="1"/>
        <v>0</v>
      </c>
    </row>
    <row r="37" spans="1:6" ht="19.5">
      <c r="A37" s="153">
        <f>SUBTOTAL(103,B$4:B37)</f>
        <v>0</v>
      </c>
      <c r="B37" s="364"/>
      <c r="C37" s="169"/>
      <c r="D37" s="142">
        <f t="shared" si="0"/>
        <v>0</v>
      </c>
      <c r="E37" s="143">
        <f>SUM($D$3:D37)</f>
        <v>0</v>
      </c>
      <c r="F37" s="155">
        <f t="shared" si="1"/>
        <v>0</v>
      </c>
    </row>
    <row r="38" spans="1:6" ht="19.5">
      <c r="A38" s="153">
        <f>SUBTOTAL(103,B$4:B38)</f>
        <v>0</v>
      </c>
      <c r="B38" s="364"/>
      <c r="C38" s="169"/>
      <c r="D38" s="142">
        <f t="shared" si="0"/>
        <v>0</v>
      </c>
      <c r="E38" s="143">
        <f>SUM($D$3:D38)</f>
        <v>0</v>
      </c>
      <c r="F38" s="155">
        <f t="shared" si="1"/>
        <v>0</v>
      </c>
    </row>
    <row r="39" spans="1:6" ht="19.5">
      <c r="A39" s="153">
        <f>SUBTOTAL(103,B$4:B39)</f>
        <v>0</v>
      </c>
      <c r="B39" s="364"/>
      <c r="C39" s="169"/>
      <c r="D39" s="142">
        <f t="shared" si="0"/>
        <v>0</v>
      </c>
      <c r="E39" s="143">
        <f>SUM($D$3:D39)</f>
        <v>0</v>
      </c>
      <c r="F39" s="155">
        <f t="shared" si="1"/>
        <v>0</v>
      </c>
    </row>
    <row r="40" spans="1:6" ht="19.5">
      <c r="A40" s="153">
        <f>SUBTOTAL(103,B$4:B40)</f>
        <v>0</v>
      </c>
      <c r="B40" s="364"/>
      <c r="C40" s="169"/>
      <c r="D40" s="142">
        <f t="shared" si="0"/>
        <v>0</v>
      </c>
      <c r="E40" s="143">
        <f>SUM($D$3:D40)</f>
        <v>0</v>
      </c>
      <c r="F40" s="155">
        <f t="shared" si="1"/>
        <v>0</v>
      </c>
    </row>
    <row r="41" spans="1:6" ht="19.5">
      <c r="A41" s="153">
        <f>SUBTOTAL(103,B$4:B41)</f>
        <v>0</v>
      </c>
      <c r="B41" s="364"/>
      <c r="C41" s="169"/>
      <c r="D41" s="142">
        <f t="shared" si="0"/>
        <v>0</v>
      </c>
      <c r="E41" s="143">
        <f>SUM($D$3:D41)</f>
        <v>0</v>
      </c>
      <c r="F41" s="155">
        <f t="shared" si="1"/>
        <v>0</v>
      </c>
    </row>
    <row r="42" spans="1:6" ht="19.5">
      <c r="A42" s="153">
        <f>SUBTOTAL(103,B$4:B42)</f>
        <v>0</v>
      </c>
      <c r="B42" s="364"/>
      <c r="C42" s="169"/>
      <c r="D42" s="142">
        <f t="shared" si="0"/>
        <v>0</v>
      </c>
      <c r="E42" s="143">
        <f>SUM($D$3:D42)</f>
        <v>0</v>
      </c>
      <c r="F42" s="155">
        <f t="shared" si="1"/>
        <v>0</v>
      </c>
    </row>
    <row r="43" spans="1:6" ht="19.5">
      <c r="A43" s="153">
        <f>SUBTOTAL(103,B$4:B43)</f>
        <v>0</v>
      </c>
      <c r="B43" s="364"/>
      <c r="C43" s="169"/>
      <c r="D43" s="142">
        <f t="shared" si="0"/>
        <v>0</v>
      </c>
      <c r="E43" s="143">
        <f>SUM($D$3:D43)</f>
        <v>0</v>
      </c>
      <c r="F43" s="155">
        <f t="shared" si="1"/>
        <v>0</v>
      </c>
    </row>
    <row r="44" spans="1:6" ht="19.5">
      <c r="A44" s="153">
        <f>SUBTOTAL(103,B$4:B44)</f>
        <v>0</v>
      </c>
      <c r="B44" s="364"/>
      <c r="C44" s="169"/>
      <c r="D44" s="142">
        <f t="shared" si="0"/>
        <v>0</v>
      </c>
      <c r="E44" s="143">
        <f>SUM($D$3:D44)</f>
        <v>0</v>
      </c>
      <c r="F44" s="155">
        <f t="shared" si="1"/>
        <v>0</v>
      </c>
    </row>
    <row r="45" spans="1:6" ht="19.5">
      <c r="A45" s="153">
        <f>SUBTOTAL(103,B$4:B45)</f>
        <v>0</v>
      </c>
      <c r="B45" s="364"/>
      <c r="C45" s="169"/>
      <c r="D45" s="142">
        <f t="shared" si="0"/>
        <v>0</v>
      </c>
      <c r="E45" s="143">
        <f>SUM($D$3:D45)</f>
        <v>0</v>
      </c>
      <c r="F45" s="155">
        <f t="shared" si="1"/>
        <v>0</v>
      </c>
    </row>
    <row r="46" spans="1:6" ht="19.5">
      <c r="A46" s="153">
        <f>SUBTOTAL(103,B$4:B46)</f>
        <v>0</v>
      </c>
      <c r="B46" s="364"/>
      <c r="C46" s="169"/>
      <c r="D46" s="142">
        <f t="shared" si="0"/>
        <v>0</v>
      </c>
      <c r="E46" s="143">
        <f>SUM($D$3:D46)</f>
        <v>0</v>
      </c>
      <c r="F46" s="155">
        <f t="shared" si="1"/>
        <v>0</v>
      </c>
    </row>
    <row r="47" spans="1:6" ht="19.5">
      <c r="A47" s="153">
        <f>SUBTOTAL(103,B$4:B47)</f>
        <v>0</v>
      </c>
      <c r="B47" s="364"/>
      <c r="C47" s="169"/>
      <c r="D47" s="142">
        <f t="shared" si="0"/>
        <v>0</v>
      </c>
      <c r="E47" s="143">
        <f>SUM($D$3:D47)</f>
        <v>0</v>
      </c>
      <c r="F47" s="155">
        <f t="shared" si="1"/>
        <v>0</v>
      </c>
    </row>
    <row r="48" spans="1:6" ht="19.5">
      <c r="A48" s="153">
        <f>SUBTOTAL(103,B$4:B48)</f>
        <v>0</v>
      </c>
      <c r="B48" s="364"/>
      <c r="C48" s="169"/>
      <c r="D48" s="142">
        <f t="shared" si="0"/>
        <v>0</v>
      </c>
      <c r="E48" s="143">
        <f>SUM($D$3:D48)</f>
        <v>0</v>
      </c>
      <c r="F48" s="155">
        <f t="shared" si="1"/>
        <v>0</v>
      </c>
    </row>
    <row r="49" spans="1:6" ht="19.5">
      <c r="A49" s="153">
        <f>SUBTOTAL(103,B$4:B49)</f>
        <v>0</v>
      </c>
      <c r="B49" s="364"/>
      <c r="C49" s="169"/>
      <c r="D49" s="142">
        <f t="shared" si="0"/>
        <v>0</v>
      </c>
      <c r="E49" s="143">
        <f>SUM($D$3:D49)</f>
        <v>0</v>
      </c>
      <c r="F49" s="155">
        <f t="shared" si="1"/>
        <v>0</v>
      </c>
    </row>
    <row r="50" spans="1:6" ht="19.5">
      <c r="A50" s="153">
        <f>SUBTOTAL(103,B$4:B50)</f>
        <v>0</v>
      </c>
      <c r="B50" s="126"/>
      <c r="C50" s="169"/>
      <c r="D50" s="142">
        <f t="shared" si="0"/>
        <v>0</v>
      </c>
      <c r="E50" s="143">
        <f>SUM($D$3:D50)</f>
        <v>0</v>
      </c>
      <c r="F50" s="155">
        <f t="shared" si="1"/>
        <v>0</v>
      </c>
    </row>
    <row r="51" spans="1:6" ht="19.5">
      <c r="A51" s="153"/>
      <c r="B51" s="135" t="s">
        <v>233</v>
      </c>
      <c r="C51" s="136">
        <f>SUM(C4:C50)</f>
        <v>0</v>
      </c>
    </row>
    <row r="52" spans="1:6" ht="19.5">
      <c r="A52" s="504" t="s">
        <v>495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0" t="s">
        <v>235</v>
      </c>
      <c r="B1" s="500"/>
      <c r="C1" s="500"/>
      <c r="G1" s="127">
        <f>P!P3</f>
        <v>45978</v>
      </c>
    </row>
    <row r="2" spans="1:7" ht="31.5" customHeight="1">
      <c r="A2" s="507" t="s">
        <v>480</v>
      </c>
      <c r="B2" s="507"/>
      <c r="C2" s="507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411"/>
      <c r="C4" s="169"/>
      <c r="D4" s="130">
        <f t="shared" ref="D4:D50" si="0">C4</f>
        <v>0</v>
      </c>
      <c r="E4" s="143">
        <f>SUM($D$3:D4)</f>
        <v>0</v>
      </c>
      <c r="F4" s="158">
        <f>A4</f>
        <v>0</v>
      </c>
    </row>
    <row r="5" spans="1:7">
      <c r="A5" s="153">
        <f>SUBTOTAL(103,B$4:B5)</f>
        <v>0</v>
      </c>
      <c r="B5" s="411"/>
      <c r="C5" s="169"/>
      <c r="D5" s="130">
        <f t="shared" si="0"/>
        <v>0</v>
      </c>
      <c r="E5" s="143">
        <f>SUM($D$3:D5)</f>
        <v>0</v>
      </c>
      <c r="F5" s="158">
        <f t="shared" ref="F5:F16" si="1">A5</f>
        <v>0</v>
      </c>
    </row>
    <row r="6" spans="1:7">
      <c r="A6" s="153">
        <f>SUBTOTAL(103,B$4:B6)</f>
        <v>0</v>
      </c>
      <c r="B6" s="411"/>
      <c r="C6" s="169"/>
      <c r="D6" s="130">
        <f t="shared" si="0"/>
        <v>0</v>
      </c>
      <c r="E6" s="143">
        <f>SUM($D$3:D6)</f>
        <v>0</v>
      </c>
      <c r="F6" s="158">
        <f t="shared" si="1"/>
        <v>0</v>
      </c>
    </row>
    <row r="7" spans="1:7">
      <c r="A7" s="153">
        <f>SUBTOTAL(103,B$4:B7)</f>
        <v>0</v>
      </c>
      <c r="B7" s="411"/>
      <c r="C7" s="169"/>
      <c r="D7" s="130">
        <f t="shared" si="0"/>
        <v>0</v>
      </c>
      <c r="E7" s="143">
        <f>SUM($D$3:D7)</f>
        <v>0</v>
      </c>
      <c r="F7" s="158">
        <f t="shared" si="1"/>
        <v>0</v>
      </c>
    </row>
    <row r="8" spans="1:7">
      <c r="A8" s="153">
        <f>SUBTOTAL(103,B$4:B8)</f>
        <v>0</v>
      </c>
      <c r="B8" s="411"/>
      <c r="C8" s="169"/>
      <c r="D8" s="130">
        <f t="shared" si="0"/>
        <v>0</v>
      </c>
      <c r="E8" s="143">
        <f>SUM($D$3:D8)</f>
        <v>0</v>
      </c>
      <c r="F8" s="158">
        <f t="shared" si="1"/>
        <v>0</v>
      </c>
    </row>
    <row r="9" spans="1:7">
      <c r="A9" s="153">
        <f>SUBTOTAL(103,B$4:B9)</f>
        <v>0</v>
      </c>
      <c r="B9" s="411"/>
      <c r="C9" s="169"/>
      <c r="D9" s="130">
        <f t="shared" si="0"/>
        <v>0</v>
      </c>
      <c r="E9" s="143">
        <f>SUM($D$3:D9)</f>
        <v>0</v>
      </c>
      <c r="F9" s="158">
        <f t="shared" si="1"/>
        <v>0</v>
      </c>
    </row>
    <row r="10" spans="1:7">
      <c r="A10" s="153">
        <f>SUBTOTAL(103,B$4:B10)</f>
        <v>0</v>
      </c>
      <c r="B10" s="411"/>
      <c r="C10" s="169"/>
      <c r="D10" s="130">
        <f t="shared" si="0"/>
        <v>0</v>
      </c>
      <c r="E10" s="143">
        <f>SUM($D$3:D10)</f>
        <v>0</v>
      </c>
      <c r="F10" s="158">
        <f t="shared" si="1"/>
        <v>0</v>
      </c>
    </row>
    <row r="11" spans="1:7">
      <c r="A11" s="153">
        <f>SUBTOTAL(103,B$4:B11)</f>
        <v>0</v>
      </c>
      <c r="B11" s="126"/>
      <c r="C11" s="169"/>
      <c r="D11" s="130">
        <f t="shared" si="0"/>
        <v>0</v>
      </c>
      <c r="E11" s="143">
        <f>SUM($D$3:D11)</f>
        <v>0</v>
      </c>
      <c r="F11" s="158">
        <f t="shared" si="1"/>
        <v>0</v>
      </c>
    </row>
    <row r="12" spans="1:7">
      <c r="A12" s="153">
        <f>SUBTOTAL(103,B$4:B12)</f>
        <v>0</v>
      </c>
      <c r="B12" s="126"/>
      <c r="C12" s="169"/>
      <c r="D12" s="130">
        <f t="shared" si="0"/>
        <v>0</v>
      </c>
      <c r="E12" s="143">
        <f>SUM($D$3:D12)</f>
        <v>0</v>
      </c>
      <c r="F12" s="158">
        <f t="shared" si="1"/>
        <v>0</v>
      </c>
    </row>
    <row r="13" spans="1:7">
      <c r="A13" s="153">
        <f>SUBTOTAL(103,B$4:B13)</f>
        <v>0</v>
      </c>
      <c r="B13" s="362"/>
      <c r="C13" s="169"/>
      <c r="D13" s="130">
        <f t="shared" si="0"/>
        <v>0</v>
      </c>
      <c r="E13" s="143">
        <f>SUM($D$3:D13)</f>
        <v>0</v>
      </c>
      <c r="F13" s="158">
        <f t="shared" si="1"/>
        <v>0</v>
      </c>
    </row>
    <row r="14" spans="1:7">
      <c r="A14" s="153">
        <f>SUBTOTAL(103,B$4:B14)</f>
        <v>0</v>
      </c>
      <c r="B14" s="126"/>
      <c r="C14" s="169"/>
      <c r="D14" s="130">
        <f t="shared" si="0"/>
        <v>0</v>
      </c>
      <c r="E14" s="143">
        <f>SUM($D$3:D14)</f>
        <v>0</v>
      </c>
      <c r="F14" s="158">
        <f t="shared" si="1"/>
        <v>0</v>
      </c>
    </row>
    <row r="15" spans="1:7">
      <c r="A15" s="153">
        <f>SUBTOTAL(103,B$4:B15)</f>
        <v>0</v>
      </c>
      <c r="B15" s="170"/>
      <c r="C15" s="136"/>
      <c r="D15" s="130">
        <f t="shared" si="0"/>
        <v>0</v>
      </c>
      <c r="E15" s="143">
        <f>SUM($D$3:D15)</f>
        <v>0</v>
      </c>
      <c r="F15" s="158">
        <f t="shared" si="1"/>
        <v>0</v>
      </c>
    </row>
    <row r="16" spans="1:7">
      <c r="A16" s="153">
        <f>SUBTOTAL(103,B$4:B16)</f>
        <v>0</v>
      </c>
      <c r="B16" s="126"/>
      <c r="C16" s="169"/>
      <c r="D16" s="130">
        <f t="shared" si="0"/>
        <v>0</v>
      </c>
      <c r="E16" s="143">
        <f>SUM($D$3:D16)</f>
        <v>0</v>
      </c>
      <c r="F16" s="158">
        <f t="shared" si="1"/>
        <v>0</v>
      </c>
    </row>
    <row r="17" spans="1:6">
      <c r="A17" s="153">
        <f>SUBTOTAL(103,B$4:B17)</f>
        <v>0</v>
      </c>
      <c r="B17" s="126"/>
      <c r="C17" s="169"/>
      <c r="D17" s="130">
        <f t="shared" si="0"/>
        <v>0</v>
      </c>
      <c r="E17" s="143">
        <f>SUM($D$3:D17)</f>
        <v>0</v>
      </c>
      <c r="F17" s="158">
        <f t="shared" ref="F17:F50" si="2">A17</f>
        <v>0</v>
      </c>
    </row>
    <row r="18" spans="1:6">
      <c r="A18" s="153">
        <f>SUBTOTAL(103,B$4:B18)</f>
        <v>0</v>
      </c>
      <c r="B18" s="126"/>
      <c r="C18" s="169"/>
      <c r="D18" s="130">
        <f t="shared" si="0"/>
        <v>0</v>
      </c>
      <c r="E18" s="143">
        <f>SUM($D$3:D18)</f>
        <v>0</v>
      </c>
      <c r="F18" s="158">
        <f t="shared" si="2"/>
        <v>0</v>
      </c>
    </row>
    <row r="19" spans="1:6">
      <c r="A19" s="153">
        <f>SUBTOTAL(103,B$4:B19)</f>
        <v>0</v>
      </c>
      <c r="B19" s="126"/>
      <c r="C19" s="169"/>
      <c r="D19" s="130">
        <f t="shared" si="0"/>
        <v>0</v>
      </c>
      <c r="E19" s="143">
        <f>SUM($D$3:D19)</f>
        <v>0</v>
      </c>
      <c r="F19" s="158">
        <f t="shared" si="2"/>
        <v>0</v>
      </c>
    </row>
    <row r="20" spans="1:6">
      <c r="A20" s="153">
        <f>SUBTOTAL(103,B$4:B20)</f>
        <v>0</v>
      </c>
      <c r="B20" s="126"/>
      <c r="C20" s="169"/>
      <c r="D20" s="130">
        <f t="shared" si="0"/>
        <v>0</v>
      </c>
      <c r="E20" s="143">
        <f>SUM($D$3:D20)</f>
        <v>0</v>
      </c>
      <c r="F20" s="158">
        <f t="shared" si="2"/>
        <v>0</v>
      </c>
    </row>
    <row r="21" spans="1:6">
      <c r="A21" s="153">
        <f>SUBTOTAL(103,B$4:B21)</f>
        <v>0</v>
      </c>
      <c r="B21" s="126"/>
      <c r="C21" s="169"/>
      <c r="D21" s="130">
        <f t="shared" si="0"/>
        <v>0</v>
      </c>
      <c r="E21" s="143">
        <f>SUM($D$3:D21)</f>
        <v>0</v>
      </c>
      <c r="F21" s="158">
        <f t="shared" si="2"/>
        <v>0</v>
      </c>
    </row>
    <row r="22" spans="1:6">
      <c r="A22" s="153">
        <f>SUBTOTAL(103,B$4:B22)</f>
        <v>0</v>
      </c>
      <c r="B22" s="126"/>
      <c r="C22" s="169"/>
      <c r="D22" s="130">
        <f t="shared" si="0"/>
        <v>0</v>
      </c>
      <c r="E22" s="143">
        <f>SUM($D$3:D22)</f>
        <v>0</v>
      </c>
      <c r="F22" s="158">
        <f t="shared" si="2"/>
        <v>0</v>
      </c>
    </row>
    <row r="23" spans="1:6">
      <c r="A23" s="153">
        <f>SUBTOTAL(103,B$4:B23)</f>
        <v>0</v>
      </c>
      <c r="B23" s="126"/>
      <c r="C23" s="169"/>
      <c r="D23" s="130">
        <f t="shared" si="0"/>
        <v>0</v>
      </c>
      <c r="E23" s="143">
        <f>SUM($D$3:D23)</f>
        <v>0</v>
      </c>
      <c r="F23" s="158">
        <f t="shared" si="2"/>
        <v>0</v>
      </c>
    </row>
    <row r="24" spans="1:6">
      <c r="A24" s="153">
        <f>SUBTOTAL(103,B$4:B24)</f>
        <v>0</v>
      </c>
      <c r="B24" s="126"/>
      <c r="C24" s="169"/>
      <c r="D24" s="130">
        <f t="shared" si="0"/>
        <v>0</v>
      </c>
      <c r="E24" s="143">
        <f>SUM($D$3:D24)</f>
        <v>0</v>
      </c>
      <c r="F24" s="158">
        <f t="shared" si="2"/>
        <v>0</v>
      </c>
    </row>
    <row r="25" spans="1:6">
      <c r="A25" s="153">
        <f>SUBTOTAL(103,B$4:B25)</f>
        <v>0</v>
      </c>
      <c r="B25" s="126"/>
      <c r="C25" s="169"/>
      <c r="D25" s="130">
        <f t="shared" si="0"/>
        <v>0</v>
      </c>
      <c r="E25" s="143">
        <f>SUM($D$3:D25)</f>
        <v>0</v>
      </c>
      <c r="F25" s="158">
        <f t="shared" si="2"/>
        <v>0</v>
      </c>
    </row>
    <row r="26" spans="1:6">
      <c r="A26" s="153">
        <f>SUBTOTAL(103,B$4:B26)</f>
        <v>0</v>
      </c>
      <c r="B26" s="126"/>
      <c r="C26" s="169"/>
      <c r="D26" s="130">
        <f t="shared" si="0"/>
        <v>0</v>
      </c>
      <c r="E26" s="143">
        <f>SUM($D$3:D26)</f>
        <v>0</v>
      </c>
      <c r="F26" s="158">
        <f t="shared" si="2"/>
        <v>0</v>
      </c>
    </row>
    <row r="27" spans="1:6">
      <c r="A27" s="153">
        <f>SUBTOTAL(103,B$4:B27)</f>
        <v>0</v>
      </c>
      <c r="B27" s="126"/>
      <c r="C27" s="169"/>
      <c r="D27" s="130">
        <f t="shared" si="0"/>
        <v>0</v>
      </c>
      <c r="E27" s="143">
        <f>SUM($D$3:D27)</f>
        <v>0</v>
      </c>
      <c r="F27" s="158">
        <f t="shared" si="2"/>
        <v>0</v>
      </c>
    </row>
    <row r="28" spans="1:6">
      <c r="A28" s="153">
        <f>SUBTOTAL(103,B$4:B28)</f>
        <v>0</v>
      </c>
      <c r="B28" s="126"/>
      <c r="C28" s="169"/>
      <c r="D28" s="130">
        <f t="shared" si="0"/>
        <v>0</v>
      </c>
      <c r="E28" s="143">
        <f>SUM($D$3:D28)</f>
        <v>0</v>
      </c>
      <c r="F28" s="158">
        <f t="shared" si="2"/>
        <v>0</v>
      </c>
    </row>
    <row r="29" spans="1:6">
      <c r="A29" s="153">
        <f>SUBTOTAL(103,B$4:B29)</f>
        <v>0</v>
      </c>
      <c r="B29" s="126"/>
      <c r="C29" s="169"/>
      <c r="D29" s="130">
        <f t="shared" si="0"/>
        <v>0</v>
      </c>
      <c r="E29" s="143">
        <f>SUM($D$3:D29)</f>
        <v>0</v>
      </c>
      <c r="F29" s="158">
        <f t="shared" si="2"/>
        <v>0</v>
      </c>
    </row>
    <row r="30" spans="1:6">
      <c r="A30" s="153">
        <f>SUBTOTAL(103,B$4:B30)</f>
        <v>0</v>
      </c>
      <c r="B30" s="126"/>
      <c r="C30" s="169"/>
      <c r="D30" s="130">
        <f t="shared" si="0"/>
        <v>0</v>
      </c>
      <c r="E30" s="143">
        <f>SUM($D$3:D30)</f>
        <v>0</v>
      </c>
      <c r="F30" s="158">
        <f t="shared" si="2"/>
        <v>0</v>
      </c>
    </row>
    <row r="31" spans="1:6">
      <c r="A31" s="153">
        <f>SUBTOTAL(103,B$4:B31)</f>
        <v>0</v>
      </c>
      <c r="B31" s="126"/>
      <c r="C31" s="169"/>
      <c r="D31" s="130">
        <f t="shared" si="0"/>
        <v>0</v>
      </c>
      <c r="E31" s="143">
        <f>SUM($D$3:D31)</f>
        <v>0</v>
      </c>
      <c r="F31" s="158">
        <f t="shared" si="2"/>
        <v>0</v>
      </c>
    </row>
    <row r="32" spans="1:6">
      <c r="A32" s="153">
        <f>SUBTOTAL(103,B$4:B32)</f>
        <v>0</v>
      </c>
      <c r="B32" s="126"/>
      <c r="C32" s="169"/>
      <c r="D32" s="130">
        <f t="shared" si="0"/>
        <v>0</v>
      </c>
      <c r="E32" s="143">
        <f>SUM($D$3:D32)</f>
        <v>0</v>
      </c>
      <c r="F32" s="158">
        <f t="shared" si="2"/>
        <v>0</v>
      </c>
    </row>
    <row r="33" spans="1:6">
      <c r="A33" s="153">
        <f>SUBTOTAL(103,B$4:B33)</f>
        <v>0</v>
      </c>
      <c r="B33" s="126"/>
      <c r="C33" s="169"/>
      <c r="D33" s="130">
        <f t="shared" si="0"/>
        <v>0</v>
      </c>
      <c r="E33" s="143">
        <f>SUM($D$3:D33)</f>
        <v>0</v>
      </c>
      <c r="F33" s="158">
        <f t="shared" si="2"/>
        <v>0</v>
      </c>
    </row>
    <row r="34" spans="1:6">
      <c r="A34" s="153">
        <f>SUBTOTAL(103,B$4:B34)</f>
        <v>0</v>
      </c>
      <c r="B34" s="126"/>
      <c r="C34" s="169"/>
      <c r="D34" s="130">
        <f t="shared" si="0"/>
        <v>0</v>
      </c>
      <c r="E34" s="143">
        <f>SUM($D$3:D34)</f>
        <v>0</v>
      </c>
      <c r="F34" s="158">
        <f t="shared" si="2"/>
        <v>0</v>
      </c>
    </row>
    <row r="35" spans="1:6">
      <c r="A35" s="153">
        <f>SUBTOTAL(103,B$4:B35)</f>
        <v>0</v>
      </c>
      <c r="B35" s="126"/>
      <c r="C35" s="169"/>
      <c r="D35" s="130">
        <f t="shared" si="0"/>
        <v>0</v>
      </c>
      <c r="E35" s="143">
        <f>SUM($D$3:D35)</f>
        <v>0</v>
      </c>
      <c r="F35" s="158">
        <f t="shared" si="2"/>
        <v>0</v>
      </c>
    </row>
    <row r="36" spans="1:6">
      <c r="A36" s="153">
        <f>SUBTOTAL(103,B$4:B36)</f>
        <v>0</v>
      </c>
      <c r="B36" s="126"/>
      <c r="C36" s="169"/>
      <c r="D36" s="130">
        <f t="shared" si="0"/>
        <v>0</v>
      </c>
      <c r="E36" s="143">
        <f>SUM($D$3:D36)</f>
        <v>0</v>
      </c>
      <c r="F36" s="158">
        <f t="shared" si="2"/>
        <v>0</v>
      </c>
    </row>
    <row r="37" spans="1:6">
      <c r="A37" s="153">
        <f>SUBTOTAL(103,B$4:B37)</f>
        <v>0</v>
      </c>
      <c r="B37" s="126"/>
      <c r="C37" s="169"/>
      <c r="D37" s="130">
        <f t="shared" si="0"/>
        <v>0</v>
      </c>
      <c r="E37" s="143">
        <f>SUM($D$3:D37)</f>
        <v>0</v>
      </c>
      <c r="F37" s="158">
        <f t="shared" si="2"/>
        <v>0</v>
      </c>
    </row>
    <row r="38" spans="1:6">
      <c r="A38" s="153">
        <f>SUBTOTAL(103,B$4:B38)</f>
        <v>0</v>
      </c>
      <c r="B38" s="126"/>
      <c r="C38" s="169"/>
      <c r="D38" s="130">
        <f t="shared" si="0"/>
        <v>0</v>
      </c>
      <c r="E38" s="143">
        <f>SUM($D$3:D38)</f>
        <v>0</v>
      </c>
      <c r="F38" s="158">
        <f t="shared" si="2"/>
        <v>0</v>
      </c>
    </row>
    <row r="39" spans="1:6">
      <c r="A39" s="153">
        <f>SUBTOTAL(103,B$4:B39)</f>
        <v>0</v>
      </c>
      <c r="B39" s="364"/>
      <c r="C39" s="169"/>
      <c r="D39" s="130">
        <f t="shared" si="0"/>
        <v>0</v>
      </c>
      <c r="E39" s="143">
        <f>SUM($D$3:D39)</f>
        <v>0</v>
      </c>
      <c r="F39" s="158">
        <f t="shared" si="2"/>
        <v>0</v>
      </c>
    </row>
    <row r="40" spans="1:6">
      <c r="A40" s="153">
        <f>SUBTOTAL(103,B$4:B40)</f>
        <v>0</v>
      </c>
      <c r="B40" s="364"/>
      <c r="C40" s="169"/>
      <c r="D40" s="130">
        <f t="shared" si="0"/>
        <v>0</v>
      </c>
      <c r="E40" s="143">
        <f>SUM($D$3:D40)</f>
        <v>0</v>
      </c>
      <c r="F40" s="158">
        <f t="shared" si="2"/>
        <v>0</v>
      </c>
    </row>
    <row r="41" spans="1:6">
      <c r="A41" s="153">
        <f>SUBTOTAL(103,B$4:B41)</f>
        <v>0</v>
      </c>
      <c r="B41" s="364"/>
      <c r="C41" s="169"/>
      <c r="D41" s="130">
        <f t="shared" si="0"/>
        <v>0</v>
      </c>
      <c r="E41" s="143">
        <f>SUM($D$3:D41)</f>
        <v>0</v>
      </c>
      <c r="F41" s="158">
        <f t="shared" si="2"/>
        <v>0</v>
      </c>
    </row>
    <row r="42" spans="1:6">
      <c r="A42" s="153">
        <f>SUBTOTAL(103,B$4:B42)</f>
        <v>0</v>
      </c>
      <c r="B42" s="364"/>
      <c r="C42" s="169"/>
      <c r="D42" s="130">
        <f t="shared" si="0"/>
        <v>0</v>
      </c>
      <c r="E42" s="143">
        <f>SUM($D$3:D42)</f>
        <v>0</v>
      </c>
      <c r="F42" s="158">
        <f t="shared" si="2"/>
        <v>0</v>
      </c>
    </row>
    <row r="43" spans="1:6">
      <c r="A43" s="153">
        <f>SUBTOTAL(103,B$4:B43)</f>
        <v>0</v>
      </c>
      <c r="B43" s="364"/>
      <c r="C43" s="169"/>
      <c r="D43" s="130">
        <f t="shared" si="0"/>
        <v>0</v>
      </c>
      <c r="E43" s="143">
        <f>SUM($D$3:D43)</f>
        <v>0</v>
      </c>
      <c r="F43" s="158">
        <f t="shared" si="2"/>
        <v>0</v>
      </c>
    </row>
    <row r="44" spans="1:6">
      <c r="A44" s="153">
        <f>SUBTOTAL(103,B$4:B44)</f>
        <v>0</v>
      </c>
      <c r="B44" s="364"/>
      <c r="C44" s="169"/>
      <c r="D44" s="130">
        <f t="shared" si="0"/>
        <v>0</v>
      </c>
      <c r="E44" s="143">
        <f>SUM($D$3:D44)</f>
        <v>0</v>
      </c>
      <c r="F44" s="158">
        <f t="shared" si="2"/>
        <v>0</v>
      </c>
    </row>
    <row r="45" spans="1:6">
      <c r="A45" s="153">
        <f>SUBTOTAL(103,B$4:B45)</f>
        <v>0</v>
      </c>
      <c r="B45" s="364"/>
      <c r="C45" s="169"/>
      <c r="D45" s="130">
        <f t="shared" si="0"/>
        <v>0</v>
      </c>
      <c r="E45" s="143">
        <f>SUM($D$3:D45)</f>
        <v>0</v>
      </c>
      <c r="F45" s="158">
        <f t="shared" si="2"/>
        <v>0</v>
      </c>
    </row>
    <row r="46" spans="1:6">
      <c r="A46" s="153">
        <f>SUBTOTAL(103,B$4:B46)</f>
        <v>0</v>
      </c>
      <c r="B46" s="364"/>
      <c r="C46" s="169"/>
      <c r="D46" s="130">
        <f t="shared" si="0"/>
        <v>0</v>
      </c>
      <c r="E46" s="143">
        <f>SUM($D$3:D46)</f>
        <v>0</v>
      </c>
      <c r="F46" s="158">
        <f t="shared" si="2"/>
        <v>0</v>
      </c>
    </row>
    <row r="47" spans="1:6">
      <c r="A47" s="153">
        <f>SUBTOTAL(103,B$4:B47)</f>
        <v>0</v>
      </c>
      <c r="B47" s="364"/>
      <c r="C47" s="169"/>
      <c r="D47" s="130">
        <f t="shared" si="0"/>
        <v>0</v>
      </c>
      <c r="E47" s="143">
        <f>SUM($D$3:D47)</f>
        <v>0</v>
      </c>
      <c r="F47" s="158">
        <f t="shared" si="2"/>
        <v>0</v>
      </c>
    </row>
    <row r="48" spans="1:6">
      <c r="A48" s="153">
        <f>SUBTOTAL(103,B$4:B48)</f>
        <v>0</v>
      </c>
      <c r="B48" s="364"/>
      <c r="C48" s="169"/>
      <c r="D48" s="130">
        <f t="shared" si="0"/>
        <v>0</v>
      </c>
      <c r="E48" s="143">
        <f>SUM($D$3:D48)</f>
        <v>0</v>
      </c>
      <c r="F48" s="158">
        <f t="shared" si="2"/>
        <v>0</v>
      </c>
    </row>
    <row r="49" spans="1:6">
      <c r="A49" s="153">
        <f>SUBTOTAL(103,B$4:B49)</f>
        <v>0</v>
      </c>
      <c r="B49" s="364"/>
      <c r="C49" s="169"/>
      <c r="D49" s="130">
        <f t="shared" si="0"/>
        <v>0</v>
      </c>
      <c r="E49" s="143">
        <f>SUM($D$3:D49)</f>
        <v>0</v>
      </c>
      <c r="F49" s="158">
        <f t="shared" si="2"/>
        <v>0</v>
      </c>
    </row>
    <row r="50" spans="1:6">
      <c r="A50" s="153">
        <f>SUBTOTAL(103,B$4:B50)</f>
        <v>0</v>
      </c>
      <c r="B50" s="126"/>
      <c r="C50" s="169"/>
      <c r="D50" s="130">
        <f t="shared" si="0"/>
        <v>0</v>
      </c>
      <c r="E50" s="143">
        <f>SUM($D$3:D50)</f>
        <v>0</v>
      </c>
      <c r="F50" s="158">
        <f t="shared" si="2"/>
        <v>0</v>
      </c>
    </row>
    <row r="51" spans="1:6">
      <c r="A51" s="153"/>
      <c r="B51" s="135" t="s">
        <v>233</v>
      </c>
      <c r="C51" s="136">
        <f>SUM(C4:C50)</f>
        <v>0</v>
      </c>
      <c r="D51"/>
      <c r="E51"/>
      <c r="F51" s="158"/>
    </row>
    <row r="52" spans="1:6">
      <c r="A52" s="504" t="s">
        <v>496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2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P!R3</f>
        <v>45979</v>
      </c>
    </row>
    <row r="2" spans="1:7" ht="34.5" customHeight="1">
      <c r="A2" s="507" t="s">
        <v>488</v>
      </c>
      <c r="B2" s="507"/>
      <c r="C2" s="507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0</v>
      </c>
      <c r="B4" s="126"/>
      <c r="C4" s="169"/>
      <c r="D4" s="161">
        <f t="shared" ref="D4:D8" si="0">C4</f>
        <v>0</v>
      </c>
      <c r="E4" s="163">
        <f>SUM($D$3:D4)</f>
        <v>0</v>
      </c>
      <c r="F4" s="369">
        <f>A4</f>
        <v>0</v>
      </c>
    </row>
    <row r="5" spans="1:7">
      <c r="A5" s="153">
        <f>SUBTOTAL(103,B$4:B5)</f>
        <v>0</v>
      </c>
      <c r="B5" s="126"/>
      <c r="C5" s="169"/>
      <c r="D5" s="161">
        <f t="shared" si="0"/>
        <v>0</v>
      </c>
      <c r="E5" s="163">
        <f>SUM($D$3:D5)</f>
        <v>0</v>
      </c>
      <c r="F5" s="369">
        <f t="shared" ref="F5:F50" si="1">A5</f>
        <v>0</v>
      </c>
    </row>
    <row r="6" spans="1:7">
      <c r="A6" s="153">
        <f>SUBTOTAL(103,B$4:B6)</f>
        <v>0</v>
      </c>
      <c r="B6" s="126"/>
      <c r="C6" s="169"/>
      <c r="D6" s="161">
        <f t="shared" si="0"/>
        <v>0</v>
      </c>
      <c r="E6" s="163">
        <f>SUM($D$3:D6)</f>
        <v>0</v>
      </c>
      <c r="F6" s="369">
        <f t="shared" si="1"/>
        <v>0</v>
      </c>
    </row>
    <row r="7" spans="1:7">
      <c r="A7" s="153">
        <f>SUBTOTAL(103,B$4:B7)</f>
        <v>0</v>
      </c>
      <c r="B7" s="126"/>
      <c r="C7" s="169"/>
      <c r="D7" s="161">
        <f t="shared" si="0"/>
        <v>0</v>
      </c>
      <c r="E7" s="163">
        <f>SUM($D$3:D7)</f>
        <v>0</v>
      </c>
      <c r="F7" s="369">
        <f t="shared" si="1"/>
        <v>0</v>
      </c>
    </row>
    <row r="8" spans="1:7">
      <c r="A8" s="153">
        <f>SUBTOTAL(103,B$4:B8)</f>
        <v>0</v>
      </c>
      <c r="B8" s="280"/>
      <c r="C8" s="169"/>
      <c r="D8" s="161">
        <f t="shared" si="0"/>
        <v>0</v>
      </c>
      <c r="E8" s="163">
        <f>SUM($D$3:D8)</f>
        <v>0</v>
      </c>
      <c r="F8" s="369">
        <f t="shared" si="1"/>
        <v>0</v>
      </c>
    </row>
    <row r="9" spans="1:7">
      <c r="A9" s="153">
        <f>SUBTOTAL(103,B$4:B9)</f>
        <v>0</v>
      </c>
      <c r="B9" s="280"/>
      <c r="C9" s="169"/>
      <c r="D9" s="161">
        <f>C9</f>
        <v>0</v>
      </c>
      <c r="E9" s="163">
        <f>SUM($D$3:D9)</f>
        <v>0</v>
      </c>
      <c r="F9" s="369">
        <f t="shared" si="1"/>
        <v>0</v>
      </c>
    </row>
    <row r="10" spans="1:7">
      <c r="A10" s="153">
        <f>SUBTOTAL(103,B$4:B10)</f>
        <v>0</v>
      </c>
      <c r="B10" s="280"/>
      <c r="C10" s="169"/>
      <c r="D10" s="161">
        <f>C10</f>
        <v>0</v>
      </c>
      <c r="E10" s="163">
        <f>SUM($D$3:D10)</f>
        <v>0</v>
      </c>
      <c r="F10" s="369">
        <f t="shared" si="1"/>
        <v>0</v>
      </c>
    </row>
    <row r="11" spans="1:7">
      <c r="A11" s="153">
        <f>SUBTOTAL(103,B$4:B11)</f>
        <v>0</v>
      </c>
      <c r="B11" s="126"/>
      <c r="C11" s="169"/>
      <c r="D11" s="161">
        <f>C11</f>
        <v>0</v>
      </c>
      <c r="E11" s="163">
        <f>SUM($D$3:D11)</f>
        <v>0</v>
      </c>
      <c r="F11" s="369">
        <f t="shared" si="1"/>
        <v>0</v>
      </c>
    </row>
    <row r="12" spans="1:7">
      <c r="A12" s="153">
        <f>SUBTOTAL(103,B$4:B12)</f>
        <v>0</v>
      </c>
      <c r="B12" s="126"/>
      <c r="C12" s="169"/>
      <c r="D12" s="161">
        <f>C12</f>
        <v>0</v>
      </c>
      <c r="E12" s="163">
        <f>SUM($D$3:D12)</f>
        <v>0</v>
      </c>
      <c r="F12" s="369">
        <f t="shared" si="1"/>
        <v>0</v>
      </c>
    </row>
    <row r="13" spans="1:7">
      <c r="A13" s="153">
        <f>SUBTOTAL(103,B$4:B13)</f>
        <v>0</v>
      </c>
      <c r="B13" s="126"/>
      <c r="C13" s="169"/>
      <c r="D13" s="161">
        <f t="shared" ref="D13:D50" si="2">C13</f>
        <v>0</v>
      </c>
      <c r="E13" s="163">
        <f>SUM($D$3:D13)</f>
        <v>0</v>
      </c>
      <c r="F13" s="369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2"/>
        <v>0</v>
      </c>
      <c r="E14" s="163">
        <f>SUM($D$3:D14)</f>
        <v>0</v>
      </c>
      <c r="F14" s="369">
        <f t="shared" si="1"/>
        <v>0</v>
      </c>
    </row>
    <row r="15" spans="1:7">
      <c r="A15" s="153">
        <f>SUBTOTAL(103,B$4:B15)</f>
        <v>0</v>
      </c>
      <c r="B15" s="126"/>
      <c r="C15" s="164"/>
      <c r="D15" s="161">
        <f t="shared" si="2"/>
        <v>0</v>
      </c>
      <c r="E15" s="163">
        <f>SUM($D$3:D15)</f>
        <v>0</v>
      </c>
      <c r="F15" s="369">
        <f t="shared" si="1"/>
        <v>0</v>
      </c>
    </row>
    <row r="16" spans="1:7">
      <c r="A16" s="153">
        <f>SUBTOTAL(103,B$4:B16)</f>
        <v>0</v>
      </c>
      <c r="B16" s="126"/>
      <c r="C16" s="164"/>
      <c r="D16" s="161">
        <f t="shared" si="2"/>
        <v>0</v>
      </c>
      <c r="E16" s="163">
        <f>SUM($D$3:D16)</f>
        <v>0</v>
      </c>
      <c r="F16" s="369">
        <f t="shared" si="1"/>
        <v>0</v>
      </c>
    </row>
    <row r="17" spans="1:6">
      <c r="A17" s="153">
        <f>SUBTOTAL(103,B$4:B17)</f>
        <v>0</v>
      </c>
      <c r="B17" s="126"/>
      <c r="C17" s="164"/>
      <c r="D17" s="161">
        <f t="shared" si="2"/>
        <v>0</v>
      </c>
      <c r="E17" s="163">
        <f>SUM($D$3:D17)</f>
        <v>0</v>
      </c>
      <c r="F17" s="369">
        <f t="shared" si="1"/>
        <v>0</v>
      </c>
    </row>
    <row r="18" spans="1:6">
      <c r="A18" s="153">
        <f>SUBTOTAL(103,B$4:B18)</f>
        <v>0</v>
      </c>
      <c r="B18" s="126"/>
      <c r="C18" s="164"/>
      <c r="D18" s="161">
        <f t="shared" si="2"/>
        <v>0</v>
      </c>
      <c r="E18" s="163">
        <f>SUM($D$3:D18)</f>
        <v>0</v>
      </c>
      <c r="F18" s="369">
        <f t="shared" si="1"/>
        <v>0</v>
      </c>
    </row>
    <row r="19" spans="1:6">
      <c r="A19" s="153">
        <f>SUBTOTAL(103,B$4:B19)</f>
        <v>0</v>
      </c>
      <c r="B19" s="126"/>
      <c r="C19" s="164"/>
      <c r="D19" s="161">
        <f t="shared" si="2"/>
        <v>0</v>
      </c>
      <c r="E19" s="163">
        <f>SUM($D$3:D19)</f>
        <v>0</v>
      </c>
      <c r="F19" s="369">
        <f t="shared" si="1"/>
        <v>0</v>
      </c>
    </row>
    <row r="20" spans="1:6">
      <c r="A20" s="153">
        <f>SUBTOTAL(103,B$4:B20)</f>
        <v>0</v>
      </c>
      <c r="B20" s="126"/>
      <c r="C20" s="164"/>
      <c r="D20" s="161">
        <f t="shared" si="2"/>
        <v>0</v>
      </c>
      <c r="E20" s="163">
        <f>SUM($D$3:D20)</f>
        <v>0</v>
      </c>
      <c r="F20" s="369">
        <f t="shared" si="1"/>
        <v>0</v>
      </c>
    </row>
    <row r="21" spans="1:6">
      <c r="A21" s="153">
        <f>SUBTOTAL(103,B$4:B21)</f>
        <v>0</v>
      </c>
      <c r="B21" s="126"/>
      <c r="C21" s="164"/>
      <c r="D21" s="161">
        <f t="shared" si="2"/>
        <v>0</v>
      </c>
      <c r="E21" s="163">
        <f>SUM($D$3:D21)</f>
        <v>0</v>
      </c>
      <c r="F21" s="369">
        <f t="shared" si="1"/>
        <v>0</v>
      </c>
    </row>
    <row r="22" spans="1:6">
      <c r="A22" s="153">
        <f>SUBTOTAL(103,B$4:B22)</f>
        <v>0</v>
      </c>
      <c r="B22" s="126"/>
      <c r="C22" s="164"/>
      <c r="D22" s="161">
        <f t="shared" si="2"/>
        <v>0</v>
      </c>
      <c r="E22" s="163">
        <f>SUM($D$3:D22)</f>
        <v>0</v>
      </c>
      <c r="F22" s="369">
        <f t="shared" si="1"/>
        <v>0</v>
      </c>
    </row>
    <row r="23" spans="1:6">
      <c r="A23" s="153">
        <f>SUBTOTAL(103,B$4:B23)</f>
        <v>0</v>
      </c>
      <c r="B23" s="126"/>
      <c r="C23" s="164"/>
      <c r="D23" s="161">
        <f t="shared" si="2"/>
        <v>0</v>
      </c>
      <c r="E23" s="163">
        <f>SUM($D$3:D23)</f>
        <v>0</v>
      </c>
      <c r="F23" s="369">
        <f t="shared" si="1"/>
        <v>0</v>
      </c>
    </row>
    <row r="24" spans="1:6">
      <c r="A24" s="153">
        <f>SUBTOTAL(103,B$4:B24)</f>
        <v>0</v>
      </c>
      <c r="B24" s="126"/>
      <c r="C24" s="164"/>
      <c r="D24" s="161">
        <f t="shared" si="2"/>
        <v>0</v>
      </c>
      <c r="E24" s="163">
        <f>SUM($D$3:D24)</f>
        <v>0</v>
      </c>
      <c r="F24" s="369">
        <f t="shared" si="1"/>
        <v>0</v>
      </c>
    </row>
    <row r="25" spans="1:6">
      <c r="A25" s="153">
        <f>SUBTOTAL(103,B$4:B25)</f>
        <v>0</v>
      </c>
      <c r="B25" s="126"/>
      <c r="C25" s="164"/>
      <c r="D25" s="161">
        <f t="shared" si="2"/>
        <v>0</v>
      </c>
      <c r="E25" s="163">
        <f>SUM($D$3:D25)</f>
        <v>0</v>
      </c>
      <c r="F25" s="369">
        <f t="shared" si="1"/>
        <v>0</v>
      </c>
    </row>
    <row r="26" spans="1:6">
      <c r="A26" s="153">
        <f>SUBTOTAL(103,B$4:B26)</f>
        <v>0</v>
      </c>
      <c r="B26" s="126"/>
      <c r="C26" s="164"/>
      <c r="D26" s="161">
        <f t="shared" si="2"/>
        <v>0</v>
      </c>
      <c r="E26" s="163">
        <f>SUM($D$3:D26)</f>
        <v>0</v>
      </c>
      <c r="F26" s="369">
        <f t="shared" si="1"/>
        <v>0</v>
      </c>
    </row>
    <row r="27" spans="1:6">
      <c r="A27" s="153">
        <f>SUBTOTAL(103,B$4:B27)</f>
        <v>0</v>
      </c>
      <c r="B27" s="126"/>
      <c r="C27" s="164"/>
      <c r="D27" s="161">
        <f t="shared" si="2"/>
        <v>0</v>
      </c>
      <c r="E27" s="163">
        <f>SUM($D$3:D27)</f>
        <v>0</v>
      </c>
      <c r="F27" s="369">
        <f t="shared" si="1"/>
        <v>0</v>
      </c>
    </row>
    <row r="28" spans="1:6">
      <c r="A28" s="153">
        <f>SUBTOTAL(103,B$4:B28)</f>
        <v>0</v>
      </c>
      <c r="B28" s="126"/>
      <c r="C28" s="164"/>
      <c r="D28" s="161">
        <f t="shared" si="2"/>
        <v>0</v>
      </c>
      <c r="E28" s="163">
        <f>SUM($D$3:D28)</f>
        <v>0</v>
      </c>
      <c r="F28" s="369">
        <f t="shared" si="1"/>
        <v>0</v>
      </c>
    </row>
    <row r="29" spans="1:6">
      <c r="A29" s="153">
        <f>SUBTOTAL(103,B$4:B29)</f>
        <v>0</v>
      </c>
      <c r="B29" s="126"/>
      <c r="C29" s="164"/>
      <c r="D29" s="161">
        <f t="shared" si="2"/>
        <v>0</v>
      </c>
      <c r="E29" s="163">
        <f>SUM($D$3:D29)</f>
        <v>0</v>
      </c>
      <c r="F29" s="369">
        <f t="shared" si="1"/>
        <v>0</v>
      </c>
    </row>
    <row r="30" spans="1:6">
      <c r="A30" s="153">
        <f>SUBTOTAL(103,B$4:B30)</f>
        <v>0</v>
      </c>
      <c r="B30" s="126"/>
      <c r="C30" s="164"/>
      <c r="D30" s="161">
        <f t="shared" si="2"/>
        <v>0</v>
      </c>
      <c r="E30" s="163">
        <f>SUM($D$3:D30)</f>
        <v>0</v>
      </c>
      <c r="F30" s="369">
        <f t="shared" si="1"/>
        <v>0</v>
      </c>
    </row>
    <row r="31" spans="1:6">
      <c r="A31" s="153">
        <f>SUBTOTAL(103,B$4:B31)</f>
        <v>0</v>
      </c>
      <c r="B31" s="126"/>
      <c r="C31" s="164"/>
      <c r="D31" s="161">
        <f t="shared" si="2"/>
        <v>0</v>
      </c>
      <c r="E31" s="163">
        <f>SUM($D$3:D31)</f>
        <v>0</v>
      </c>
      <c r="F31" s="369">
        <f t="shared" si="1"/>
        <v>0</v>
      </c>
    </row>
    <row r="32" spans="1:6">
      <c r="A32" s="153">
        <f>SUBTOTAL(103,B$4:B32)</f>
        <v>0</v>
      </c>
      <c r="B32" s="126"/>
      <c r="C32" s="164"/>
      <c r="D32" s="161">
        <f t="shared" si="2"/>
        <v>0</v>
      </c>
      <c r="E32" s="163">
        <f>SUM($D$3:D32)</f>
        <v>0</v>
      </c>
      <c r="F32" s="369">
        <f t="shared" si="1"/>
        <v>0</v>
      </c>
    </row>
    <row r="33" spans="1:6">
      <c r="A33" s="153">
        <f>SUBTOTAL(103,B$4:B33)</f>
        <v>0</v>
      </c>
      <c r="B33" s="126"/>
      <c r="C33" s="164"/>
      <c r="D33" s="161">
        <f t="shared" si="2"/>
        <v>0</v>
      </c>
      <c r="E33" s="163">
        <f>SUM($D$3:D33)</f>
        <v>0</v>
      </c>
      <c r="F33" s="369">
        <f t="shared" si="1"/>
        <v>0</v>
      </c>
    </row>
    <row r="34" spans="1:6">
      <c r="A34" s="153">
        <f>SUBTOTAL(103,B$4:B34)</f>
        <v>0</v>
      </c>
      <c r="B34" s="126"/>
      <c r="C34" s="164"/>
      <c r="D34" s="161">
        <f t="shared" si="2"/>
        <v>0</v>
      </c>
      <c r="E34" s="163">
        <f>SUM($D$3:D34)</f>
        <v>0</v>
      </c>
      <c r="F34" s="369">
        <f t="shared" si="1"/>
        <v>0</v>
      </c>
    </row>
    <row r="35" spans="1:6">
      <c r="A35" s="153">
        <f>SUBTOTAL(103,B$4:B35)</f>
        <v>0</v>
      </c>
      <c r="B35" s="126"/>
      <c r="C35" s="164"/>
      <c r="D35" s="161">
        <f t="shared" si="2"/>
        <v>0</v>
      </c>
      <c r="E35" s="163">
        <f>SUM($D$3:D35)</f>
        <v>0</v>
      </c>
      <c r="F35" s="369">
        <f t="shared" si="1"/>
        <v>0</v>
      </c>
    </row>
    <row r="36" spans="1:6">
      <c r="A36" s="153">
        <f>SUBTOTAL(103,B$4:B36)</f>
        <v>0</v>
      </c>
      <c r="B36" s="126"/>
      <c r="C36" s="164"/>
      <c r="D36" s="161">
        <f t="shared" si="2"/>
        <v>0</v>
      </c>
      <c r="E36" s="163">
        <f>SUM($D$3:D36)</f>
        <v>0</v>
      </c>
      <c r="F36" s="369">
        <f t="shared" si="1"/>
        <v>0</v>
      </c>
    </row>
    <row r="37" spans="1:6">
      <c r="A37" s="153">
        <f>SUBTOTAL(103,B$4:B37)</f>
        <v>0</v>
      </c>
      <c r="B37" s="126"/>
      <c r="C37" s="164"/>
      <c r="D37" s="161">
        <f t="shared" si="2"/>
        <v>0</v>
      </c>
      <c r="E37" s="163">
        <f>SUM($D$3:D37)</f>
        <v>0</v>
      </c>
      <c r="F37" s="369">
        <f t="shared" si="1"/>
        <v>0</v>
      </c>
    </row>
    <row r="38" spans="1:6">
      <c r="A38" s="153">
        <f>SUBTOTAL(103,B$4:B38)</f>
        <v>0</v>
      </c>
      <c r="B38" s="126"/>
      <c r="C38" s="164"/>
      <c r="D38" s="161">
        <f t="shared" si="2"/>
        <v>0</v>
      </c>
      <c r="E38" s="163">
        <f>SUM($D$3:D38)</f>
        <v>0</v>
      </c>
      <c r="F38" s="369">
        <f t="shared" si="1"/>
        <v>0</v>
      </c>
    </row>
    <row r="39" spans="1:6">
      <c r="A39" s="153">
        <f>SUBTOTAL(103,B$4:B39)</f>
        <v>0</v>
      </c>
      <c r="B39" s="126"/>
      <c r="C39" s="164"/>
      <c r="D39" s="161">
        <f t="shared" si="2"/>
        <v>0</v>
      </c>
      <c r="E39" s="163">
        <f>SUM($D$3:D39)</f>
        <v>0</v>
      </c>
      <c r="F39" s="369">
        <f t="shared" si="1"/>
        <v>0</v>
      </c>
    </row>
    <row r="40" spans="1:6">
      <c r="A40" s="153">
        <f>SUBTOTAL(103,B$4:B40)</f>
        <v>0</v>
      </c>
      <c r="B40" s="126"/>
      <c r="C40" s="164"/>
      <c r="D40" s="161">
        <f t="shared" si="2"/>
        <v>0</v>
      </c>
      <c r="E40" s="163">
        <f>SUM($D$3:D40)</f>
        <v>0</v>
      </c>
      <c r="F40" s="369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2"/>
        <v>0</v>
      </c>
      <c r="E41" s="163">
        <f>SUM($D$3:D41)</f>
        <v>0</v>
      </c>
      <c r="F41" s="369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2"/>
        <v>0</v>
      </c>
      <c r="E42" s="163">
        <f>SUM($D$3:D42)</f>
        <v>0</v>
      </c>
      <c r="F42" s="369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2"/>
        <v>0</v>
      </c>
      <c r="E43" s="163">
        <f>SUM($D$3:D43)</f>
        <v>0</v>
      </c>
      <c r="F43" s="369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2"/>
        <v>0</v>
      </c>
      <c r="E44" s="163">
        <f>SUM($D$3:D44)</f>
        <v>0</v>
      </c>
      <c r="F44" s="369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2"/>
        <v>0</v>
      </c>
      <c r="E45" s="163">
        <f>SUM($D$3:D45)</f>
        <v>0</v>
      </c>
      <c r="F45" s="369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2"/>
        <v>0</v>
      </c>
      <c r="E46" s="163">
        <f>SUM($D$3:D46)</f>
        <v>0</v>
      </c>
      <c r="F46" s="369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2"/>
        <v>0</v>
      </c>
      <c r="E47" s="163">
        <f>SUM($D$3:D47)</f>
        <v>0</v>
      </c>
      <c r="F47" s="369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2"/>
        <v>0</v>
      </c>
      <c r="E48" s="163">
        <f>SUM($D$3:D48)</f>
        <v>0</v>
      </c>
      <c r="F48" s="369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2"/>
        <v>0</v>
      </c>
      <c r="E49" s="163">
        <f>SUM($D$3:D49)</f>
        <v>0</v>
      </c>
      <c r="F49" s="369">
        <f t="shared" si="1"/>
        <v>0</v>
      </c>
    </row>
    <row r="50" spans="1:6">
      <c r="A50" s="153">
        <f>SUBTOTAL(103,B$4:B50)</f>
        <v>0</v>
      </c>
      <c r="B50" s="126"/>
      <c r="C50" s="164"/>
      <c r="D50" s="161">
        <f t="shared" si="2"/>
        <v>0</v>
      </c>
      <c r="E50" s="163">
        <f>SUM($D$3:D50)</f>
        <v>0</v>
      </c>
      <c r="F50" s="369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497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8" activePane="bottomRight" state="frozen"/>
      <selection pane="topRight" activeCell="H1" sqref="H1"/>
      <selection pane="bottomLeft" activeCell="A2" sqref="A2"/>
      <selection pane="bottomRight" activeCell="B4" sqref="B4:C1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P!T3</f>
        <v>45980</v>
      </c>
    </row>
    <row r="2" spans="1:7" ht="34.5" customHeight="1">
      <c r="A2" s="507" t="s">
        <v>489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 ht="20.25" customHeight="1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432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1.75" customHeight="1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499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P!V3</f>
        <v>45981</v>
      </c>
    </row>
    <row r="2" spans="1:7" ht="34.5" customHeight="1">
      <c r="A2" s="507" t="s">
        <v>465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466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</f>
        <v>45982</v>
      </c>
    </row>
    <row r="2" spans="1:7" ht="34.5" customHeight="1">
      <c r="A2" s="507" t="s">
        <v>440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442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P!X3+1</f>
        <v>45983</v>
      </c>
    </row>
    <row r="2" spans="1:7" ht="34.5" customHeight="1">
      <c r="A2" s="507" t="s">
        <v>410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P!AB3</f>
        <v>45984</v>
      </c>
    </row>
    <row r="2" spans="1:7" ht="34.5" customHeight="1">
      <c r="A2" s="507" t="s">
        <v>412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P!AD3</f>
        <v>45985</v>
      </c>
    </row>
    <row r="2" spans="1:7" ht="34.5" customHeight="1">
      <c r="A2" s="507" t="s">
        <v>411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45987</v>
      </c>
    </row>
    <row r="2" spans="1:7" ht="34.5" customHeight="1">
      <c r="A2" s="507" t="s">
        <v>413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45987</v>
      </c>
    </row>
    <row r="2" spans="1:7" ht="34.5" customHeight="1">
      <c r="A2" s="507" t="s">
        <v>424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0" t="s">
        <v>235</v>
      </c>
      <c r="B1" s="500"/>
      <c r="C1" s="500"/>
      <c r="D1" s="500"/>
      <c r="E1" s="500"/>
      <c r="G1" s="416" t="b">
        <f>D20=P!AM2</f>
        <v>1</v>
      </c>
    </row>
    <row r="2" spans="1:7" ht="54" customHeight="1">
      <c r="A2" s="507" t="s">
        <v>498</v>
      </c>
      <c r="B2" s="507"/>
      <c r="C2" s="507"/>
      <c r="D2" s="507"/>
      <c r="E2" s="507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45972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0</v>
      </c>
      <c r="E4" s="11" t="s">
        <v>443</v>
      </c>
      <c r="F4" s="24">
        <f>'1'!F48</f>
        <v>0</v>
      </c>
    </row>
    <row r="5" spans="1:7" ht="36">
      <c r="A5" s="21">
        <f>SUBTOTAL(103,B$4:B5)</f>
        <v>2</v>
      </c>
      <c r="B5" s="173">
        <f>P!F3</f>
        <v>45973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0</v>
      </c>
      <c r="E5" s="11" t="s">
        <v>457</v>
      </c>
      <c r="F5" s="24">
        <f>'2'!F50</f>
        <v>0</v>
      </c>
    </row>
    <row r="6" spans="1:7" ht="36">
      <c r="A6" s="21">
        <f>SUBTOTAL(103,B$4:B6)</f>
        <v>3</v>
      </c>
      <c r="B6" s="173">
        <f>P!H3</f>
        <v>45974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0</v>
      </c>
      <c r="E6" s="11" t="s">
        <v>467</v>
      </c>
      <c r="F6" s="24">
        <f>'3'!F50</f>
        <v>0</v>
      </c>
    </row>
    <row r="7" spans="1:7" ht="36">
      <c r="A7" s="21">
        <f>SUBTOTAL(103,B$4:B7)</f>
        <v>4</v>
      </c>
      <c r="B7" s="173">
        <f>P!J3</f>
        <v>45975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0</v>
      </c>
      <c r="E7" s="11" t="s">
        <v>468</v>
      </c>
      <c r="F7" s="24">
        <f>'4'!F50</f>
        <v>0</v>
      </c>
    </row>
    <row r="8" spans="1:7" ht="36">
      <c r="A8" s="21">
        <f>SUBTOTAL(103,B$4:B8)</f>
        <v>5</v>
      </c>
      <c r="B8" s="173">
        <f>P!L3</f>
        <v>45976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0</v>
      </c>
      <c r="E8" s="11" t="s">
        <v>469</v>
      </c>
      <c r="F8" s="24">
        <f>'5'!F50</f>
        <v>0</v>
      </c>
    </row>
    <row r="9" spans="1:7" ht="36">
      <c r="A9" s="21">
        <f>SUBTOTAL(103,B$4:B9)</f>
        <v>6</v>
      </c>
      <c r="B9" s="173">
        <f>P!N3</f>
        <v>45977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0</v>
      </c>
      <c r="E9" s="11" t="s">
        <v>470</v>
      </c>
      <c r="F9" s="24">
        <f>'6'!F50</f>
        <v>0</v>
      </c>
    </row>
    <row r="10" spans="1:7" ht="36">
      <c r="A10" s="21">
        <f>SUBTOTAL(103,B$4:B10)</f>
        <v>7</v>
      </c>
      <c r="B10" s="173">
        <f>P!P3</f>
        <v>45978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0</v>
      </c>
      <c r="E10" s="11" t="s">
        <v>471</v>
      </c>
      <c r="F10" s="24">
        <f>'7'!F50</f>
        <v>0</v>
      </c>
    </row>
    <row r="11" spans="1:7" ht="36">
      <c r="A11" s="21">
        <f>SUBTOTAL(103,B$4:B11)</f>
        <v>8</v>
      </c>
      <c r="B11" s="173">
        <f>P!R3</f>
        <v>45979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0</v>
      </c>
      <c r="E11" s="11" t="s">
        <v>472</v>
      </c>
      <c r="F11" s="24">
        <f>'8'!F50</f>
        <v>0</v>
      </c>
    </row>
    <row r="12" spans="1:7" ht="36">
      <c r="A12" s="21">
        <f>SUBTOTAL(103,B$4:B12)</f>
        <v>9</v>
      </c>
      <c r="B12" s="173">
        <f>P!T3</f>
        <v>45980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0</v>
      </c>
      <c r="E12" s="11" t="s">
        <v>473</v>
      </c>
      <c r="F12" s="24">
        <f>'9'!F50</f>
        <v>0</v>
      </c>
    </row>
    <row r="13" spans="1:7" ht="36" hidden="1">
      <c r="A13" s="21">
        <f>SUBTOTAL(103,B$4:B13)</f>
        <v>9</v>
      </c>
      <c r="B13" s="173">
        <f>P!V3</f>
        <v>45981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444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45982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445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45983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45984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45985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45986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45987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0">
        <f>SUM(D4:D19)</f>
        <v>0</v>
      </c>
      <c r="E20" s="511"/>
      <c r="F20" s="139"/>
    </row>
    <row r="21" spans="1:6" ht="19.5">
      <c r="C21" s="509" t="s">
        <v>500</v>
      </c>
      <c r="D21" s="509"/>
      <c r="E21" s="509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4" t="s">
        <v>0</v>
      </c>
      <c r="B2" s="514" t="s">
        <v>1</v>
      </c>
      <c r="C2" s="514" t="s">
        <v>2</v>
      </c>
      <c r="D2" s="515" t="s">
        <v>243</v>
      </c>
      <c r="E2" s="515"/>
      <c r="F2" s="516" t="s">
        <v>244</v>
      </c>
      <c r="G2" s="516"/>
      <c r="H2" s="515" t="s">
        <v>427</v>
      </c>
      <c r="I2" s="515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4"/>
      <c r="B3" s="514"/>
      <c r="C3" s="514"/>
      <c r="D3" s="512" t="s">
        <v>428</v>
      </c>
      <c r="E3" s="512"/>
      <c r="F3" s="513" t="s">
        <v>429</v>
      </c>
      <c r="G3" s="513"/>
      <c r="H3" s="512" t="s">
        <v>430</v>
      </c>
      <c r="I3" s="512"/>
    </row>
    <row r="4" spans="1:39" ht="21" customHeight="1">
      <c r="A4" s="514"/>
      <c r="B4" s="514"/>
      <c r="C4" s="514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7"/>
      <c r="B1" s="518"/>
      <c r="C1" s="519"/>
      <c r="D1" s="520">
        <f>P!D3</f>
        <v>45972</v>
      </c>
      <c r="E1" s="520"/>
      <c r="F1" s="520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0</v>
      </c>
      <c r="E5" s="171">
        <f>P!D7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0</v>
      </c>
      <c r="E8" s="171">
        <f>P!D10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0</v>
      </c>
      <c r="E10" s="171">
        <f>P!D12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</v>
      </c>
      <c r="E14" s="171">
        <f>P!D16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</v>
      </c>
      <c r="E15" s="171">
        <f>P!D17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0</v>
      </c>
      <c r="E19" s="171">
        <f>P!D21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</v>
      </c>
      <c r="E20" s="171">
        <f>P!D22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0</v>
      </c>
      <c r="E22" s="171">
        <f>P!D24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0</v>
      </c>
      <c r="E34" s="171">
        <f>P!D36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0</v>
      </c>
      <c r="E56" s="171">
        <f>P!D58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0</v>
      </c>
      <c r="E58" s="171">
        <f>P!D60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0</v>
      </c>
      <c r="E60" s="171">
        <f>P!D62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</v>
      </c>
      <c r="E62" s="171">
        <f>P!D64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</v>
      </c>
      <c r="E65" s="171">
        <f>P!D67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</v>
      </c>
      <c r="E69" s="171">
        <f>P!D71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</v>
      </c>
      <c r="E70" s="171">
        <f>P!D72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</v>
      </c>
      <c r="E80" s="171">
        <f>P!D82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</v>
      </c>
      <c r="E87" s="171">
        <f>P!D89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</v>
      </c>
      <c r="E88" s="171">
        <f>P!D90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0</v>
      </c>
      <c r="E89" s="171">
        <f>P!D91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0</v>
      </c>
      <c r="E95" s="171">
        <f>P!D97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446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0</v>
      </c>
      <c r="E150" s="171">
        <f>P!D152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0</v>
      </c>
      <c r="E177" s="171">
        <f>P!D179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0</v>
      </c>
      <c r="E178" s="171">
        <f>P!D180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</v>
      </c>
      <c r="E179" s="171">
        <f>P!D181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</v>
      </c>
      <c r="E180" s="171">
        <f>P!D182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0</v>
      </c>
      <c r="E181" s="171">
        <f>P!D183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0</v>
      </c>
      <c r="E182" s="171">
        <f>P!D184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0</v>
      </c>
      <c r="E183" s="171">
        <f>P!D185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0</v>
      </c>
      <c r="E184" s="171">
        <f>P!D186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</v>
      </c>
      <c r="E195" s="171">
        <f>P!D197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0</v>
      </c>
      <c r="E197" s="171">
        <f>P!D199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</v>
      </c>
      <c r="E198" s="171">
        <f>P!D200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</v>
      </c>
      <c r="E230" s="171">
        <f>P!D232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0</v>
      </c>
      <c r="E231" s="171">
        <f>P!D233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0</v>
      </c>
      <c r="E232" s="171">
        <f>P!D234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0</v>
      </c>
      <c r="F247" s="306"/>
      <c r="G247" s="284" t="str">
        <f t="shared" si="7"/>
        <v>OK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0</v>
      </c>
      <c r="F250" s="306"/>
      <c r="G250" s="284" t="str">
        <f t="shared" si="7"/>
        <v>OK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0</v>
      </c>
      <c r="F251" s="306"/>
      <c r="G251" s="284" t="str">
        <f t="shared" si="7"/>
        <v>OK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0</v>
      </c>
      <c r="F252" s="306"/>
      <c r="G252" s="284" t="str">
        <f t="shared" si="7"/>
        <v>OK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P!F3</f>
        <v>45973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0</v>
      </c>
      <c r="E5" s="171">
        <f>P!F7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0</v>
      </c>
      <c r="E8" s="171">
        <f>P!F10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0</v>
      </c>
      <c r="E13" s="171">
        <f>P!F15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</v>
      </c>
      <c r="E14" s="171">
        <f>P!F16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0</v>
      </c>
      <c r="E15" s="171">
        <f>P!F17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0</v>
      </c>
      <c r="E19" s="171">
        <f>P!F21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</v>
      </c>
      <c r="E20" s="171">
        <f>P!F22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0</v>
      </c>
      <c r="E22" s="171">
        <f>P!F24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0</v>
      </c>
      <c r="E34" s="171">
        <f>P!F36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0</v>
      </c>
      <c r="E56" s="171">
        <f>P!F58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0</v>
      </c>
      <c r="E58" s="171">
        <f>P!F60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0</v>
      </c>
      <c r="E60" s="171">
        <f>P!F62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</v>
      </c>
      <c r="E61" s="171">
        <f>P!F63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</v>
      </c>
      <c r="E62" s="171">
        <f>P!F64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</v>
      </c>
      <c r="E65" s="171">
        <f>P!F67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</v>
      </c>
      <c r="E69" s="171">
        <f>P!F71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</v>
      </c>
      <c r="E70" s="171">
        <f>P!F72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454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</v>
      </c>
      <c r="E78" s="171">
        <f>P!F80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0</v>
      </c>
      <c r="E80" s="171">
        <f>P!F82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447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0</v>
      </c>
      <c r="E87" s="171">
        <f>P!F89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0</v>
      </c>
      <c r="E88" s="171">
        <f>P!F90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0</v>
      </c>
      <c r="E89" s="171">
        <f>P!F91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460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0</v>
      </c>
      <c r="E95" s="171">
        <f>P!F97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0</v>
      </c>
      <c r="E124" s="171">
        <f>P!F126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460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460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460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0</v>
      </c>
      <c r="E150" s="171">
        <f>P!F152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0</v>
      </c>
      <c r="E177" s="171">
        <f>P!F179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0</v>
      </c>
      <c r="E178" s="171">
        <f>P!F180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0</v>
      </c>
      <c r="E179" s="171">
        <f>P!F181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</v>
      </c>
      <c r="E180" s="171">
        <f>P!F182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0</v>
      </c>
      <c r="E181" s="171">
        <f>P!F183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0</v>
      </c>
      <c r="E182" s="171">
        <f>P!F184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0</v>
      </c>
      <c r="E183" s="171">
        <f>P!F185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0</v>
      </c>
      <c r="E184" s="171">
        <f>P!F186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0</v>
      </c>
      <c r="E197" s="171">
        <f>P!F199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</v>
      </c>
      <c r="E198" s="171">
        <f>P!F200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0</v>
      </c>
      <c r="E231" s="171">
        <f>P!F233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0</v>
      </c>
      <c r="E232" s="171">
        <f>P!F234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0</v>
      </c>
      <c r="F250" s="306"/>
      <c r="G250" s="308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0</v>
      </c>
      <c r="F251" s="306"/>
      <c r="G251" s="308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0</v>
      </c>
      <c r="F252" s="306"/>
      <c r="G252" s="308" t="str">
        <f t="shared" si="7"/>
        <v>OK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7"/>
      <c r="B1" s="518"/>
      <c r="C1" s="519"/>
      <c r="D1" s="520">
        <f>P!D3+2</f>
        <v>45974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0</v>
      </c>
      <c r="E5" s="171">
        <f>P!H7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0</v>
      </c>
      <c r="E8" s="171">
        <f>P!H10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0</v>
      </c>
      <c r="E13" s="171">
        <f>P!H15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</v>
      </c>
      <c r="E14" s="171">
        <f>P!H16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0</v>
      </c>
      <c r="E15" s="171">
        <f>P!H17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0</v>
      </c>
      <c r="E19" s="171">
        <f>P!H21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</v>
      </c>
      <c r="E20" s="171">
        <f>P!H22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0</v>
      </c>
      <c r="E22" s="171">
        <f>P!H24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0</v>
      </c>
      <c r="E34" s="171">
        <f>P!H36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0</v>
      </c>
      <c r="E60" s="171">
        <f>P!H62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</v>
      </c>
      <c r="E61" s="171">
        <f>P!H63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</v>
      </c>
      <c r="E62" s="171">
        <f>P!H64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</v>
      </c>
      <c r="E65" s="171">
        <f>P!H67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</v>
      </c>
      <c r="E69" s="171">
        <f>P!H71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</v>
      </c>
      <c r="E70" s="171">
        <f>P!H72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</v>
      </c>
      <c r="E78" s="171">
        <f>P!H80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0</v>
      </c>
      <c r="E80" s="171">
        <f>P!H82</f>
        <v>0</v>
      </c>
      <c r="F80" s="263" t="str">
        <f t="shared" si="2"/>
        <v>হ্যা</v>
      </c>
      <c r="G80" s="284" t="str">
        <f t="shared" si="3"/>
        <v>OK</v>
      </c>
      <c r="H80" s="131" t="s">
        <v>448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0</v>
      </c>
      <c r="E87" s="171">
        <f>P!H89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0</v>
      </c>
      <c r="E88" s="171">
        <f>P!H90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0</v>
      </c>
      <c r="E89" s="171">
        <f>P!H91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0</v>
      </c>
      <c r="E95" s="171">
        <f>P!H97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456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0</v>
      </c>
      <c r="F250" s="306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0</v>
      </c>
      <c r="F251" s="306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0</v>
      </c>
      <c r="F252" s="306"/>
      <c r="G252" s="284" t="str">
        <f t="shared" si="7"/>
        <v>OK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P!D3+3</f>
        <v>45975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0</v>
      </c>
      <c r="E5" s="171">
        <f>P!J7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0</v>
      </c>
      <c r="E8" s="171">
        <f>P!J10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0</v>
      </c>
      <c r="E13" s="171">
        <f>P!J15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</v>
      </c>
      <c r="E14" s="171">
        <f>P!J16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0</v>
      </c>
      <c r="E15" s="171">
        <f>P!J17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0</v>
      </c>
      <c r="E19" s="171">
        <f>P!J21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</v>
      </c>
      <c r="E20" s="171">
        <f>P!J22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0</v>
      </c>
      <c r="E34" s="171">
        <f>P!J36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0</v>
      </c>
      <c r="E56" s="171">
        <f>P!J58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0</v>
      </c>
      <c r="E58" s="171">
        <f>P!J60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0</v>
      </c>
      <c r="E60" s="171">
        <f>P!J62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</v>
      </c>
      <c r="E61" s="171">
        <f>P!J63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</v>
      </c>
      <c r="E62" s="171">
        <f>P!J64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</v>
      </c>
      <c r="E65" s="171">
        <f>P!J67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</v>
      </c>
      <c r="E69" s="171">
        <f>P!J71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</v>
      </c>
      <c r="E70" s="171">
        <f>P!J72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</v>
      </c>
      <c r="E78" s="171">
        <f>P!J80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</v>
      </c>
      <c r="E80" s="171">
        <f>P!J82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0</v>
      </c>
      <c r="E87" s="171">
        <f>P!J89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</v>
      </c>
      <c r="E88" s="171">
        <f>P!J90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</v>
      </c>
      <c r="E89" s="171">
        <f>P!J91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0</v>
      </c>
      <c r="E95" s="171">
        <f>P!J97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0</v>
      </c>
      <c r="E124" s="171">
        <f>P!J126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0</v>
      </c>
      <c r="E150" s="171">
        <f>P!J152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0</v>
      </c>
      <c r="E153" s="171">
        <f>P!J155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0</v>
      </c>
      <c r="E177" s="171">
        <f>P!J179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0</v>
      </c>
      <c r="E178" s="171">
        <f>P!J180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</v>
      </c>
      <c r="E179" s="171">
        <f>P!J181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</v>
      </c>
      <c r="E180" s="171">
        <f>P!J182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</v>
      </c>
      <c r="E181" s="171">
        <f>P!J183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0</v>
      </c>
      <c r="E182" s="171">
        <f>P!J184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0</v>
      </c>
      <c r="E183" s="171">
        <f>P!J185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0</v>
      </c>
      <c r="E184" s="171">
        <f>P!J186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0</v>
      </c>
      <c r="E197" s="171">
        <f>P!J199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</v>
      </c>
      <c r="E198" s="171">
        <f>P!J200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</v>
      </c>
      <c r="E230" s="171">
        <f>P!J232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0</v>
      </c>
      <c r="E231" s="171">
        <f>P!J233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0</v>
      </c>
      <c r="E232" s="171">
        <f>P!J234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0</v>
      </c>
      <c r="F252" s="263"/>
      <c r="G252" s="284" t="str">
        <f t="shared" si="7"/>
        <v>OK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P!D3+4</f>
        <v>45976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0</v>
      </c>
      <c r="E5" s="171">
        <f>P!L7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0</v>
      </c>
      <c r="E8" s="171">
        <f>P!L10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0</v>
      </c>
      <c r="E13" s="171">
        <f>P!L15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</v>
      </c>
      <c r="E14" s="171">
        <f>P!L16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0</v>
      </c>
      <c r="E15" s="171">
        <f>P!L17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0</v>
      </c>
      <c r="E19" s="171">
        <f>P!L21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</v>
      </c>
      <c r="E20" s="171">
        <f>P!L22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0</v>
      </c>
      <c r="E34" s="171">
        <f>P!L36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450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0</v>
      </c>
      <c r="E56" s="171">
        <f>P!L58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0</v>
      </c>
      <c r="E58" s="171">
        <f>P!L60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0</v>
      </c>
      <c r="E60" s="171">
        <f>P!L62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</v>
      </c>
      <c r="E61" s="171">
        <f>P!L63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</v>
      </c>
      <c r="E62" s="171">
        <f>P!L64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</v>
      </c>
      <c r="E65" s="171">
        <f>P!L67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</v>
      </c>
      <c r="E69" s="171">
        <f>P!L71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</v>
      </c>
      <c r="E70" s="171">
        <f>P!L72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</v>
      </c>
      <c r="E78" s="171">
        <f>P!L80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0</v>
      </c>
      <c r="E80" s="171">
        <f>P!L82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0</v>
      </c>
      <c r="E87" s="171">
        <f>P!L89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</v>
      </c>
      <c r="E88" s="171">
        <f>P!L90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0</v>
      </c>
      <c r="E89" s="171">
        <f>P!L91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0</v>
      </c>
      <c r="E95" s="171">
        <f>P!L97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450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0</v>
      </c>
      <c r="E124" s="171">
        <f>P!L126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0</v>
      </c>
      <c r="E150" s="171">
        <f>P!L152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0</v>
      </c>
      <c r="E178" s="171">
        <f>P!L180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</v>
      </c>
      <c r="E179" s="171">
        <f>P!L181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</v>
      </c>
      <c r="E180" s="171">
        <f>P!L182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0</v>
      </c>
      <c r="E181" s="171">
        <f>P!L183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0</v>
      </c>
      <c r="E182" s="171">
        <f>P!L184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0</v>
      </c>
      <c r="E183" s="171">
        <f>P!L185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0</v>
      </c>
      <c r="E184" s="171">
        <f>P!L186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0</v>
      </c>
      <c r="E195" s="171">
        <f>P!L197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0</v>
      </c>
      <c r="E197" s="171">
        <f>P!L199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</v>
      </c>
      <c r="E198" s="171">
        <f>P!L200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</v>
      </c>
      <c r="E230" s="171">
        <f>P!L232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0</v>
      </c>
      <c r="E231" s="171">
        <f>P!L233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0</v>
      </c>
      <c r="E232" s="171">
        <f>P!L234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0</v>
      </c>
      <c r="F252" s="263"/>
      <c r="G252" s="284" t="str">
        <f t="shared" si="7"/>
        <v>OK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P!D3+5</f>
        <v>45977</v>
      </c>
      <c r="E1" s="520"/>
      <c r="F1" s="520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0</v>
      </c>
      <c r="E5" s="171">
        <f>P!N7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0</v>
      </c>
      <c r="E8" s="171">
        <f>P!N10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0</v>
      </c>
      <c r="E10" s="171">
        <f>P!N12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0</v>
      </c>
      <c r="E13" s="171">
        <f>P!N15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</v>
      </c>
      <c r="E14" s="171">
        <f>P!N16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0</v>
      </c>
      <c r="E15" s="171">
        <f>P!N17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0</v>
      </c>
      <c r="E19" s="171">
        <f>P!N21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0</v>
      </c>
      <c r="E20" s="171">
        <f>P!N22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0</v>
      </c>
      <c r="E34" s="171">
        <f>P!N36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451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0</v>
      </c>
      <c r="E56" s="171">
        <f>P!N58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0</v>
      </c>
      <c r="E58" s="171">
        <f>P!N60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0</v>
      </c>
      <c r="E60" s="171">
        <f>P!N62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</v>
      </c>
      <c r="E61" s="171">
        <f>P!N63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</v>
      </c>
      <c r="E62" s="171">
        <f>P!N64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</v>
      </c>
      <c r="E65" s="171">
        <f>P!N67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</v>
      </c>
      <c r="E68" s="171">
        <f>P!N70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</v>
      </c>
      <c r="E69" s="171">
        <f>P!N71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</v>
      </c>
      <c r="E70" s="171">
        <f>P!N72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</v>
      </c>
      <c r="E78" s="171">
        <f>P!N80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0</v>
      </c>
      <c r="E80" s="171">
        <f>P!N82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0</v>
      </c>
      <c r="E87" s="171">
        <f>P!N89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0</v>
      </c>
      <c r="E88" s="171">
        <f>P!N90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0</v>
      </c>
      <c r="E89" s="171">
        <f>P!N91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0</v>
      </c>
      <c r="E95" s="171">
        <f>P!N97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0</v>
      </c>
      <c r="E124" s="171">
        <f>P!N126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451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451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451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0</v>
      </c>
      <c r="E150" s="171">
        <f>P!N152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451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0</v>
      </c>
      <c r="E177" s="171">
        <f>P!N179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0</v>
      </c>
      <c r="E178" s="171">
        <f>P!N180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</v>
      </c>
      <c r="E179" s="171">
        <f>P!N181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</v>
      </c>
      <c r="E180" s="171">
        <f>P!N182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0</v>
      </c>
      <c r="E181" s="171">
        <f>P!N183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0</v>
      </c>
      <c r="E182" s="171">
        <f>P!N184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0</v>
      </c>
      <c r="E183" s="171">
        <f>P!N185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0</v>
      </c>
      <c r="E184" s="171">
        <f>P!N186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451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451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</v>
      </c>
      <c r="E198" s="171">
        <f>P!N200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0</v>
      </c>
      <c r="E204" s="171">
        <f>P!N206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0</v>
      </c>
      <c r="E206" s="171">
        <f>P!N208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451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0</v>
      </c>
      <c r="E214" s="171">
        <f>P!N216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0</v>
      </c>
      <c r="E230" s="171">
        <f>P!N232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0</v>
      </c>
      <c r="E231" s="171">
        <f>P!N233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451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P!D3+6</f>
        <v>45978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0</v>
      </c>
      <c r="E5" s="171">
        <f>P!P7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0</v>
      </c>
      <c r="E8" s="171">
        <f>P!P10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0</v>
      </c>
      <c r="E9" s="171">
        <f>P!P11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0</v>
      </c>
      <c r="E13" s="171">
        <f>P!P15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</v>
      </c>
      <c r="E14" s="171">
        <f>P!P16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0</v>
      </c>
      <c r="E15" s="171">
        <f>P!P17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0</v>
      </c>
      <c r="E19" s="171">
        <f>P!P21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</v>
      </c>
      <c r="E20" s="171">
        <f>P!P22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0</v>
      </c>
      <c r="E34" s="171">
        <f>P!P36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452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0</v>
      </c>
      <c r="E56" s="171">
        <f>P!P58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0</v>
      </c>
      <c r="E58" s="171">
        <f>P!P60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0</v>
      </c>
      <c r="E60" s="171">
        <f>P!P62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</v>
      </c>
      <c r="E61" s="171">
        <f>P!P63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</v>
      </c>
      <c r="E62" s="171">
        <f>P!P64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</v>
      </c>
      <c r="E65" s="171">
        <f>P!P67</f>
        <v>0</v>
      </c>
      <c r="F65" s="263" t="str">
        <f t="shared" si="0"/>
        <v>হ্যা</v>
      </c>
      <c r="G65" s="284" t="str">
        <f t="shared" si="1"/>
        <v>OK</v>
      </c>
      <c r="H65" s="131" t="s">
        <v>449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</v>
      </c>
      <c r="E69" s="171">
        <f>P!P71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</v>
      </c>
      <c r="E70" s="171">
        <f>P!P72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</v>
      </c>
      <c r="E78" s="171">
        <f>P!P80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</v>
      </c>
      <c r="E80" s="171">
        <f>P!P82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</v>
      </c>
      <c r="E88" s="171">
        <f>P!P90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0</v>
      </c>
      <c r="E89" s="171">
        <f>P!P91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0</v>
      </c>
      <c r="E95" s="171">
        <f>P!P97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0</v>
      </c>
      <c r="E124" s="171">
        <f>P!P126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449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0</v>
      </c>
      <c r="E150" s="171">
        <f>P!P152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449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449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0</v>
      </c>
      <c r="E177" s="171">
        <f>P!P179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0</v>
      </c>
      <c r="E178" s="171">
        <f>P!P180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</v>
      </c>
      <c r="E179" s="171">
        <f>P!P181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</v>
      </c>
      <c r="E180" s="171">
        <f>P!P182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</v>
      </c>
      <c r="E181" s="171">
        <f>P!P183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0</v>
      </c>
      <c r="E182" s="171">
        <f>P!P184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0</v>
      </c>
      <c r="E183" s="171">
        <f>P!P185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0</v>
      </c>
      <c r="E184" s="171">
        <f>P!P186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0</v>
      </c>
      <c r="E197" s="171">
        <f>P!P199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</v>
      </c>
      <c r="E198" s="171">
        <f>P!P200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</v>
      </c>
      <c r="E230" s="171">
        <f>P!P232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0</v>
      </c>
      <c r="E231" s="171">
        <f>P!P233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0</v>
      </c>
      <c r="E232" s="171">
        <f>P!P234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0</v>
      </c>
      <c r="F252" s="263"/>
      <c r="G252" s="284" t="str">
        <f t="shared" si="7"/>
        <v>OK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P!D3+7</f>
        <v>45979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0</v>
      </c>
      <c r="E5" s="171">
        <f>P!R7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0</v>
      </c>
      <c r="E8" s="171">
        <f>P!R10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0</v>
      </c>
      <c r="E10" s="171">
        <f>P!R12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0</v>
      </c>
      <c r="E13" s="171">
        <f>P!R15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</v>
      </c>
      <c r="E14" s="171">
        <f>P!R16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0</v>
      </c>
      <c r="E15" s="171">
        <f>P!R17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0</v>
      </c>
      <c r="E19" s="171">
        <f>P!R21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</v>
      </c>
      <c r="E20" s="171">
        <f>P!R22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0</v>
      </c>
      <c r="E34" s="171">
        <f>P!R36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0</v>
      </c>
      <c r="E56" s="171">
        <f>P!R58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0</v>
      </c>
      <c r="E58" s="171">
        <f>P!R60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0</v>
      </c>
      <c r="E60" s="171">
        <f>P!R62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</v>
      </c>
      <c r="E61" s="171">
        <f>P!R63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</v>
      </c>
      <c r="E62" s="171">
        <f>P!R64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</v>
      </c>
      <c r="E65" s="171">
        <f>P!R67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</v>
      </c>
      <c r="E69" s="171">
        <f>P!R71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</v>
      </c>
      <c r="E70" s="171">
        <f>P!R72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</v>
      </c>
      <c r="E78" s="171">
        <f>P!R80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</v>
      </c>
      <c r="E80" s="171">
        <f>P!R82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</v>
      </c>
      <c r="E88" s="171">
        <f>P!R90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0</v>
      </c>
      <c r="E89" s="171">
        <f>P!R91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0</v>
      </c>
      <c r="E95" s="171">
        <f>P!R97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462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462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0</v>
      </c>
      <c r="E124" s="171">
        <f>P!R126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462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0</v>
      </c>
      <c r="E150" s="171">
        <f>P!R152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0</v>
      </c>
      <c r="E153" s="171">
        <f>P!R155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0</v>
      </c>
      <c r="E177" s="171">
        <f>P!R179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0</v>
      </c>
      <c r="E178" s="171">
        <f>P!R180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</v>
      </c>
      <c r="E179" s="171">
        <f>P!R181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</v>
      </c>
      <c r="E180" s="171">
        <f>P!R182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0</v>
      </c>
      <c r="E181" s="171">
        <f>P!R183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0</v>
      </c>
      <c r="E182" s="171">
        <f>P!R184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0</v>
      </c>
      <c r="E183" s="171">
        <f>P!R185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0</v>
      </c>
      <c r="E184" s="171">
        <f>P!R186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0</v>
      </c>
      <c r="E195" s="171">
        <f>P!R197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0</v>
      </c>
      <c r="E197" s="171">
        <f>P!R199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</v>
      </c>
      <c r="E198" s="171">
        <f>P!R200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</v>
      </c>
      <c r="E230" s="171">
        <f>P!R232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0</v>
      </c>
      <c r="E231" s="171">
        <f>P!R233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0</v>
      </c>
      <c r="E232" s="171">
        <f>P!R234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P!D3+8</f>
        <v>45980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0</v>
      </c>
      <c r="E5" s="171">
        <f>P!T7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0</v>
      </c>
      <c r="E8" s="171">
        <f>P!T10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0</v>
      </c>
      <c r="E13" s="171">
        <f>P!T15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</v>
      </c>
      <c r="E14" s="171">
        <f>P!T16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0</v>
      </c>
      <c r="E15" s="171">
        <f>P!T17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0</v>
      </c>
      <c r="E19" s="171">
        <f>P!T21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</v>
      </c>
      <c r="E20" s="171">
        <f>P!T22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0</v>
      </c>
      <c r="E34" s="171">
        <f>P!T36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0</v>
      </c>
      <c r="E56" s="171">
        <f>P!T58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0</v>
      </c>
      <c r="E58" s="171">
        <f>P!T60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0</v>
      </c>
      <c r="E60" s="171">
        <f>P!T62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</v>
      </c>
      <c r="E61" s="171">
        <f>P!T63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</v>
      </c>
      <c r="E62" s="171">
        <f>P!T64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</v>
      </c>
      <c r="E65" s="171">
        <f>P!T67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</v>
      </c>
      <c r="E68" s="171">
        <f>P!T70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</v>
      </c>
      <c r="E69" s="171">
        <f>P!T71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</v>
      </c>
      <c r="E70" s="171">
        <f>P!T72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</v>
      </c>
      <c r="E78" s="171">
        <f>P!T80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0</v>
      </c>
      <c r="E80" s="171">
        <f>P!T82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</v>
      </c>
      <c r="E88" s="171">
        <f>P!T90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0</v>
      </c>
      <c r="E89" s="171">
        <f>P!T91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449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0</v>
      </c>
      <c r="E124" s="171">
        <f>P!T126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463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464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0</v>
      </c>
      <c r="E150" s="171">
        <f>P!T152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0</v>
      </c>
      <c r="E177" s="171">
        <f>P!T179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0</v>
      </c>
      <c r="E178" s="171">
        <f>P!T180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0</v>
      </c>
      <c r="E179" s="171">
        <f>P!T181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</v>
      </c>
      <c r="E180" s="171">
        <f>P!T182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0</v>
      </c>
      <c r="E181" s="171">
        <f>P!T183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0</v>
      </c>
      <c r="E182" s="171">
        <f>P!T184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0</v>
      </c>
      <c r="E183" s="171">
        <f>P!T185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0</v>
      </c>
      <c r="E184" s="171">
        <f>P!T186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0</v>
      </c>
      <c r="E197" s="171">
        <f>P!T199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</v>
      </c>
      <c r="E198" s="171">
        <f>P!T200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</v>
      </c>
      <c r="E230" s="171">
        <f>P!T232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0</v>
      </c>
      <c r="E231" s="171">
        <f>P!T233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0</v>
      </c>
      <c r="E232" s="171">
        <f>P!T234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0</v>
      </c>
      <c r="F252" s="263"/>
      <c r="G252" s="284" t="str">
        <f t="shared" si="7"/>
        <v>OK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P!D3+9</f>
        <v>45981</v>
      </c>
      <c r="E1" s="520"/>
      <c r="F1" s="520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P!D3+10</f>
        <v>45982</v>
      </c>
      <c r="E1" s="520"/>
      <c r="F1" s="520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453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453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453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453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453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453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453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453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P!D3+11</f>
        <v>45983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2025-11-17T09:21:29Z</dcterms:modified>
</cp:coreProperties>
</file>